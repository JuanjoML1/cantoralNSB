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anj\Documents\GitHub\cantoralNSB\ignore\"/>
    </mc:Choice>
  </mc:AlternateContent>
  <xr:revisionPtr revIDLastSave="0" documentId="13_ncr:1_{2BAF05E8-3BA9-4816-9B62-A69EE180F440}" xr6:coauthVersionLast="47" xr6:coauthVersionMax="47" xr10:uidLastSave="{00000000-0000-0000-0000-000000000000}"/>
  <bookViews>
    <workbookView xWindow="-108" yWindow="-108" windowWidth="23256" windowHeight="12456" activeTab="1" xr2:uid="{F366FC13-5E0B-467E-BAC7-A7FF2C13C9A6}"/>
  </bookViews>
  <sheets>
    <sheet name="NSB antiguo" sheetId="14" r:id="rId1"/>
    <sheet name="CantoralDB" sheetId="2" r:id="rId2"/>
    <sheet name="Resumen" sheetId="4" r:id="rId3"/>
    <sheet name="secciones" sheetId="29" r:id="rId4"/>
    <sheet name="carpetas" sheetId="30" r:id="rId5"/>
    <sheet name="Autores" sheetId="16" r:id="rId6"/>
    <sheet name="Categorías" sheetId="3" r:id="rId7"/>
    <sheet name="Taizé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7" i="4" l="1"/>
  <c r="A1267" i="2" l="1"/>
  <c r="A1266" i="2"/>
  <c r="P1534" i="2" a="1"/>
  <c r="P1534" i="2" s="1"/>
  <c r="R1534" i="2" s="1"/>
  <c r="V1534" i="2" s="1"/>
  <c r="P1591" i="2" a="1"/>
  <c r="P1591" i="2" s="1"/>
  <c r="R1591" i="2" s="1"/>
  <c r="V1591" i="2" s="1"/>
  <c r="P1667" i="2" a="1"/>
  <c r="P1667" i="2" s="1"/>
  <c r="R1667" i="2" s="1"/>
  <c r="V1667" i="2" s="1"/>
  <c r="P1604" i="2" a="1"/>
  <c r="P1604" i="2" s="1"/>
  <c r="R1604" i="2" s="1"/>
  <c r="V1604" i="2" s="1"/>
  <c r="P1562" i="2" a="1"/>
  <c r="P1562" i="2" s="1"/>
  <c r="R1562" i="2" s="1"/>
  <c r="V1562" i="2" s="1"/>
  <c r="P1563" i="2" a="1"/>
  <c r="P1563" i="2" s="1"/>
  <c r="R1563" i="2" s="1"/>
  <c r="V1563" i="2" s="1"/>
  <c r="P1527" i="2" a="1"/>
  <c r="P1527" i="2" s="1"/>
  <c r="R1527" i="2" s="1"/>
  <c r="V1527" i="2" s="1"/>
  <c r="P1512" i="2" a="1"/>
  <c r="P1512" i="2" s="1"/>
  <c r="R1512" i="2" s="1"/>
  <c r="V1512" i="2" s="1"/>
  <c r="P1575" i="2" a="1"/>
  <c r="P1575" i="2" s="1"/>
  <c r="R1575" i="2" s="1"/>
  <c r="V1575" i="2" s="1"/>
  <c r="P1550" i="2" a="1"/>
  <c r="P1550" i="2" s="1"/>
  <c r="R1550" i="2" s="1"/>
  <c r="V1550" i="2" s="1"/>
  <c r="P1528" i="2" a="1"/>
  <c r="P1528" i="2" s="1"/>
  <c r="R1528" i="2" s="1"/>
  <c r="V1528" i="2" s="1"/>
  <c r="P1567" i="2" a="1"/>
  <c r="P1567" i="2" s="1"/>
  <c r="R1567" i="2" s="1"/>
  <c r="V1567" i="2" s="1"/>
  <c r="P1529" i="2" a="1"/>
  <c r="P1529" i="2" s="1"/>
  <c r="R1529" i="2" s="1"/>
  <c r="V1529" i="2" s="1"/>
  <c r="P1551" i="2" a="1"/>
  <c r="P1551" i="2" s="1"/>
  <c r="R1551" i="2" s="1"/>
  <c r="V1551" i="2" s="1"/>
  <c r="P1552" i="2" a="1"/>
  <c r="P1552" i="2" s="1"/>
  <c r="R1552" i="2" s="1"/>
  <c r="V1552" i="2" s="1"/>
  <c r="P1659" i="2" a="1"/>
  <c r="P1659" i="2" s="1"/>
  <c r="R1659" i="2" s="1"/>
  <c r="V1659" i="2" s="1"/>
  <c r="P1632" i="2" a="1"/>
  <c r="P1632" i="2" s="1"/>
  <c r="R1632" i="2" s="1"/>
  <c r="V1632" i="2" s="1"/>
  <c r="P1609" i="2" a="1"/>
  <c r="P1609" i="2" s="1"/>
  <c r="R1609" i="2" s="1"/>
  <c r="V1609" i="2" s="1"/>
  <c r="P1650" i="2" a="1"/>
  <c r="P1650" i="2" s="1"/>
  <c r="R1650" i="2" s="1"/>
  <c r="V1650" i="2" s="1"/>
  <c r="P1610" i="2" a="1"/>
  <c r="P1610" i="2" s="1"/>
  <c r="R1610" i="2" s="1"/>
  <c r="V1610" i="2" s="1"/>
  <c r="P1633" i="2" a="1"/>
  <c r="P1633" i="2" s="1"/>
  <c r="R1633" i="2" s="1"/>
  <c r="V1633" i="2" s="1"/>
  <c r="P1634" i="2" a="1"/>
  <c r="P1634" i="2" s="1"/>
  <c r="R1634" i="2" s="1"/>
  <c r="V1634" i="2" s="1"/>
  <c r="P1611" i="2" a="1"/>
  <c r="P1611" i="2" s="1"/>
  <c r="R1611" i="2" s="1"/>
  <c r="V1611" i="2" s="1"/>
  <c r="P1592" i="2" a="1"/>
  <c r="P1592" i="2" s="1"/>
  <c r="R1592" i="2" s="1"/>
  <c r="V1592" i="2" s="1"/>
  <c r="P1513" i="2" a="1"/>
  <c r="P1513" i="2" s="1"/>
  <c r="R1513" i="2" s="1"/>
  <c r="V1513" i="2" s="1"/>
  <c r="P1568" i="2" a="1"/>
  <c r="P1568" i="2" s="1"/>
  <c r="R1568" i="2" s="1"/>
  <c r="V1568" i="2" s="1"/>
  <c r="P1651" i="2" a="1"/>
  <c r="P1651" i="2" s="1"/>
  <c r="R1651" i="2" s="1"/>
  <c r="V1651" i="2" s="1"/>
  <c r="P1593" i="2" a="1"/>
  <c r="P1593" i="2" s="1"/>
  <c r="R1593" i="2" s="1"/>
  <c r="V1593" i="2" s="1"/>
  <c r="P1616" i="2" a="1"/>
  <c r="P1616" i="2" s="1"/>
  <c r="R1616" i="2" s="1"/>
  <c r="V1616" i="2" s="1"/>
  <c r="P1617" i="2" a="1"/>
  <c r="P1617" i="2" s="1"/>
  <c r="R1617" i="2" s="1"/>
  <c r="V1617" i="2" s="1"/>
  <c r="P1660" i="2" a="1"/>
  <c r="P1660" i="2" s="1"/>
  <c r="R1660" i="2" s="1"/>
  <c r="V1660" i="2" s="1"/>
  <c r="P1661" i="2" a="1"/>
  <c r="P1661" i="2" s="1"/>
  <c r="R1661" i="2" s="1"/>
  <c r="V1661" i="2" s="1"/>
  <c r="P1618" i="2" a="1"/>
  <c r="P1618" i="2" s="1"/>
  <c r="R1618" i="2" s="1"/>
  <c r="V1618" i="2" s="1"/>
  <c r="P1553" i="2" a="1"/>
  <c r="P1553" i="2" s="1"/>
  <c r="R1553" i="2" s="1"/>
  <c r="V1553" i="2" s="1"/>
  <c r="P1635" i="2" a="1"/>
  <c r="P1635" i="2" s="1"/>
  <c r="R1635" i="2" s="1"/>
  <c r="V1635" i="2" s="1"/>
  <c r="P1662" i="2" a="1"/>
  <c r="P1662" i="2" s="1"/>
  <c r="R1662" i="2" s="1"/>
  <c r="V1662" i="2" s="1"/>
  <c r="P1619" i="2" a="1"/>
  <c r="P1619" i="2" s="1"/>
  <c r="R1619" i="2" s="1"/>
  <c r="V1619" i="2" s="1"/>
  <c r="P1657" i="2" a="1"/>
  <c r="P1657" i="2" s="1"/>
  <c r="R1657" i="2" s="1"/>
  <c r="V1657" i="2" s="1"/>
  <c r="P1524" i="2" a="1"/>
  <c r="P1524" i="2" s="1"/>
  <c r="R1524" i="2" s="1"/>
  <c r="V1524" i="2" s="1"/>
  <c r="P1589" i="2" a="1"/>
  <c r="P1589" i="2" s="1"/>
  <c r="R1589" i="2" s="1"/>
  <c r="V1589" i="2" s="1"/>
  <c r="P1535" i="2" a="1"/>
  <c r="P1535" i="2" s="1"/>
  <c r="R1535" i="2" s="1"/>
  <c r="V1535" i="2" s="1"/>
  <c r="P1514" i="2" a="1"/>
  <c r="P1514" i="2" s="1"/>
  <c r="R1514" i="2" s="1"/>
  <c r="V1514" i="2" s="1"/>
  <c r="P1503" i="2" a="1"/>
  <c r="P1503" i="2" s="1"/>
  <c r="R1503" i="2" s="1"/>
  <c r="V1503" i="2" s="1"/>
  <c r="P1530" i="2" a="1"/>
  <c r="P1530" i="2" s="1"/>
  <c r="R1530" i="2" s="1"/>
  <c r="V1530" i="2" s="1"/>
  <c r="P1536" i="2" a="1"/>
  <c r="P1536" i="2" s="1"/>
  <c r="R1536" i="2" s="1"/>
  <c r="V1536" i="2" s="1"/>
  <c r="P1652" i="2" a="1"/>
  <c r="P1652" i="2" s="1"/>
  <c r="R1652" i="2" s="1"/>
  <c r="V1652" i="2" s="1"/>
  <c r="P1620" i="2" a="1"/>
  <c r="P1620" i="2" s="1"/>
  <c r="R1620" i="2" s="1"/>
  <c r="V1620" i="2" s="1"/>
  <c r="P1630" i="2" a="1"/>
  <c r="P1630" i="2" s="1"/>
  <c r="R1630" i="2" s="1"/>
  <c r="V1630" i="2" s="1"/>
  <c r="P1554" i="2" a="1"/>
  <c r="P1554" i="2" s="1"/>
  <c r="R1554" i="2" s="1"/>
  <c r="V1554" i="2" s="1"/>
  <c r="P1555" i="2" a="1"/>
  <c r="P1555" i="2" s="1"/>
  <c r="R1555" i="2" s="1"/>
  <c r="V1555" i="2" s="1"/>
  <c r="P1548" i="2" a="1"/>
  <c r="P1548" i="2" s="1"/>
  <c r="R1548" i="2" s="1"/>
  <c r="V1548" i="2" s="1"/>
  <c r="P1537" i="2" a="1"/>
  <c r="P1537" i="2" s="1"/>
  <c r="R1537" i="2" s="1"/>
  <c r="V1537" i="2" s="1"/>
  <c r="P1612" i="2" a="1"/>
  <c r="P1612" i="2" s="1"/>
  <c r="R1612" i="2" s="1"/>
  <c r="V1612" i="2" s="1"/>
  <c r="P1588" i="2" a="1"/>
  <c r="P1588" i="2" s="1"/>
  <c r="R1588" i="2" s="1"/>
  <c r="V1588" i="2" s="1"/>
  <c r="P1576" i="2" a="1"/>
  <c r="P1576" i="2" s="1"/>
  <c r="R1576" i="2" s="1"/>
  <c r="V1576" i="2" s="1"/>
  <c r="P1564" i="2" a="1"/>
  <c r="P1564" i="2" s="1"/>
  <c r="R1564" i="2" s="1"/>
  <c r="V1564" i="2" s="1"/>
  <c r="P1594" i="2" a="1"/>
  <c r="P1594" i="2" s="1"/>
  <c r="R1594" i="2" s="1"/>
  <c r="V1594" i="2" s="1"/>
  <c r="P1636" i="2" a="1"/>
  <c r="P1636" i="2" s="1"/>
  <c r="R1636" i="2" s="1"/>
  <c r="V1636" i="2" s="1"/>
  <c r="P1531" i="2" a="1"/>
  <c r="P1531" i="2" s="1"/>
  <c r="R1531" i="2" s="1"/>
  <c r="V1531" i="2" s="1"/>
  <c r="P1595" i="2" a="1"/>
  <c r="P1595" i="2" s="1"/>
  <c r="R1595" i="2" s="1"/>
  <c r="V1595" i="2" s="1"/>
  <c r="P1538" i="2" a="1"/>
  <c r="P1538" i="2" s="1"/>
  <c r="R1538" i="2" s="1"/>
  <c r="V1538" i="2" s="1"/>
  <c r="P1577" i="2" a="1"/>
  <c r="P1577" i="2" s="1"/>
  <c r="R1577" i="2" s="1"/>
  <c r="V1577" i="2" s="1"/>
  <c r="P1578" i="2" a="1"/>
  <c r="P1578" i="2" s="1"/>
  <c r="R1578" i="2" s="1"/>
  <c r="V1578" i="2" s="1"/>
  <c r="P1579" i="2" a="1"/>
  <c r="P1579" i="2" s="1"/>
  <c r="R1579" i="2" s="1"/>
  <c r="V1579" i="2" s="1"/>
  <c r="P1515" i="2" a="1"/>
  <c r="P1515" i="2" s="1"/>
  <c r="R1515" i="2" s="1"/>
  <c r="V1515" i="2" s="1"/>
  <c r="P1621" i="2" a="1"/>
  <c r="P1621" i="2" s="1"/>
  <c r="R1621" i="2" s="1"/>
  <c r="V1621" i="2" s="1"/>
  <c r="P1637" i="2" a="1"/>
  <c r="P1637" i="2" s="1"/>
  <c r="R1637" i="2" s="1"/>
  <c r="V1637" i="2" s="1"/>
  <c r="P1638" i="2" a="1"/>
  <c r="P1638" i="2" s="1"/>
  <c r="R1638" i="2" s="1"/>
  <c r="V1638" i="2" s="1"/>
  <c r="P1508" i="2" a="1"/>
  <c r="P1508" i="2" s="1"/>
  <c r="R1508" i="2" s="1"/>
  <c r="V1508" i="2" s="1"/>
  <c r="P1605" i="2" a="1"/>
  <c r="P1605" i="2" s="1"/>
  <c r="R1605" i="2" s="1"/>
  <c r="V1605" i="2" s="1"/>
  <c r="P1639" i="2" a="1"/>
  <c r="P1639" i="2" s="1"/>
  <c r="R1639" i="2" s="1"/>
  <c r="V1639" i="2" s="1"/>
  <c r="P1569" i="2" a="1"/>
  <c r="P1569" i="2" s="1"/>
  <c r="R1569" i="2" s="1"/>
  <c r="V1569" i="2" s="1"/>
  <c r="P1622" i="2" a="1"/>
  <c r="P1622" i="2" s="1"/>
  <c r="R1622" i="2" s="1"/>
  <c r="V1622" i="2" s="1"/>
  <c r="P1539" i="2" a="1"/>
  <c r="P1539" i="2" s="1"/>
  <c r="R1539" i="2" s="1"/>
  <c r="V1539" i="2" s="1"/>
  <c r="P1573" i="2" a="1"/>
  <c r="P1573" i="2" s="1"/>
  <c r="R1573" i="2" s="1"/>
  <c r="V1573" i="2" s="1"/>
  <c r="P1540" i="2" a="1"/>
  <c r="P1540" i="2" s="1"/>
  <c r="R1540" i="2" s="1"/>
  <c r="V1540" i="2" s="1"/>
  <c r="P1532" i="2" a="1"/>
  <c r="P1532" i="2" s="1"/>
  <c r="R1532" i="2" s="1"/>
  <c r="V1532" i="2" s="1"/>
  <c r="P1525" i="2" a="1"/>
  <c r="P1525" i="2" s="1"/>
  <c r="R1525" i="2" s="1"/>
  <c r="V1525" i="2" s="1"/>
  <c r="P1640" i="2" a="1"/>
  <c r="P1640" i="2" s="1"/>
  <c r="R1640" i="2" s="1"/>
  <c r="V1640" i="2" s="1"/>
  <c r="P1556" i="2" a="1"/>
  <c r="P1556" i="2" s="1"/>
  <c r="R1556" i="2" s="1"/>
  <c r="V1556" i="2" s="1"/>
  <c r="P1580" i="2" a="1"/>
  <c r="P1580" i="2" s="1"/>
  <c r="R1580" i="2" s="1"/>
  <c r="V1580" i="2" s="1"/>
  <c r="P1663" i="2" a="1"/>
  <c r="P1663" i="2" s="1"/>
  <c r="R1663" i="2" s="1"/>
  <c r="V1663" i="2" s="1"/>
  <c r="P1664" i="2" a="1"/>
  <c r="P1664" i="2" s="1"/>
  <c r="R1664" i="2" s="1"/>
  <c r="V1664" i="2" s="1"/>
  <c r="P1645" i="2" a="1"/>
  <c r="P1645" i="2" s="1"/>
  <c r="R1645" i="2" s="1"/>
  <c r="V1645" i="2" s="1"/>
  <c r="P1653" i="2" a="1"/>
  <c r="P1653" i="2" s="1"/>
  <c r="R1653" i="2" s="1"/>
  <c r="V1653" i="2" s="1"/>
  <c r="P1658" i="2" a="1"/>
  <c r="P1658" i="2" s="1"/>
  <c r="R1658" i="2" s="1"/>
  <c r="V1658" i="2" s="1"/>
  <c r="P1596" i="2" a="1"/>
  <c r="P1596" i="2" s="1"/>
  <c r="R1596" i="2" s="1"/>
  <c r="V1596" i="2" s="1"/>
  <c r="P1597" i="2" a="1"/>
  <c r="P1597" i="2" s="1"/>
  <c r="R1597" i="2" s="1"/>
  <c r="V1597" i="2" s="1"/>
  <c r="P1606" i="2" a="1"/>
  <c r="P1606" i="2" s="1"/>
  <c r="R1606" i="2" s="1"/>
  <c r="V1606" i="2" s="1"/>
  <c r="P1623" i="2" a="1"/>
  <c r="P1623" i="2" s="1"/>
  <c r="R1623" i="2" s="1"/>
  <c r="V1623" i="2" s="1"/>
  <c r="P1516" i="2" a="1"/>
  <c r="P1516" i="2" s="1"/>
  <c r="R1516" i="2" s="1"/>
  <c r="V1516" i="2" s="1"/>
  <c r="P1641" i="2" a="1"/>
  <c r="P1641" i="2" s="1"/>
  <c r="R1641" i="2" s="1"/>
  <c r="V1641" i="2" s="1"/>
  <c r="P1557" i="2" a="1"/>
  <c r="P1557" i="2" s="1"/>
  <c r="R1557" i="2" s="1"/>
  <c r="V1557" i="2" s="1"/>
  <c r="P1598" i="2" a="1"/>
  <c r="P1598" i="2" s="1"/>
  <c r="R1598" i="2" s="1"/>
  <c r="V1598" i="2" s="1"/>
  <c r="P1613" i="2" a="1"/>
  <c r="P1613" i="2" s="1"/>
  <c r="R1613" i="2" s="1"/>
  <c r="V1613" i="2" s="1"/>
  <c r="P1599" i="2" a="1"/>
  <c r="P1599" i="2" s="1"/>
  <c r="R1599" i="2" s="1"/>
  <c r="V1599" i="2" s="1"/>
  <c r="P1646" i="2" a="1"/>
  <c r="P1646" i="2" s="1"/>
  <c r="R1646" i="2" s="1"/>
  <c r="V1646" i="2" s="1"/>
  <c r="P1517" i="2" a="1"/>
  <c r="P1517" i="2" s="1"/>
  <c r="R1517" i="2" s="1"/>
  <c r="V1517" i="2" s="1"/>
  <c r="P1665" i="2" a="1"/>
  <c r="P1665" i="2" s="1"/>
  <c r="R1665" i="2" s="1"/>
  <c r="V1665" i="2" s="1"/>
  <c r="P1624" i="2" a="1"/>
  <c r="P1624" i="2" s="1"/>
  <c r="R1624" i="2" s="1"/>
  <c r="V1624" i="2" s="1"/>
  <c r="P1642" i="2" a="1"/>
  <c r="P1642" i="2" s="1"/>
  <c r="R1642" i="2" s="1"/>
  <c r="V1642" i="2" s="1"/>
  <c r="P1625" i="2" a="1"/>
  <c r="P1625" i="2" s="1"/>
  <c r="R1625" i="2" s="1"/>
  <c r="V1625" i="2" s="1"/>
  <c r="P1631" i="2" a="1"/>
  <c r="P1631" i="2" s="1"/>
  <c r="R1631" i="2" s="1"/>
  <c r="V1631" i="2" s="1"/>
  <c r="P1549" i="2" a="1"/>
  <c r="P1549" i="2" s="1"/>
  <c r="R1549" i="2" s="1"/>
  <c r="V1549" i="2" s="1"/>
  <c r="P1506" i="2" a="1"/>
  <c r="P1506" i="2" s="1"/>
  <c r="R1506" i="2" s="1"/>
  <c r="V1506" i="2" s="1"/>
  <c r="P1643" i="2" a="1"/>
  <c r="P1643" i="2" s="1"/>
  <c r="R1643" i="2" s="1"/>
  <c r="V1643" i="2" s="1"/>
  <c r="P1590" i="2" a="1"/>
  <c r="P1590" i="2" s="1"/>
  <c r="R1590" i="2" s="1"/>
  <c r="V1590" i="2" s="1"/>
  <c r="P1600" i="2" a="1"/>
  <c r="P1600" i="2" s="1"/>
  <c r="R1600" i="2" s="1"/>
  <c r="V1600" i="2" s="1"/>
  <c r="P1583" i="2" a="1"/>
  <c r="P1583" i="2" s="1"/>
  <c r="R1583" i="2" s="1"/>
  <c r="V1583" i="2" s="1"/>
  <c r="P1510" i="2" a="1"/>
  <c r="P1510" i="2" s="1"/>
  <c r="R1510" i="2" s="1"/>
  <c r="V1510" i="2" s="1"/>
  <c r="P1509" i="2" a="1"/>
  <c r="P1509" i="2" s="1"/>
  <c r="R1509" i="2" s="1"/>
  <c r="V1509" i="2" s="1"/>
  <c r="P1587" i="2" a="1"/>
  <c r="P1587" i="2" s="1"/>
  <c r="R1587" i="2" s="1"/>
  <c r="V1587" i="2" s="1"/>
  <c r="P1518" i="2" a="1"/>
  <c r="P1518" i="2" s="1"/>
  <c r="R1518" i="2" s="1"/>
  <c r="V1518" i="2" s="1"/>
  <c r="P1570" i="2" a="1"/>
  <c r="P1570" i="2" s="1"/>
  <c r="R1570" i="2" s="1"/>
  <c r="V1570" i="2" s="1"/>
  <c r="P1584" i="2" a="1"/>
  <c r="P1584" i="2" s="1"/>
  <c r="R1584" i="2" s="1"/>
  <c r="V1584" i="2" s="1"/>
  <c r="P1585" i="2" a="1"/>
  <c r="P1585" i="2" s="1"/>
  <c r="R1585" i="2" s="1"/>
  <c r="V1585" i="2" s="1"/>
  <c r="P1666" i="2" a="1"/>
  <c r="P1666" i="2" s="1"/>
  <c r="R1666" i="2" s="1"/>
  <c r="V1666" i="2" s="1"/>
  <c r="P1504" i="2" a="1"/>
  <c r="P1504" i="2" s="1"/>
  <c r="R1504" i="2" s="1"/>
  <c r="V1504" i="2" s="1"/>
  <c r="P1558" i="2" a="1"/>
  <c r="P1558" i="2" s="1"/>
  <c r="R1558" i="2" s="1"/>
  <c r="V1558" i="2" s="1"/>
  <c r="P1559" i="2" a="1"/>
  <c r="P1559" i="2" s="1"/>
  <c r="R1559" i="2" s="1"/>
  <c r="V1559" i="2" s="1"/>
  <c r="P1519" i="2" a="1"/>
  <c r="P1519" i="2" s="1"/>
  <c r="R1519" i="2" s="1"/>
  <c r="V1519" i="2" s="1"/>
  <c r="P1505" i="2" a="1"/>
  <c r="P1505" i="2" s="1"/>
  <c r="R1505" i="2" s="1"/>
  <c r="V1505" i="2" s="1"/>
  <c r="P1520" i="2" a="1"/>
  <c r="P1520" i="2" s="1"/>
  <c r="R1520" i="2" s="1"/>
  <c r="V1520" i="2" s="1"/>
  <c r="P1601" i="2" a="1"/>
  <c r="P1601" i="2" s="1"/>
  <c r="R1601" i="2" s="1"/>
  <c r="V1601" i="2" s="1"/>
  <c r="P1626" i="2" a="1"/>
  <c r="P1626" i="2" s="1"/>
  <c r="R1626" i="2" s="1"/>
  <c r="V1626" i="2" s="1"/>
  <c r="P1541" i="2" a="1"/>
  <c r="P1541" i="2" s="1"/>
  <c r="R1541" i="2" s="1"/>
  <c r="V1541" i="2" s="1"/>
  <c r="P1542" i="2" a="1"/>
  <c r="P1542" i="2" s="1"/>
  <c r="R1542" i="2" s="1"/>
  <c r="V1542" i="2" s="1"/>
  <c r="P1521" i="2" a="1"/>
  <c r="P1521" i="2" s="1"/>
  <c r="R1521" i="2" s="1"/>
  <c r="V1521" i="2" s="1"/>
  <c r="P1644" i="2" a="1"/>
  <c r="P1644" i="2" s="1"/>
  <c r="R1644" i="2" s="1"/>
  <c r="V1644" i="2" s="1"/>
  <c r="P1560" i="2" a="1"/>
  <c r="P1560" i="2" s="1"/>
  <c r="R1560" i="2" s="1"/>
  <c r="V1560" i="2" s="1"/>
  <c r="P1543" i="2" a="1"/>
  <c r="P1543" i="2" s="1"/>
  <c r="R1543" i="2" s="1"/>
  <c r="V1543" i="2" s="1"/>
  <c r="P1511" i="2" a="1"/>
  <c r="P1511" i="2" s="1"/>
  <c r="R1511" i="2" s="1"/>
  <c r="V1511" i="2" s="1"/>
  <c r="P1522" i="2" a="1"/>
  <c r="P1522" i="2" s="1"/>
  <c r="R1522" i="2" s="1"/>
  <c r="V1522" i="2" s="1"/>
  <c r="P1627" i="2" a="1"/>
  <c r="P1627" i="2" s="1"/>
  <c r="R1627" i="2" s="1"/>
  <c r="V1627" i="2" s="1"/>
  <c r="P1533" i="2" a="1"/>
  <c r="P1533" i="2" s="1"/>
  <c r="R1533" i="2" s="1"/>
  <c r="V1533" i="2" s="1"/>
  <c r="P1654" i="2" a="1"/>
  <c r="P1654" i="2" s="1"/>
  <c r="R1654" i="2" s="1"/>
  <c r="V1654" i="2" s="1"/>
  <c r="P1607" i="2" a="1"/>
  <c r="P1607" i="2" s="1"/>
  <c r="R1607" i="2" s="1"/>
  <c r="V1607" i="2" s="1"/>
  <c r="P1614" i="2" a="1"/>
  <c r="P1614" i="2" s="1"/>
  <c r="R1614" i="2" s="1"/>
  <c r="V1614" i="2" s="1"/>
  <c r="P1602" i="2" a="1"/>
  <c r="P1602" i="2" s="1"/>
  <c r="R1602" i="2" s="1"/>
  <c r="V1602" i="2" s="1"/>
  <c r="P1615" i="2" a="1"/>
  <c r="P1615" i="2" s="1"/>
  <c r="R1615" i="2" s="1"/>
  <c r="V1615" i="2" s="1"/>
  <c r="P1526" i="2" a="1"/>
  <c r="P1526" i="2" s="1"/>
  <c r="R1526" i="2" s="1"/>
  <c r="V1526" i="2" s="1"/>
  <c r="P1581" i="2" a="1"/>
  <c r="P1581" i="2" s="1"/>
  <c r="R1581" i="2" s="1"/>
  <c r="V1581" i="2" s="1"/>
  <c r="P1544" i="2" a="1"/>
  <c r="P1544" i="2" s="1"/>
  <c r="R1544" i="2" s="1"/>
  <c r="V1544" i="2" s="1"/>
  <c r="P1561" i="2" a="1"/>
  <c r="P1561" i="2" s="1"/>
  <c r="R1561" i="2" s="1"/>
  <c r="V1561" i="2" s="1"/>
  <c r="P1545" i="2" a="1"/>
  <c r="P1545" i="2" s="1"/>
  <c r="R1545" i="2" s="1"/>
  <c r="V1545" i="2" s="1"/>
  <c r="P1546" i="2" a="1"/>
  <c r="P1546" i="2" s="1"/>
  <c r="R1546" i="2" s="1"/>
  <c r="V1546" i="2" s="1"/>
  <c r="P1655" i="2" a="1"/>
  <c r="P1655" i="2" s="1"/>
  <c r="R1655" i="2" s="1"/>
  <c r="V1655" i="2" s="1"/>
  <c r="P1523" i="2" a="1"/>
  <c r="P1523" i="2" s="1"/>
  <c r="R1523" i="2" s="1"/>
  <c r="V1523" i="2" s="1"/>
  <c r="P1547" i="2" a="1"/>
  <c r="P1547" i="2" s="1"/>
  <c r="R1547" i="2" s="1"/>
  <c r="V1547" i="2" s="1"/>
  <c r="P1608" i="2" a="1"/>
  <c r="P1608" i="2" s="1"/>
  <c r="R1608" i="2" s="1"/>
  <c r="V1608" i="2" s="1"/>
  <c r="P1571" i="2" a="1"/>
  <c r="P1571" i="2" s="1"/>
  <c r="R1571" i="2" s="1"/>
  <c r="V1571" i="2" s="1"/>
  <c r="P1603" i="2" a="1"/>
  <c r="P1603" i="2" s="1"/>
  <c r="R1603" i="2" s="1"/>
  <c r="V1603" i="2" s="1"/>
  <c r="P1507" i="2" a="1"/>
  <c r="P1507" i="2" s="1"/>
  <c r="R1507" i="2" s="1"/>
  <c r="V1507" i="2" s="1"/>
  <c r="P1574" i="2" a="1"/>
  <c r="P1574" i="2" s="1"/>
  <c r="R1574" i="2" s="1"/>
  <c r="V1574" i="2" s="1"/>
  <c r="P1656" i="2" a="1"/>
  <c r="P1656" i="2" s="1"/>
  <c r="R1656" i="2" s="1"/>
  <c r="V1656" i="2" s="1"/>
  <c r="P1586" i="2" a="1"/>
  <c r="P1586" i="2" s="1"/>
  <c r="R1586" i="2" s="1"/>
  <c r="V1586" i="2" s="1"/>
  <c r="P1582" i="2" a="1"/>
  <c r="P1582" i="2" s="1"/>
  <c r="R1582" i="2" s="1"/>
  <c r="V1582" i="2" s="1"/>
  <c r="P1647" i="2" a="1"/>
  <c r="P1647" i="2" s="1"/>
  <c r="R1647" i="2" s="1"/>
  <c r="V1647" i="2" s="1"/>
  <c r="P1565" i="2" a="1"/>
  <c r="P1565" i="2" s="1"/>
  <c r="R1565" i="2" s="1"/>
  <c r="V1565" i="2" s="1"/>
  <c r="P1572" i="2" a="1"/>
  <c r="P1572" i="2" s="1"/>
  <c r="R1572" i="2" s="1"/>
  <c r="V1572" i="2" s="1"/>
  <c r="P1648" i="2" a="1"/>
  <c r="P1648" i="2" s="1"/>
  <c r="R1648" i="2" s="1"/>
  <c r="V1648" i="2" s="1"/>
  <c r="P1628" i="2" a="1"/>
  <c r="P1628" i="2" s="1"/>
  <c r="R1628" i="2" s="1"/>
  <c r="V1628" i="2" s="1"/>
  <c r="P1649" i="2" a="1"/>
  <c r="P1649" i="2" s="1"/>
  <c r="R1649" i="2" s="1"/>
  <c r="V1649" i="2" s="1"/>
  <c r="P1566" i="2" a="1"/>
  <c r="P1566" i="2" s="1"/>
  <c r="R1566" i="2" s="1"/>
  <c r="V1566" i="2" s="1"/>
  <c r="P1629" i="2" a="1"/>
  <c r="P1629" i="2" s="1"/>
  <c r="R1629" i="2" s="1"/>
  <c r="V1629" i="2" s="1"/>
  <c r="L2" i="4" l="1"/>
  <c r="Q1324" i="2" a="1"/>
  <c r="Q1324" i="2" s="1"/>
  <c r="Q881" i="2" a="1"/>
  <c r="Q881" i="2" s="1"/>
  <c r="Q1718" i="2" a="1"/>
  <c r="Q1718" i="2" s="1"/>
  <c r="Q1279" i="2" a="1"/>
  <c r="Q1279" i="2" s="1"/>
  <c r="Q922" i="2" a="1"/>
  <c r="Q922" i="2" s="1"/>
  <c r="Q99" i="2" a="1"/>
  <c r="Q99" i="2" s="1"/>
  <c r="Q1534" i="2" a="1"/>
  <c r="Q1534" i="2" s="1"/>
  <c r="Q644" i="2" a="1"/>
  <c r="Q644" i="2" s="1"/>
  <c r="Q1371" i="2" a="1"/>
  <c r="Q1371" i="2" s="1"/>
  <c r="Q602" i="2" a="1"/>
  <c r="Q602" i="2" s="1"/>
  <c r="Q1327" i="2" a="1"/>
  <c r="Q1327" i="2" s="1"/>
  <c r="Q1395" i="2" a="1"/>
  <c r="Q1395" i="2" s="1"/>
  <c r="Q91" i="2" a="1"/>
  <c r="Q91" i="2" s="1"/>
  <c r="Q322" i="2" a="1"/>
  <c r="Q322" i="2" s="1"/>
  <c r="Q1494" i="2" a="1"/>
  <c r="Q1494" i="2" s="1"/>
  <c r="Q1591" i="2" a="1"/>
  <c r="Q1591" i="2" s="1"/>
  <c r="Q83" i="2" a="1"/>
  <c r="Q83" i="2" s="1"/>
  <c r="Q424" i="2" a="1"/>
  <c r="Q424" i="2" s="1"/>
  <c r="Q1386" i="2" a="1"/>
  <c r="Q1386" i="2" s="1"/>
  <c r="Q1376" i="2" a="1"/>
  <c r="Q1376" i="2" s="1"/>
  <c r="Q564" i="2" a="1"/>
  <c r="Q564" i="2" s="1"/>
  <c r="Q1325" i="2" a="1"/>
  <c r="Q1325" i="2" s="1"/>
  <c r="Q76" i="2" a="1"/>
  <c r="Q76" i="2" s="1"/>
  <c r="Q1231" i="2" a="1"/>
  <c r="Q1231" i="2" s="1"/>
  <c r="Q678" i="2" a="1"/>
  <c r="Q678" i="2" s="1"/>
  <c r="Q313" i="2" a="1"/>
  <c r="Q313" i="2" s="1"/>
  <c r="Q1238" i="2" a="1"/>
  <c r="Q1238" i="2" s="1"/>
  <c r="Q1667" i="2" a="1"/>
  <c r="Q1667" i="2" s="1"/>
  <c r="Q1293" i="2" a="1"/>
  <c r="Q1293" i="2" s="1"/>
  <c r="Q148" i="2" a="1"/>
  <c r="Q148" i="2" s="1"/>
  <c r="Q1604" i="2" a="1"/>
  <c r="Q1604" i="2" s="1"/>
  <c r="Q1365" i="2" a="1"/>
  <c r="Q1365" i="2" s="1"/>
  <c r="Q869" i="2" a="1"/>
  <c r="Q869" i="2" s="1"/>
  <c r="Q1321" i="2" a="1"/>
  <c r="Q1321" i="2" s="1"/>
  <c r="Q414" i="2" a="1"/>
  <c r="Q414" i="2" s="1"/>
  <c r="Q420" i="2" a="1"/>
  <c r="Q420" i="2" s="1"/>
  <c r="Q1263" i="2" a="1"/>
  <c r="Q1263" i="2" s="1"/>
  <c r="Q1256" i="2" a="1"/>
  <c r="Q1256" i="2" s="1"/>
  <c r="Q466" i="2" a="1"/>
  <c r="Q466" i="2" s="1"/>
  <c r="Q97" i="2" a="1"/>
  <c r="Q97" i="2" s="1"/>
  <c r="Q1432" i="2" a="1"/>
  <c r="Q1432" i="2" s="1"/>
  <c r="Q516" i="2" a="1"/>
  <c r="Q516" i="2" s="1"/>
  <c r="Q1562" i="2" a="1"/>
  <c r="Q1562" i="2" s="1"/>
  <c r="Q840" i="2" a="1"/>
  <c r="Q840" i="2" s="1"/>
  <c r="Q934" i="2" a="1"/>
  <c r="Q934" i="2" s="1"/>
  <c r="Q914" i="2" a="1"/>
  <c r="Q914" i="2" s="1"/>
  <c r="Q118" i="2" a="1"/>
  <c r="Q118" i="2" s="1"/>
  <c r="Q333" i="2" a="1"/>
  <c r="Q333" i="2" s="1"/>
  <c r="Q1563" i="2" a="1"/>
  <c r="Q1563" i="2" s="1"/>
  <c r="Q870" i="2" a="1"/>
  <c r="Q870" i="2" s="1"/>
  <c r="Q93" i="2" a="1"/>
  <c r="Q93" i="2" s="1"/>
  <c r="Q919" i="2" a="1"/>
  <c r="Q919" i="2" s="1"/>
  <c r="Q1273" i="2" a="1"/>
  <c r="Q1273" i="2" s="1"/>
  <c r="Q1527" i="2" a="1"/>
  <c r="Q1527" i="2" s="1"/>
  <c r="Q882" i="2" a="1"/>
  <c r="Q882" i="2" s="1"/>
  <c r="Q864" i="2" a="1"/>
  <c r="Q864" i="2" s="1"/>
  <c r="Q1512" i="2" a="1"/>
  <c r="Q1512" i="2" s="1"/>
  <c r="Q1736" i="2" a="1"/>
  <c r="Q1736" i="2" s="1"/>
  <c r="Q467" i="2" a="1"/>
  <c r="Q467" i="2" s="1"/>
  <c r="Q920" i="2" a="1"/>
  <c r="Q920" i="2" s="1"/>
  <c r="Q955" i="2" a="1"/>
  <c r="Q955" i="2" s="1"/>
  <c r="Q1355" i="2" a="1"/>
  <c r="Q1355" i="2" s="1"/>
  <c r="Q1575" i="2" a="1"/>
  <c r="Q1575" i="2" s="1"/>
  <c r="Q1550" i="2" a="1"/>
  <c r="Q1550" i="2" s="1"/>
  <c r="Q1528" i="2" a="1"/>
  <c r="Q1528" i="2" s="1"/>
  <c r="Q1567" i="2" a="1"/>
  <c r="Q1567" i="2" s="1"/>
  <c r="Q1529" i="2" a="1"/>
  <c r="Q1529" i="2" s="1"/>
  <c r="Q1551" i="2" a="1"/>
  <c r="Q1551" i="2" s="1"/>
  <c r="Q1552" i="2" a="1"/>
  <c r="Q1552" i="2" s="1"/>
  <c r="Q406" i="2" a="1"/>
  <c r="Q406" i="2" s="1"/>
  <c r="Q182" i="2" a="1"/>
  <c r="Q182" i="2" s="1"/>
  <c r="Q827" i="2" a="1"/>
  <c r="Q827" i="2" s="1"/>
  <c r="Q59" i="2" a="1"/>
  <c r="Q59" i="2" s="1"/>
  <c r="Q497" i="2" a="1"/>
  <c r="Q497" i="2" s="1"/>
  <c r="Q1297" i="2" a="1"/>
  <c r="Q1297" i="2" s="1"/>
  <c r="Q1423" i="2" a="1"/>
  <c r="Q1423" i="2" s="1"/>
  <c r="Q519" i="2" a="1"/>
  <c r="Q519" i="2" s="1"/>
  <c r="Q1326" i="2" a="1"/>
  <c r="Q1326" i="2" s="1"/>
  <c r="Q425" i="2" a="1"/>
  <c r="Q425" i="2" s="1"/>
  <c r="Q848" i="2" a="1"/>
  <c r="Q848" i="2" s="1"/>
  <c r="Q684" i="2" a="1"/>
  <c r="Q684" i="2" s="1"/>
  <c r="Q1209" i="2" a="1"/>
  <c r="Q1209" i="2" s="1"/>
  <c r="Q1402" i="2" a="1"/>
  <c r="Q1402" i="2" s="1"/>
  <c r="Q107" i="2" a="1"/>
  <c r="Q107" i="2" s="1"/>
  <c r="Q1719" i="2" a="1"/>
  <c r="Q1719" i="2" s="1"/>
  <c r="Q526" i="2" a="1"/>
  <c r="Q526" i="2" s="1"/>
  <c r="Q1233" i="2" a="1"/>
  <c r="Q1233" i="2" s="1"/>
  <c r="Q706" i="2" a="1"/>
  <c r="Q706" i="2" s="1"/>
  <c r="Q1659" i="2" a="1"/>
  <c r="Q1659" i="2" s="1"/>
  <c r="Q1632" i="2" a="1"/>
  <c r="Q1632" i="2" s="1"/>
  <c r="Q1609" i="2" a="1"/>
  <c r="Q1609" i="2" s="1"/>
  <c r="Q1650" i="2" a="1"/>
  <c r="Q1650" i="2" s="1"/>
  <c r="Q1610" i="2" a="1"/>
  <c r="Q1610" i="2" s="1"/>
  <c r="Q1633" i="2" a="1"/>
  <c r="Q1633" i="2" s="1"/>
  <c r="Q1634" i="2" a="1"/>
  <c r="Q1634" i="2" s="1"/>
  <c r="Q1328" i="2" a="1"/>
  <c r="Q1328" i="2" s="1"/>
  <c r="Q541" i="2" a="1"/>
  <c r="Q541" i="2" s="1"/>
  <c r="Q555" i="2" a="1"/>
  <c r="Q555" i="2" s="1"/>
  <c r="Q507" i="2" a="1"/>
  <c r="Q507" i="2" s="1"/>
  <c r="Q1269" i="2" a="1"/>
  <c r="Q1269" i="2" s="1"/>
  <c r="Q1203" i="2" a="1"/>
  <c r="Q1203" i="2" s="1"/>
  <c r="Q1254" i="2" a="1"/>
  <c r="Q1254" i="2" s="1"/>
  <c r="Q540" i="2" a="1"/>
  <c r="Q540" i="2" s="1"/>
  <c r="Q1387" i="2" a="1"/>
  <c r="Q1387" i="2" s="1"/>
  <c r="Q871" i="2" a="1"/>
  <c r="Q871" i="2" s="1"/>
  <c r="Q84" i="2" a="1"/>
  <c r="Q84" i="2" s="1"/>
  <c r="Q841" i="2" a="1"/>
  <c r="Q841" i="2" s="1"/>
  <c r="Q150" i="2" a="1"/>
  <c r="Q150" i="2" s="1"/>
  <c r="Q426" i="2" a="1"/>
  <c r="Q426" i="2" s="1"/>
  <c r="Q315" i="2" a="1"/>
  <c r="Q315" i="2" s="1"/>
  <c r="Q1426" i="2" a="1"/>
  <c r="Q1426" i="2" s="1"/>
  <c r="Q1239" i="2" a="1"/>
  <c r="Q1239" i="2" s="1"/>
  <c r="Q1253" i="2" a="1"/>
  <c r="Q1253" i="2" s="1"/>
  <c r="Q112" i="2" a="1"/>
  <c r="Q112" i="2" s="1"/>
  <c r="Q1363" i="2" a="1"/>
  <c r="Q1363" i="2" s="1"/>
  <c r="Q327" i="2" a="1"/>
  <c r="Q327" i="2" s="1"/>
  <c r="Q1731" i="2" a="1"/>
  <c r="Q1731" i="2" s="1"/>
  <c r="Q421" i="2" a="1"/>
  <c r="Q421" i="2" s="1"/>
  <c r="Q452" i="2" a="1"/>
  <c r="Q452" i="2" s="1"/>
  <c r="Q1296" i="2" a="1"/>
  <c r="Q1296" i="2" s="1"/>
  <c r="Q1697" i="2" a="1"/>
  <c r="Q1697" i="2" s="1"/>
  <c r="Q1378" i="2" a="1"/>
  <c r="Q1378" i="2" s="1"/>
  <c r="Q104" i="2" a="1"/>
  <c r="Q104" i="2" s="1"/>
  <c r="Q1738" i="2" a="1"/>
  <c r="Q1738" i="2" s="1"/>
  <c r="Q868" i="2" a="1"/>
  <c r="Q868" i="2" s="1"/>
  <c r="Q1611" i="2" a="1"/>
  <c r="Q1611" i="2" s="1"/>
  <c r="Q1592" i="2" a="1"/>
  <c r="Q1592" i="2" s="1"/>
  <c r="Q53" i="2" a="1"/>
  <c r="Q53" i="2" s="1"/>
  <c r="Q151" i="2" a="1"/>
  <c r="Q151" i="2" s="1"/>
  <c r="Q375" i="2" a="1"/>
  <c r="Q375" i="2" s="1"/>
  <c r="Q1214" i="2" a="1"/>
  <c r="Q1214" i="2" s="1"/>
  <c r="Q1513" i="2" a="1"/>
  <c r="Q1513" i="2" s="1"/>
  <c r="Q1377" i="2" a="1"/>
  <c r="Q1377" i="2" s="1"/>
  <c r="Q58" i="2" a="1"/>
  <c r="Q58" i="2" s="1"/>
  <c r="Q411" i="2" a="1"/>
  <c r="Q411" i="2" s="1"/>
  <c r="Q1568" i="2" a="1"/>
  <c r="Q1568" i="2" s="1"/>
  <c r="Q373" i="2" a="1"/>
  <c r="Q373" i="2" s="1"/>
  <c r="Q78" i="2" a="1"/>
  <c r="Q78" i="2" s="1"/>
  <c r="Q1651" i="2" a="1"/>
  <c r="Q1651" i="2" s="1"/>
  <c r="Q1593" i="2" a="1"/>
  <c r="Q1593" i="2" s="1"/>
  <c r="Q529" i="2" a="1"/>
  <c r="Q529" i="2" s="1"/>
  <c r="Q1698" i="2" a="1"/>
  <c r="Q1698" i="2" s="1"/>
  <c r="Q1043" i="2" a="1"/>
  <c r="Q1043" i="2" s="1"/>
  <c r="Q117" i="2" a="1"/>
  <c r="Q117" i="2" s="1"/>
  <c r="Q1686" i="2" a="1"/>
  <c r="Q1686" i="2" s="1"/>
  <c r="Q1616" i="2" a="1"/>
  <c r="Q1616" i="2" s="1"/>
  <c r="Q1617" i="2" a="1"/>
  <c r="Q1617" i="2" s="1"/>
  <c r="Q1660" i="2" a="1"/>
  <c r="Q1660" i="2" s="1"/>
  <c r="Q1661" i="2" a="1"/>
  <c r="Q1661" i="2" s="1"/>
  <c r="Q1618" i="2" a="1"/>
  <c r="Q1618" i="2" s="1"/>
  <c r="Q698" i="2" a="1"/>
  <c r="Q698" i="2" s="1"/>
  <c r="Q167" i="2" a="1"/>
  <c r="Q167" i="2" s="1"/>
  <c r="Q883" i="2" a="1"/>
  <c r="Q883" i="2" s="1"/>
  <c r="Q468" i="2" a="1"/>
  <c r="Q468" i="2" s="1"/>
  <c r="Q607" i="2" a="1"/>
  <c r="Q607" i="2" s="1"/>
  <c r="Q884" i="2" a="1"/>
  <c r="Q884" i="2" s="1"/>
  <c r="Q822" i="2" a="1"/>
  <c r="Q822" i="2" s="1"/>
  <c r="Q1216" i="2" a="1"/>
  <c r="Q1216" i="2" s="1"/>
  <c r="Q1725" i="2" a="1"/>
  <c r="Q1725" i="2" s="1"/>
  <c r="Q835" i="2" a="1"/>
  <c r="Q835" i="2" s="1"/>
  <c r="Q1228" i="2" a="1"/>
  <c r="Q1228" i="2" s="1"/>
  <c r="Q1372" i="2" a="1"/>
  <c r="Q1372" i="2" s="1"/>
  <c r="Q701" i="2" a="1"/>
  <c r="Q701" i="2" s="1"/>
  <c r="Q1553" i="2" a="1"/>
  <c r="Q1553" i="2" s="1"/>
  <c r="Q676" i="2" a="1"/>
  <c r="Q676" i="2" s="1"/>
  <c r="Q1635" i="2" a="1"/>
  <c r="Q1635" i="2" s="1"/>
  <c r="Q1662" i="2" a="1"/>
  <c r="Q1662" i="2" s="1"/>
  <c r="Q818" i="2" a="1"/>
  <c r="Q818" i="2" s="1"/>
  <c r="Q138" i="2" a="1"/>
  <c r="Q138" i="2" s="1"/>
  <c r="Q530" i="2" a="1"/>
  <c r="Q530" i="2" s="1"/>
  <c r="Q601" i="2" a="1"/>
  <c r="Q601" i="2" s="1"/>
  <c r="Q502" i="2" a="1"/>
  <c r="Q502" i="2" s="1"/>
  <c r="Q689" i="2" a="1"/>
  <c r="Q689" i="2" s="1"/>
  <c r="Q1495" i="2" a="1"/>
  <c r="Q1495" i="2" s="1"/>
  <c r="Q429" i="2" a="1"/>
  <c r="Q429" i="2" s="1"/>
  <c r="Q1619" i="2" a="1"/>
  <c r="Q1619" i="2" s="1"/>
  <c r="Q1657" i="2" a="1"/>
  <c r="Q1657" i="2" s="1"/>
  <c r="Q365" i="2" a="1"/>
  <c r="Q365" i="2" s="1"/>
  <c r="Q1276" i="2" a="1"/>
  <c r="Q1276" i="2" s="1"/>
  <c r="Q1320" i="2" a="1"/>
  <c r="Q1320" i="2" s="1"/>
  <c r="Q1524" i="2" a="1"/>
  <c r="Q1524" i="2" s="1"/>
  <c r="Q931" i="2" a="1"/>
  <c r="Q931" i="2" s="1"/>
  <c r="Q842" i="2" a="1"/>
  <c r="Q842" i="2" s="1"/>
  <c r="Q114" i="2" a="1"/>
  <c r="Q114" i="2" s="1"/>
  <c r="Q552" i="2" a="1"/>
  <c r="Q552" i="2" s="1"/>
  <c r="Q700" i="2" a="1"/>
  <c r="Q700" i="2" s="1"/>
  <c r="Q339" i="2" a="1"/>
  <c r="Q339" i="2" s="1"/>
  <c r="Q872" i="2" a="1"/>
  <c r="Q872" i="2" s="1"/>
  <c r="Q1408" i="2" a="1"/>
  <c r="Q1408" i="2" s="1"/>
  <c r="Q1396" i="2" a="1"/>
  <c r="Q1396" i="2" s="1"/>
  <c r="Q823" i="2" a="1"/>
  <c r="Q823" i="2" s="1"/>
  <c r="Q1435" i="2" a="1"/>
  <c r="Q1435" i="2" s="1"/>
  <c r="Q1243" i="2" a="1"/>
  <c r="Q1243" i="2" s="1"/>
  <c r="Q428" i="2" a="1"/>
  <c r="Q428" i="2" s="1"/>
  <c r="Q1290" i="2" a="1"/>
  <c r="Q1290" i="2" s="1"/>
  <c r="Q543" i="2" a="1"/>
  <c r="Q543" i="2" s="1"/>
  <c r="Q427" i="2" a="1"/>
  <c r="Q427" i="2" s="1"/>
  <c r="Q1407" i="2" a="1"/>
  <c r="Q1407" i="2" s="1"/>
  <c r="Q1329" i="2" a="1"/>
  <c r="Q1329" i="2" s="1"/>
  <c r="Q328" i="2" a="1"/>
  <c r="Q328" i="2" s="1"/>
  <c r="Q314" i="2" a="1"/>
  <c r="Q314" i="2" s="1"/>
  <c r="Q1589" i="2" a="1"/>
  <c r="Q1589" i="2" s="1"/>
  <c r="Q121" i="2" a="1"/>
  <c r="Q121" i="2" s="1"/>
  <c r="Q528" i="2" a="1"/>
  <c r="Q528" i="2" s="1"/>
  <c r="Q1271" i="2" a="1"/>
  <c r="Q1271" i="2" s="1"/>
  <c r="Q178" i="2" a="1"/>
  <c r="Q178" i="2" s="1"/>
  <c r="Q1673" i="2" a="1"/>
  <c r="Q1673" i="2" s="1"/>
  <c r="Q24" i="2" a="1"/>
  <c r="Q24" i="2" s="1"/>
  <c r="Q1342" i="2" a="1"/>
  <c r="Q1342" i="2" s="1"/>
  <c r="Q321" i="2" a="1"/>
  <c r="Q321" i="2" s="1"/>
  <c r="Q1353" i="2" a="1"/>
  <c r="Q1353" i="2" s="1"/>
  <c r="Q1306" i="2" a="1"/>
  <c r="Q1306" i="2" s="1"/>
  <c r="Q547" i="2" a="1"/>
  <c r="Q547" i="2" s="1"/>
  <c r="Q457" i="2" a="1"/>
  <c r="Q457" i="2" s="1"/>
  <c r="Q1357" i="2" a="1"/>
  <c r="Q1357" i="2" s="1"/>
  <c r="Q1348" i="2" a="1"/>
  <c r="Q1348" i="2" s="1"/>
  <c r="Q125" i="2" a="1"/>
  <c r="Q125" i="2" s="1"/>
  <c r="Q1316" i="2" a="1"/>
  <c r="Q1316" i="2" s="1"/>
  <c r="Q1304" i="2" a="1"/>
  <c r="Q1304" i="2" s="1"/>
  <c r="Q1535" i="2" a="1"/>
  <c r="Q1535" i="2" s="1"/>
  <c r="Q432" i="2" a="1"/>
  <c r="Q432" i="2" s="1"/>
  <c r="Q1514" i="2" a="1"/>
  <c r="Q1514" i="2" s="1"/>
  <c r="Q430" i="2" a="1"/>
  <c r="Q430" i="2" s="1"/>
  <c r="Q1503" i="2" a="1"/>
  <c r="Q1503" i="2" s="1"/>
  <c r="Q1530" i="2" a="1"/>
  <c r="Q1530" i="2" s="1"/>
  <c r="Q1536" i="2" a="1"/>
  <c r="Q1536" i="2" s="1"/>
  <c r="Q434" i="2" a="1"/>
  <c r="Q434" i="2" s="1"/>
  <c r="Q433" i="2" a="1"/>
  <c r="Q433" i="2" s="1"/>
  <c r="Q431" i="2" a="1"/>
  <c r="Q431" i="2" s="1"/>
  <c r="Q486" i="2" a="1"/>
  <c r="Q486" i="2" s="1"/>
  <c r="Q122" i="2" a="1"/>
  <c r="Q122" i="2" s="1"/>
  <c r="Q1311" i="2" a="1"/>
  <c r="Q1311" i="2" s="1"/>
  <c r="Q137" i="2" a="1"/>
  <c r="Q137" i="2" s="1"/>
  <c r="Q1652" i="2" a="1"/>
  <c r="Q1652" i="2" s="1"/>
  <c r="Q1285" i="2" a="1"/>
  <c r="Q1285" i="2" s="1"/>
  <c r="Q88" i="2" a="1"/>
  <c r="Q88" i="2" s="1"/>
  <c r="Q156" i="2" a="1"/>
  <c r="Q156" i="2" s="1"/>
  <c r="Q833" i="2" a="1"/>
  <c r="Q833" i="2" s="1"/>
  <c r="Q1331" i="2" a="1"/>
  <c r="Q1331" i="2" s="1"/>
  <c r="Q1251" i="2" a="1"/>
  <c r="Q1251" i="2" s="1"/>
  <c r="Q469" i="2" a="1"/>
  <c r="Q469" i="2" s="1"/>
  <c r="Q1330" i="2" a="1"/>
  <c r="Q1330" i="2" s="1"/>
  <c r="Q435" i="2" a="1"/>
  <c r="Q435" i="2" s="1"/>
  <c r="Q1428" i="2" a="1"/>
  <c r="Q1428" i="2" s="1"/>
  <c r="Q1682" i="2" a="1"/>
  <c r="Q1682" i="2" s="1"/>
  <c r="Q1620" i="2" a="1"/>
  <c r="Q1620" i="2" s="1"/>
  <c r="Q1630" i="2" a="1"/>
  <c r="Q1630" i="2" s="1"/>
  <c r="Q571" i="2" a="1"/>
  <c r="Q571" i="2" s="1"/>
  <c r="Q885" i="2" a="1"/>
  <c r="Q885" i="2" s="1"/>
  <c r="Q412" i="2" a="1"/>
  <c r="Q412" i="2" s="1"/>
  <c r="Q697" i="2" a="1"/>
  <c r="Q697" i="2" s="1"/>
  <c r="Q1554" i="2" a="1"/>
  <c r="Q1554" i="2" s="1"/>
  <c r="Q1555" i="2" a="1"/>
  <c r="Q1555" i="2" s="1"/>
  <c r="Q1548" i="2" a="1"/>
  <c r="Q1548" i="2" s="1"/>
  <c r="Q1726" i="2" a="1"/>
  <c r="Q1726" i="2" s="1"/>
  <c r="Q886" i="2" a="1"/>
  <c r="Q886" i="2" s="1"/>
  <c r="Q1537" i="2" a="1"/>
  <c r="Q1537" i="2" s="1"/>
  <c r="Q1612" i="2" a="1"/>
  <c r="Q1612" i="2" s="1"/>
  <c r="Q422" i="2" a="1"/>
  <c r="Q422" i="2" s="1"/>
  <c r="Q356" i="2" a="1"/>
  <c r="Q356" i="2" s="1"/>
  <c r="Q1588" i="2" a="1"/>
  <c r="Q1588" i="2" s="1"/>
  <c r="Q1292" i="2" a="1"/>
  <c r="Q1292" i="2" s="1"/>
  <c r="Q1576" i="2" a="1"/>
  <c r="Q1576" i="2" s="1"/>
  <c r="Q332" i="2" a="1"/>
  <c r="Q332" i="2" s="1"/>
  <c r="Q1564" i="2" a="1"/>
  <c r="Q1564" i="2" s="1"/>
  <c r="Q1317" i="2" a="1"/>
  <c r="Q1317" i="2" s="1"/>
  <c r="Q1385" i="2" a="1"/>
  <c r="Q1385" i="2" s="1"/>
  <c r="Q1332" i="2" a="1"/>
  <c r="Q1332" i="2" s="1"/>
  <c r="Q1257" i="2" a="1"/>
  <c r="Q1257" i="2" s="1"/>
  <c r="Q880" i="2" a="1"/>
  <c r="Q880" i="2" s="1"/>
  <c r="Q1594" i="2" a="1"/>
  <c r="Q1594" i="2" s="1"/>
  <c r="Q1636" i="2" a="1"/>
  <c r="Q1636" i="2" s="1"/>
  <c r="Q1531" i="2" a="1"/>
  <c r="Q1531" i="2" s="1"/>
  <c r="Q1595" i="2" a="1"/>
  <c r="Q1595" i="2" s="1"/>
  <c r="Q1368" i="2" a="1"/>
  <c r="Q1368" i="2" s="1"/>
  <c r="Q338" i="2" a="1"/>
  <c r="Q338" i="2" s="1"/>
  <c r="Q1492" i="2" a="1"/>
  <c r="Q1492" i="2" s="1"/>
  <c r="Q1727" i="2" a="1"/>
  <c r="Q1727" i="2" s="1"/>
  <c r="Q1538" i="2" a="1"/>
  <c r="Q1538" i="2" s="1"/>
  <c r="Q495" i="2" a="1"/>
  <c r="Q495" i="2" s="1"/>
  <c r="Q316" i="2" a="1"/>
  <c r="Q316" i="2" s="1"/>
  <c r="Q1577" i="2" a="1"/>
  <c r="Q1577" i="2" s="1"/>
  <c r="Q831" i="2" a="1"/>
  <c r="Q831" i="2" s="1"/>
  <c r="Q143" i="2" a="1"/>
  <c r="Q143" i="2" s="1"/>
  <c r="Q459" i="2" a="1"/>
  <c r="Q459" i="2" s="1"/>
  <c r="Q1234" i="2" a="1"/>
  <c r="Q1234" i="2" s="1"/>
  <c r="Q1578" i="2" a="1"/>
  <c r="Q1578" i="2" s="1"/>
  <c r="Q436" i="2" a="1"/>
  <c r="Q436" i="2" s="1"/>
  <c r="Q437" i="2" a="1"/>
  <c r="Q437" i="2" s="1"/>
  <c r="Q531" i="2" a="1"/>
  <c r="Q531" i="2" s="1"/>
  <c r="Q1500" i="2" a="1"/>
  <c r="Q1500" i="2" s="1"/>
  <c r="Q1579" i="2" a="1"/>
  <c r="Q1579" i="2" s="1"/>
  <c r="Q1515" i="2" a="1"/>
  <c r="Q1515" i="2" s="1"/>
  <c r="Q463" i="2" a="1"/>
  <c r="Q463" i="2" s="1"/>
  <c r="Q887" i="2" a="1"/>
  <c r="Q887" i="2" s="1"/>
  <c r="Q1621" i="2" a="1"/>
  <c r="Q1621" i="2" s="1"/>
  <c r="Q1637" i="2" a="1"/>
  <c r="Q1637" i="2" s="1"/>
  <c r="Q1638" i="2" a="1"/>
  <c r="Q1638" i="2" s="1"/>
  <c r="Q1508" i="2" a="1"/>
  <c r="Q1508" i="2" s="1"/>
  <c r="Q1410" i="2" a="1"/>
  <c r="Q1410" i="2" s="1"/>
  <c r="Q843" i="2" a="1"/>
  <c r="Q843" i="2" s="1"/>
  <c r="Q1409" i="2" a="1"/>
  <c r="Q1409" i="2" s="1"/>
  <c r="Q873" i="2" a="1"/>
  <c r="Q873" i="2" s="1"/>
  <c r="Q170" i="2" a="1"/>
  <c r="Q170" i="2" s="1"/>
  <c r="Q1605" i="2" a="1"/>
  <c r="Q1605" i="2" s="1"/>
  <c r="Q1057" i="2" a="1"/>
  <c r="Q1057" i="2" s="1"/>
  <c r="Q336" i="2" a="1"/>
  <c r="Q336" i="2" s="1"/>
  <c r="Q1639" i="2" a="1"/>
  <c r="Q1639" i="2" s="1"/>
  <c r="Q95" i="2" a="1"/>
  <c r="Q95" i="2" s="1"/>
  <c r="Q131" i="2" a="1"/>
  <c r="Q131" i="2" s="1"/>
  <c r="Q1197" i="2" a="1"/>
  <c r="Q1197" i="2" s="1"/>
  <c r="Q573" i="2" a="1"/>
  <c r="Q573" i="2" s="1"/>
  <c r="Q808" i="2" a="1"/>
  <c r="Q808" i="2" s="1"/>
  <c r="Q604" i="2" a="1"/>
  <c r="Q604" i="2" s="1"/>
  <c r="Q407" i="2" a="1"/>
  <c r="Q407" i="2" s="1"/>
  <c r="Q691" i="2" a="1"/>
  <c r="Q691" i="2" s="1"/>
  <c r="Q81" i="2" a="1"/>
  <c r="Q81" i="2" s="1"/>
  <c r="Q1699" i="2" a="1"/>
  <c r="Q1699" i="2" s="1"/>
  <c r="Q98" i="2" a="1"/>
  <c r="Q98" i="2" s="1"/>
  <c r="Q1291" i="2" a="1"/>
  <c r="Q1291" i="2" s="1"/>
  <c r="Q1744" i="2" a="1"/>
  <c r="Q1744" i="2" s="1"/>
  <c r="Q522" i="2" a="1"/>
  <c r="Q522" i="2" s="1"/>
  <c r="Q166" i="2" a="1"/>
  <c r="Q166" i="2" s="1"/>
  <c r="Q498" i="2" a="1"/>
  <c r="Q498" i="2" s="1"/>
  <c r="Q52" i="2" a="1"/>
  <c r="Q52" i="2" s="1"/>
  <c r="Q1333" i="2" a="1"/>
  <c r="Q1333" i="2" s="1"/>
  <c r="Q553" i="2" a="1"/>
  <c r="Q553" i="2" s="1"/>
  <c r="Q1569" i="2" a="1"/>
  <c r="Q1569" i="2" s="1"/>
  <c r="Q1622" i="2" a="1"/>
  <c r="Q1622" i="2" s="1"/>
  <c r="Q2" i="2" a="1"/>
  <c r="Q2" i="2" s="1"/>
  <c r="Q608" i="2" a="1"/>
  <c r="Q608" i="2" s="1"/>
  <c r="Q680" i="2" a="1"/>
  <c r="Q680" i="2" s="1"/>
  <c r="Q1539" i="2" a="1"/>
  <c r="Q1539" i="2" s="1"/>
  <c r="Q889" i="2" a="1"/>
  <c r="Q889" i="2" s="1"/>
  <c r="Q317" i="2" a="1"/>
  <c r="Q317" i="2" s="1"/>
  <c r="Q599" i="2" a="1"/>
  <c r="Q599" i="2" s="1"/>
  <c r="Q605" i="2" a="1"/>
  <c r="Q605" i="2" s="1"/>
  <c r="Q861" i="2" a="1"/>
  <c r="Q861" i="2" s="1"/>
  <c r="Q1356" i="2" a="1"/>
  <c r="Q1356" i="2" s="1"/>
  <c r="Q1573" i="2" a="1"/>
  <c r="Q1573" i="2" s="1"/>
  <c r="Q74" i="2" a="1"/>
  <c r="Q74" i="2" s="1"/>
  <c r="Q658" i="2" a="1"/>
  <c r="Q658" i="2" s="1"/>
  <c r="Q532" i="2" a="1"/>
  <c r="Q532" i="2" s="1"/>
  <c r="Q1176" i="2" a="1"/>
  <c r="Q1176" i="2" s="1"/>
  <c r="Q954" i="2" a="1"/>
  <c r="Q954" i="2" s="1"/>
  <c r="Q1315" i="2" a="1"/>
  <c r="Q1315" i="2" s="1"/>
  <c r="Q847" i="2" a="1"/>
  <c r="Q847" i="2" s="1"/>
  <c r="Q606" i="2" a="1"/>
  <c r="Q606" i="2" s="1"/>
  <c r="Q1540" i="2" a="1"/>
  <c r="Q1540" i="2" s="1"/>
  <c r="Q1728" i="2" a="1"/>
  <c r="Q1728" i="2" s="1"/>
  <c r="Q1425" i="2" a="1"/>
  <c r="Q1425" i="2" s="1"/>
  <c r="Q23" i="2" a="1"/>
  <c r="Q23" i="2" s="1"/>
  <c r="Q374" i="2" a="1"/>
  <c r="Q374" i="2" s="1"/>
  <c r="Q1406" i="2" a="1"/>
  <c r="Q1406" i="2" s="1"/>
  <c r="Q153" i="2" a="1"/>
  <c r="Q153" i="2" s="1"/>
  <c r="Q4" i="2" a="1"/>
  <c r="Q4" i="2" s="1"/>
  <c r="Q3" i="2" a="1"/>
  <c r="Q3" i="2" s="1"/>
  <c r="Q470" i="2" a="1"/>
  <c r="Q470" i="2" s="1"/>
  <c r="Q340" i="2" a="1"/>
  <c r="Q340" i="2" s="1"/>
  <c r="Q888" i="2" a="1"/>
  <c r="Q888" i="2" s="1"/>
  <c r="Q1422" i="2" a="1"/>
  <c r="Q1422" i="2" s="1"/>
  <c r="Q408" i="2" a="1"/>
  <c r="Q408" i="2" s="1"/>
  <c r="Q523" i="2" a="1"/>
  <c r="Q523" i="2" s="1"/>
  <c r="Q514" i="2" a="1"/>
  <c r="Q514" i="2" s="1"/>
  <c r="Q1532" i="2" a="1"/>
  <c r="Q1532" i="2" s="1"/>
  <c r="Q1299" i="2" a="1"/>
  <c r="Q1299" i="2" s="1"/>
  <c r="Q874" i="2" a="1"/>
  <c r="Q874" i="2" s="1"/>
  <c r="Q1429" i="2" a="1"/>
  <c r="Q1429" i="2" s="1"/>
  <c r="Q1289" i="2" a="1"/>
  <c r="Q1289" i="2" s="1"/>
  <c r="Q730" i="2" a="1"/>
  <c r="Q730" i="2" s="1"/>
  <c r="Q544" i="2" a="1"/>
  <c r="Q544" i="2" s="1"/>
  <c r="Q471" i="2" a="1"/>
  <c r="Q471" i="2" s="1"/>
  <c r="Q1268" i="2" a="1"/>
  <c r="Q1268" i="2" s="1"/>
  <c r="Q63" i="2" a="1"/>
  <c r="Q63" i="2" s="1"/>
  <c r="Q5" i="2" a="1"/>
  <c r="Q5" i="2" s="1"/>
  <c r="Q419" i="2" a="1"/>
  <c r="Q419" i="2" s="1"/>
  <c r="Q1035" i="2" a="1"/>
  <c r="Q1035" i="2" s="1"/>
  <c r="Q1294" i="2" a="1"/>
  <c r="Q1294" i="2" s="1"/>
  <c r="Q472" i="2" a="1"/>
  <c r="Q472" i="2" s="1"/>
  <c r="Q1420" i="2" a="1"/>
  <c r="Q1420" i="2" s="1"/>
  <c r="Q890" i="2" a="1"/>
  <c r="Q890" i="2" s="1"/>
  <c r="Q318" i="2" a="1"/>
  <c r="Q318" i="2" s="1"/>
  <c r="Q164" i="2" a="1"/>
  <c r="Q164" i="2" s="1"/>
  <c r="Q130" i="2" a="1"/>
  <c r="Q130" i="2" s="1"/>
  <c r="Q688" i="2" a="1"/>
  <c r="Q688" i="2" s="1"/>
  <c r="Q891" i="2" a="1"/>
  <c r="Q891" i="2" s="1"/>
  <c r="Q438" i="2" a="1"/>
  <c r="Q438" i="2" s="1"/>
  <c r="Q858" i="2" a="1"/>
  <c r="Q858" i="2" s="1"/>
  <c r="Q371" i="2" a="1"/>
  <c r="Q371" i="2" s="1"/>
  <c r="Q1388" i="2" a="1"/>
  <c r="Q1388" i="2" s="1"/>
  <c r="Q473" i="2" a="1"/>
  <c r="Q473" i="2" s="1"/>
  <c r="Q1525" i="2" a="1"/>
  <c r="Q1525" i="2" s="1"/>
  <c r="Q512" i="2" a="1"/>
  <c r="Q512" i="2" s="1"/>
  <c r="Q51" i="2" a="1"/>
  <c r="Q51" i="2" s="1"/>
  <c r="Q1640" i="2" a="1"/>
  <c r="Q1640" i="2" s="1"/>
  <c r="Q82" i="2" a="1"/>
  <c r="Q82" i="2" s="1"/>
  <c r="Q6" i="2" a="1"/>
  <c r="Q6" i="2" s="1"/>
  <c r="Q844" i="2" a="1"/>
  <c r="Q844" i="2" s="1"/>
  <c r="Q357" i="2" a="1"/>
  <c r="Q357" i="2" s="1"/>
  <c r="Q35" i="2" a="1"/>
  <c r="Q35" i="2" s="1"/>
  <c r="Q892" i="2" a="1"/>
  <c r="Q892" i="2" s="1"/>
  <c r="Q1556" i="2" a="1"/>
  <c r="Q1556" i="2" s="1"/>
  <c r="Q915" i="2" a="1"/>
  <c r="Q915" i="2" s="1"/>
  <c r="Q1334" i="2" a="1"/>
  <c r="Q1334" i="2" s="1"/>
  <c r="Q830" i="2" a="1"/>
  <c r="Q830" i="2" s="1"/>
  <c r="Q704" i="2" a="1"/>
  <c r="Q704" i="2" s="1"/>
  <c r="Q525" i="2" a="1"/>
  <c r="Q525" i="2" s="1"/>
  <c r="Q96" i="2" a="1"/>
  <c r="Q96" i="2" s="1"/>
  <c r="Q89" i="2" a="1"/>
  <c r="Q89" i="2" s="1"/>
  <c r="Q1237" i="2" a="1"/>
  <c r="Q1237" i="2" s="1"/>
  <c r="Q1322" i="2" a="1"/>
  <c r="Q1322" i="2" s="1"/>
  <c r="Q149" i="2" a="1"/>
  <c r="Q149" i="2" s="1"/>
  <c r="Q1229" i="2" a="1"/>
  <c r="Q1229" i="2" s="1"/>
  <c r="Q893" i="2" a="1"/>
  <c r="Q893" i="2" s="1"/>
  <c r="Q1580" i="2" a="1"/>
  <c r="Q1580" i="2" s="1"/>
  <c r="Q542" i="2" a="1"/>
  <c r="Q542" i="2" s="1"/>
  <c r="Q1380" i="2" a="1"/>
  <c r="Q1380" i="2" s="1"/>
  <c r="Q1242" i="2" a="1"/>
  <c r="Q1242" i="2" s="1"/>
  <c r="Q1055" i="2" a="1"/>
  <c r="Q1055" i="2" s="1"/>
  <c r="Q557" i="2" a="1"/>
  <c r="Q557" i="2" s="1"/>
  <c r="Q509" i="2" a="1"/>
  <c r="Q509" i="2" s="1"/>
  <c r="Q1314" i="2" a="1"/>
  <c r="Q1314" i="2" s="1"/>
  <c r="Q110" i="2" a="1"/>
  <c r="Q110" i="2" s="1"/>
  <c r="Q1308" i="2" a="1"/>
  <c r="Q1308" i="2" s="1"/>
  <c r="Q19" i="2" a="1"/>
  <c r="Q19" i="2" s="1"/>
  <c r="Q1676" i="2" a="1"/>
  <c r="Q1676" i="2" s="1"/>
  <c r="Q349" i="2" a="1"/>
  <c r="Q349" i="2" s="1"/>
  <c r="Q1250" i="2" a="1"/>
  <c r="Q1250" i="2" s="1"/>
  <c r="Q875" i="2" a="1"/>
  <c r="Q875" i="2" s="1"/>
  <c r="Q135" i="2" a="1"/>
  <c r="Q135" i="2" s="1"/>
  <c r="Q376" i="2" a="1"/>
  <c r="Q376" i="2" s="1"/>
  <c r="Q1419" i="2" a="1"/>
  <c r="Q1419" i="2" s="1"/>
  <c r="Q1373" i="2" a="1"/>
  <c r="Q1373" i="2" s="1"/>
  <c r="Q439" i="2" a="1"/>
  <c r="Q439" i="2" s="1"/>
  <c r="Q1359" i="2" a="1"/>
  <c r="Q1359" i="2" s="1"/>
  <c r="Q859" i="2" a="1"/>
  <c r="Q859" i="2" s="1"/>
  <c r="Q1050" i="2" a="1"/>
  <c r="Q1050" i="2" s="1"/>
  <c r="Q852" i="2" a="1"/>
  <c r="Q852" i="2" s="1"/>
  <c r="Q1742" i="2" a="1"/>
  <c r="Q1742" i="2" s="1"/>
  <c r="Q1343" i="2" a="1"/>
  <c r="Q1343" i="2" s="1"/>
  <c r="Q1301" i="2" a="1"/>
  <c r="Q1301" i="2" s="1"/>
  <c r="Q1287" i="2" a="1"/>
  <c r="Q1287" i="2" s="1"/>
  <c r="Q548" i="2" a="1"/>
  <c r="Q548" i="2" s="1"/>
  <c r="Q1307" i="2" a="1"/>
  <c r="Q1307" i="2" s="1"/>
  <c r="Q94" i="2" a="1"/>
  <c r="Q94" i="2" s="1"/>
  <c r="Q1225" i="2" a="1"/>
  <c r="Q1225" i="2" s="1"/>
  <c r="Q168" i="2" a="1"/>
  <c r="Q168" i="2" s="1"/>
  <c r="Q1364" i="2" a="1"/>
  <c r="Q1364" i="2" s="1"/>
  <c r="Q146" i="2" a="1"/>
  <c r="Q146" i="2" s="1"/>
  <c r="Q1236" i="2" a="1"/>
  <c r="Q1236" i="2" s="1"/>
  <c r="Q136" i="2" a="1"/>
  <c r="Q136" i="2" s="1"/>
  <c r="Q1366" i="2" a="1"/>
  <c r="Q1366" i="2" s="1"/>
  <c r="Q474" i="2" a="1"/>
  <c r="Q474" i="2" s="1"/>
  <c r="Q1496" i="2" a="1"/>
  <c r="Q1496" i="2" s="1"/>
  <c r="Q1367" i="2" a="1"/>
  <c r="Q1367" i="2" s="1"/>
  <c r="Q196" i="2" a="1"/>
  <c r="Q196" i="2" s="1"/>
  <c r="Q860" i="2" a="1"/>
  <c r="Q860" i="2" s="1"/>
  <c r="Q1282" i="2" a="1"/>
  <c r="Q1282" i="2" s="1"/>
  <c r="Q1222" i="2" a="1"/>
  <c r="Q1222" i="2" s="1"/>
  <c r="Q1663" i="2" a="1"/>
  <c r="Q1663" i="2" s="1"/>
  <c r="Q1664" i="2" a="1"/>
  <c r="Q1664" i="2" s="1"/>
  <c r="Q329" i="2" a="1"/>
  <c r="Q329" i="2" s="1"/>
  <c r="Q1052" i="2" a="1"/>
  <c r="Q1052" i="2" s="1"/>
  <c r="Q610" i="2" a="1"/>
  <c r="Q610" i="2" s="1"/>
  <c r="Q853" i="2" a="1"/>
  <c r="Q853" i="2" s="1"/>
  <c r="Q124" i="2" a="1"/>
  <c r="Q124" i="2" s="1"/>
  <c r="Q423" i="2" a="1"/>
  <c r="Q423" i="2" s="1"/>
  <c r="Q440" i="2" a="1"/>
  <c r="Q440" i="2" s="1"/>
  <c r="Q923" i="2" a="1"/>
  <c r="Q923" i="2" s="1"/>
  <c r="Q462" i="2" a="1"/>
  <c r="Q462" i="2" s="1"/>
  <c r="Q61" i="2" a="1"/>
  <c r="Q61" i="2" s="1"/>
  <c r="Q350" i="2" a="1"/>
  <c r="Q350" i="2" s="1"/>
  <c r="Q7" i="2" a="1"/>
  <c r="Q7" i="2" s="1"/>
  <c r="Q702" i="2" a="1"/>
  <c r="Q702" i="2" s="1"/>
  <c r="Q1743" i="2" a="1"/>
  <c r="Q1743" i="2" s="1"/>
  <c r="Q441" i="2" a="1"/>
  <c r="Q441" i="2" s="1"/>
  <c r="Q54" i="2" a="1"/>
  <c r="Q54" i="2" s="1"/>
  <c r="Q442" i="2" a="1"/>
  <c r="Q442" i="2" s="1"/>
  <c r="Q337" i="2" a="1"/>
  <c r="Q337" i="2" s="1"/>
  <c r="Q894" i="2" a="1"/>
  <c r="Q894" i="2" s="1"/>
  <c r="Q413" i="2" a="1"/>
  <c r="Q413" i="2" s="1"/>
  <c r="Q772" i="2" a="1"/>
  <c r="Q772" i="2" s="1"/>
  <c r="Q1645" i="2" a="1"/>
  <c r="Q1645" i="2" s="1"/>
  <c r="Q1653" i="2" a="1"/>
  <c r="Q1653" i="2" s="1"/>
  <c r="Q475" i="2" a="1"/>
  <c r="Q475" i="2" s="1"/>
  <c r="Q1658" i="2" a="1"/>
  <c r="Q1658" i="2" s="1"/>
  <c r="Q1400" i="2" a="1"/>
  <c r="Q1400" i="2" s="1"/>
  <c r="Q372" i="2" a="1"/>
  <c r="Q372" i="2" s="1"/>
  <c r="Q1596" i="2" a="1"/>
  <c r="Q1596" i="2" s="1"/>
  <c r="Q1597" i="2" a="1"/>
  <c r="Q1597" i="2" s="1"/>
  <c r="Q39" i="2" a="1"/>
  <c r="Q39" i="2" s="1"/>
  <c r="Q92" i="2" a="1"/>
  <c r="Q92" i="2" s="1"/>
  <c r="Q134" i="2" a="1"/>
  <c r="Q134" i="2" s="1"/>
  <c r="Q1606" i="2" a="1"/>
  <c r="Q1606" i="2" s="1"/>
  <c r="Q20" i="2" a="1"/>
  <c r="Q20" i="2" s="1"/>
  <c r="Q1404" i="2" a="1"/>
  <c r="Q1404" i="2" s="1"/>
  <c r="Q1047" i="2" a="1"/>
  <c r="Q1047" i="2" s="1"/>
  <c r="Q1379" i="2" a="1"/>
  <c r="Q1379" i="2" s="1"/>
  <c r="Q1049" i="2" a="1"/>
  <c r="Q1049" i="2" s="1"/>
  <c r="Q1623" i="2" a="1"/>
  <c r="Q1623" i="2" s="1"/>
  <c r="Q352" i="2" a="1"/>
  <c r="Q352" i="2" s="1"/>
  <c r="Q1298" i="2" a="1"/>
  <c r="Q1298" i="2" s="1"/>
  <c r="Q369" i="2" a="1"/>
  <c r="Q369" i="2" s="1"/>
  <c r="Q1516" i="2" a="1"/>
  <c r="Q1516" i="2" s="1"/>
  <c r="Q1275" i="2" a="1"/>
  <c r="Q1275" i="2" s="1"/>
  <c r="Q850" i="2" a="1"/>
  <c r="Q850" i="2" s="1"/>
  <c r="Q1641" i="2" a="1"/>
  <c r="Q1641" i="2" s="1"/>
  <c r="Q1557" i="2" a="1"/>
  <c r="Q1557" i="2" s="1"/>
  <c r="Q866" i="2" a="1"/>
  <c r="Q866" i="2" s="1"/>
  <c r="Q1303" i="2" a="1"/>
  <c r="Q1303" i="2" s="1"/>
  <c r="Q1598" i="2" a="1"/>
  <c r="Q1598" i="2" s="1"/>
  <c r="Q1300" i="2" a="1"/>
  <c r="Q1300" i="2" s="1"/>
  <c r="Q1684" i="2" a="1"/>
  <c r="Q1684" i="2" s="1"/>
  <c r="Q1613" i="2" a="1"/>
  <c r="Q1613" i="2" s="1"/>
  <c r="Q1599" i="2" a="1"/>
  <c r="Q1599" i="2" s="1"/>
  <c r="Q1646" i="2" a="1"/>
  <c r="Q1646" i="2" s="1"/>
  <c r="Q1517" i="2" a="1"/>
  <c r="Q1517" i="2" s="1"/>
  <c r="Q1672" i="2" a="1"/>
  <c r="Q1672" i="2" s="1"/>
  <c r="Q1082" i="2" a="1"/>
  <c r="Q1082" i="2" s="1"/>
  <c r="Q1679" i="2" a="1"/>
  <c r="Q1679" i="2" s="1"/>
  <c r="Q21" i="2" a="1"/>
  <c r="Q21" i="2" s="1"/>
  <c r="Q865" i="2" a="1"/>
  <c r="Q865" i="2" s="1"/>
  <c r="Q476" i="2" a="1"/>
  <c r="Q476" i="2" s="1"/>
  <c r="Q1362" i="2" a="1"/>
  <c r="Q1362" i="2" s="1"/>
  <c r="Q924" i="2" a="1"/>
  <c r="Q924" i="2" s="1"/>
  <c r="Q1665" i="2" a="1"/>
  <c r="Q1665" i="2" s="1"/>
  <c r="Q1624" i="2" a="1"/>
  <c r="Q1624" i="2" s="1"/>
  <c r="Q1642" i="2" a="1"/>
  <c r="Q1642" i="2" s="1"/>
  <c r="Q1625" i="2" a="1"/>
  <c r="Q1625" i="2" s="1"/>
  <c r="Q1631" i="2" a="1"/>
  <c r="Q1631" i="2" s="1"/>
  <c r="Q1549" i="2" a="1"/>
  <c r="Q1549" i="2" s="1"/>
  <c r="Q949" i="2" a="1"/>
  <c r="Q949" i="2" s="1"/>
  <c r="Q851" i="2" a="1"/>
  <c r="Q851" i="2" s="1"/>
  <c r="Q834" i="2" a="1"/>
  <c r="Q834" i="2" s="1"/>
  <c r="Q1732" i="2" a="1"/>
  <c r="Q1732" i="2" s="1"/>
  <c r="Q487" i="2" a="1"/>
  <c r="Q487" i="2" s="1"/>
  <c r="Q488" i="2" a="1"/>
  <c r="Q488" i="2" s="1"/>
  <c r="Q1506" i="2" a="1"/>
  <c r="Q1506" i="2" s="1"/>
  <c r="Q1733" i="2" a="1"/>
  <c r="Q1733" i="2" s="1"/>
  <c r="Q1360" i="2" a="1"/>
  <c r="Q1360" i="2" s="1"/>
  <c r="Q913" i="2" a="1"/>
  <c r="Q913" i="2" s="1"/>
  <c r="Q1313" i="2" a="1"/>
  <c r="Q1313" i="2" s="1"/>
  <c r="Q163" i="2" a="1"/>
  <c r="Q163" i="2" s="1"/>
  <c r="Q179" i="2" a="1"/>
  <c r="Q179" i="2" s="1"/>
  <c r="Q1277" i="2" a="1"/>
  <c r="Q1277" i="2" s="1"/>
  <c r="Q1336" i="2" a="1"/>
  <c r="Q1336" i="2" s="1"/>
  <c r="Q334" i="2" a="1"/>
  <c r="Q334" i="2" s="1"/>
  <c r="Q25" i="2" a="1"/>
  <c r="Q25" i="2" s="1"/>
  <c r="Q916" i="2" a="1"/>
  <c r="Q916" i="2" s="1"/>
  <c r="Q301" i="2" a="1"/>
  <c r="Q301" i="2" s="1"/>
  <c r="Q809" i="2" a="1"/>
  <c r="Q809" i="2" s="1"/>
  <c r="Q443" i="2" a="1"/>
  <c r="Q443" i="2" s="1"/>
  <c r="Q1643" i="2" a="1"/>
  <c r="Q1643" i="2" s="1"/>
  <c r="Q1590" i="2" a="1"/>
  <c r="Q1590" i="2" s="1"/>
  <c r="Q101" i="2" a="1"/>
  <c r="Q101" i="2" s="1"/>
  <c r="Q1600" i="2" a="1"/>
  <c r="Q1600" i="2" s="1"/>
  <c r="Q171" i="2" a="1"/>
  <c r="Q171" i="2" s="1"/>
  <c r="Q105" i="2" a="1"/>
  <c r="Q105" i="2" s="1"/>
  <c r="Q444" i="2" a="1"/>
  <c r="Q444" i="2" s="1"/>
  <c r="Q1583" i="2" a="1"/>
  <c r="Q1583" i="2" s="1"/>
  <c r="Q1335" i="2" a="1"/>
  <c r="Q1335" i="2" s="1"/>
  <c r="Q445" i="2" a="1"/>
  <c r="Q445" i="2" s="1"/>
  <c r="Q34" i="2" a="1"/>
  <c r="Q34" i="2" s="1"/>
  <c r="Q1510" i="2" a="1"/>
  <c r="Q1510" i="2" s="1"/>
  <c r="Q180" i="2" a="1"/>
  <c r="Q180" i="2" s="1"/>
  <c r="Q1427" i="2" a="1"/>
  <c r="Q1427" i="2" s="1"/>
  <c r="Q1258" i="2" a="1"/>
  <c r="Q1258" i="2" s="1"/>
  <c r="Q358" i="2" a="1"/>
  <c r="Q358" i="2" s="1"/>
  <c r="Q533" i="2" a="1"/>
  <c r="Q533" i="2" s="1"/>
  <c r="Q1734" i="2" a="1"/>
  <c r="Q1734" i="2" s="1"/>
  <c r="Q925" i="2" a="1"/>
  <c r="Q925" i="2" s="1"/>
  <c r="Q477" i="2" a="1"/>
  <c r="Q477" i="2" s="1"/>
  <c r="Q100" i="2" a="1"/>
  <c r="Q100" i="2" s="1"/>
  <c r="Q825" i="2" a="1"/>
  <c r="Q825" i="2" s="1"/>
  <c r="Q612" i="2" a="1"/>
  <c r="Q612" i="2" s="1"/>
  <c r="Q895" i="2" a="1"/>
  <c r="Q895" i="2" s="1"/>
  <c r="Q1217" i="2" a="1"/>
  <c r="Q1217" i="2" s="1"/>
  <c r="Q839" i="2" a="1"/>
  <c r="Q839" i="2" s="1"/>
  <c r="Q1509" i="2" a="1"/>
  <c r="Q1509" i="2" s="1"/>
  <c r="Q1587" i="2" a="1"/>
  <c r="Q1587" i="2" s="1"/>
  <c r="Q826" i="2" a="1"/>
  <c r="Q826" i="2" s="1"/>
  <c r="Q546" i="2" a="1"/>
  <c r="Q546" i="2" s="1"/>
  <c r="Q103" i="2" a="1"/>
  <c r="Q103" i="2" s="1"/>
  <c r="Q106" i="2" a="1"/>
  <c r="Q106" i="2" s="1"/>
  <c r="Q862" i="2" a="1"/>
  <c r="Q862" i="2" s="1"/>
  <c r="Q60" i="2" a="1"/>
  <c r="Q60" i="2" s="1"/>
  <c r="Q57" i="2" a="1"/>
  <c r="Q57" i="2" s="1"/>
  <c r="Q1345" i="2" a="1"/>
  <c r="Q1345" i="2" s="1"/>
  <c r="Q1374" i="2" a="1"/>
  <c r="Q1374" i="2" s="1"/>
  <c r="Q1397" i="2" a="1"/>
  <c r="Q1397" i="2" s="1"/>
  <c r="Q953" i="2" a="1"/>
  <c r="Q953" i="2" s="1"/>
  <c r="Q26" i="2" a="1"/>
  <c r="Q26" i="2" s="1"/>
  <c r="Q819" i="2" a="1"/>
  <c r="Q819" i="2" s="1"/>
  <c r="Q1685" i="2" a="1"/>
  <c r="Q1685" i="2" s="1"/>
  <c r="Q705" i="2" a="1"/>
  <c r="Q705" i="2" s="1"/>
  <c r="Q1079" i="2" a="1"/>
  <c r="Q1079" i="2" s="1"/>
  <c r="Q446" i="2" a="1"/>
  <c r="Q446" i="2" s="1"/>
  <c r="Q1501" i="2" a="1"/>
  <c r="Q1501" i="2" s="1"/>
  <c r="Q1286" i="2" a="1"/>
  <c r="Q1286" i="2" s="1"/>
  <c r="Q1518" i="2" a="1"/>
  <c r="Q1518" i="2" s="1"/>
  <c r="Q50" i="2" a="1"/>
  <c r="Q50" i="2" s="1"/>
  <c r="Q876" i="2" a="1"/>
  <c r="Q876" i="2" s="1"/>
  <c r="Q133" i="2" a="1"/>
  <c r="Q133" i="2" s="1"/>
  <c r="Q415" i="2" a="1"/>
  <c r="Q415" i="2" s="1"/>
  <c r="Q157" i="2" a="1"/>
  <c r="Q157" i="2" s="1"/>
  <c r="Q119" i="2" a="1"/>
  <c r="Q119" i="2" s="1"/>
  <c r="Q36" i="2" a="1"/>
  <c r="Q36" i="2" s="1"/>
  <c r="Q79" i="2" a="1"/>
  <c r="Q79" i="2" s="1"/>
  <c r="Q1232" i="2" a="1"/>
  <c r="Q1232" i="2" s="1"/>
  <c r="Q545" i="2" a="1"/>
  <c r="Q545" i="2" s="1"/>
  <c r="Q1570" i="2" a="1"/>
  <c r="Q1570" i="2" s="1"/>
  <c r="Q513" i="2" a="1"/>
  <c r="Q513" i="2" s="1"/>
  <c r="Q1401" i="2" a="1"/>
  <c r="Q1401" i="2" s="1"/>
  <c r="Q1205" i="2" a="1"/>
  <c r="Q1205" i="2" s="1"/>
  <c r="Q154" i="2" a="1"/>
  <c r="Q154" i="2" s="1"/>
  <c r="Q355" i="2" a="1"/>
  <c r="Q355" i="2" s="1"/>
  <c r="Q857" i="2" a="1"/>
  <c r="Q857" i="2" s="1"/>
  <c r="Q1381" i="2" a="1"/>
  <c r="Q1381" i="2" s="1"/>
  <c r="Q1337" i="2" a="1"/>
  <c r="Q1337" i="2" s="1"/>
  <c r="Q1180" i="2" a="1"/>
  <c r="Q1180" i="2" s="1"/>
  <c r="Q1220" i="2" a="1"/>
  <c r="Q1220" i="2" s="1"/>
  <c r="Q1584" i="2" a="1"/>
  <c r="Q1584" i="2" s="1"/>
  <c r="Q67" i="2" a="1"/>
  <c r="Q67" i="2" s="1"/>
  <c r="Q73" i="2" a="1"/>
  <c r="Q73" i="2" s="1"/>
  <c r="Q824" i="2" a="1"/>
  <c r="Q824" i="2" s="1"/>
  <c r="Q611" i="2" a="1"/>
  <c r="Q611" i="2" s="1"/>
  <c r="Q1739" i="2" a="1"/>
  <c r="Q1739" i="2" s="1"/>
  <c r="Q1375" i="2" a="1"/>
  <c r="Q1375" i="2" s="1"/>
  <c r="Q897" i="2" a="1"/>
  <c r="Q897" i="2" s="1"/>
  <c r="Q810" i="2" a="1"/>
  <c r="Q810" i="2" s="1"/>
  <c r="Q416" i="2" a="1"/>
  <c r="Q416" i="2" s="1"/>
  <c r="Q409" i="2" a="1"/>
  <c r="Q409" i="2" s="1"/>
  <c r="Q1585" i="2" a="1"/>
  <c r="Q1585" i="2" s="1"/>
  <c r="Q687" i="2" a="1"/>
  <c r="Q687" i="2" s="1"/>
  <c r="Q489" i="2" a="1"/>
  <c r="Q489" i="2" s="1"/>
  <c r="Q1312" i="2" a="1"/>
  <c r="Q1312" i="2" s="1"/>
  <c r="Q832" i="2" a="1"/>
  <c r="Q832" i="2" s="1"/>
  <c r="Q1722" i="2" a="1"/>
  <c r="Q1722" i="2" s="1"/>
  <c r="Q855" i="2" a="1"/>
  <c r="Q855" i="2" s="1"/>
  <c r="Q854" i="2" a="1"/>
  <c r="Q854" i="2" s="1"/>
  <c r="Q926" i="2" a="1"/>
  <c r="Q926" i="2" s="1"/>
  <c r="Q1246" i="2" a="1"/>
  <c r="Q1246" i="2" s="1"/>
  <c r="Q1349" i="2" a="1"/>
  <c r="Q1349" i="2" s="1"/>
  <c r="Q139" i="2" a="1"/>
  <c r="Q139" i="2" s="1"/>
  <c r="Q326" i="2" a="1"/>
  <c r="Q326" i="2" s="1"/>
  <c r="Q811" i="2" a="1"/>
  <c r="Q811" i="2" s="1"/>
  <c r="Q1310" i="2" a="1"/>
  <c r="Q1310" i="2" s="1"/>
  <c r="Q27" i="2" a="1"/>
  <c r="Q27" i="2" s="1"/>
  <c r="Q911" i="2" a="1"/>
  <c r="Q911" i="2" s="1"/>
  <c r="Q127" i="2" a="1"/>
  <c r="Q127" i="2" s="1"/>
  <c r="Q804" i="2" a="1"/>
  <c r="Q804" i="2" s="1"/>
  <c r="Q1411" i="2" a="1"/>
  <c r="Q1411" i="2" s="1"/>
  <c r="Q188" i="2" a="1"/>
  <c r="Q188" i="2" s="1"/>
  <c r="Q1255" i="2" a="1"/>
  <c r="Q1255" i="2" s="1"/>
  <c r="Q1344" i="2" a="1"/>
  <c r="Q1344" i="2" s="1"/>
  <c r="Q812" i="2" a="1"/>
  <c r="Q812" i="2" s="1"/>
  <c r="Q1305" i="2" a="1"/>
  <c r="Q1305" i="2" s="1"/>
  <c r="Q829" i="2" a="1"/>
  <c r="Q829" i="2" s="1"/>
  <c r="Q1347" i="2" a="1"/>
  <c r="Q1347" i="2" s="1"/>
  <c r="Q1434" i="2" a="1"/>
  <c r="Q1434" i="2" s="1"/>
  <c r="Q8" i="2" a="1"/>
  <c r="Q8" i="2" s="1"/>
  <c r="Q898" i="2" a="1"/>
  <c r="Q898" i="2" s="1"/>
  <c r="Q1729" i="2" a="1"/>
  <c r="Q1729" i="2" s="1"/>
  <c r="Q1737" i="2" a="1"/>
  <c r="Q1737" i="2" s="1"/>
  <c r="Q447" i="2" a="1"/>
  <c r="Q447" i="2" s="1"/>
  <c r="Q72" i="2" a="1"/>
  <c r="Q72" i="2" s="1"/>
  <c r="Q1221" i="2" a="1"/>
  <c r="Q1221" i="2" s="1"/>
  <c r="Q359" i="2" a="1"/>
  <c r="Q359" i="2" s="1"/>
  <c r="Q351" i="2" a="1"/>
  <c r="Q351" i="2" s="1"/>
  <c r="Q1224" i="2" a="1"/>
  <c r="Q1224" i="2" s="1"/>
  <c r="Q311" i="2" a="1"/>
  <c r="Q311" i="2" s="1"/>
  <c r="Q1666" i="2" a="1"/>
  <c r="Q1666" i="2" s="1"/>
  <c r="Q1740" i="2" a="1"/>
  <c r="Q1740" i="2" s="1"/>
  <c r="Q1504" i="2" a="1"/>
  <c r="Q1504" i="2" s="1"/>
  <c r="Q527" i="2" a="1"/>
  <c r="Q527" i="2" s="1"/>
  <c r="Q115" i="2" a="1"/>
  <c r="Q115" i="2" s="1"/>
  <c r="Q1558" i="2" a="1"/>
  <c r="Q1558" i="2" s="1"/>
  <c r="Q1412" i="2" a="1"/>
  <c r="Q1412" i="2" s="1"/>
  <c r="Q917" i="2" a="1"/>
  <c r="Q917" i="2" s="1"/>
  <c r="Q918" i="2" a="1"/>
  <c r="Q918" i="2" s="1"/>
  <c r="Q677" i="2" a="1"/>
  <c r="Q677" i="2" s="1"/>
  <c r="Q1559" i="2" a="1"/>
  <c r="Q1559" i="2" s="1"/>
  <c r="Q449" i="2" a="1"/>
  <c r="Q449" i="2" s="1"/>
  <c r="Q69" i="2" a="1"/>
  <c r="Q69" i="2" s="1"/>
  <c r="Q1519" i="2" a="1"/>
  <c r="Q1519" i="2" s="1"/>
  <c r="Q41" i="2" a="1"/>
  <c r="Q41" i="2" s="1"/>
  <c r="Q1505" i="2" a="1"/>
  <c r="Q1505" i="2" s="1"/>
  <c r="Q1240" i="2" a="1"/>
  <c r="Q1240" i="2" s="1"/>
  <c r="Q9" i="2" a="1"/>
  <c r="Q9" i="2" s="1"/>
  <c r="Q66" i="2" a="1"/>
  <c r="Q66" i="2" s="1"/>
  <c r="Q448" i="2" a="1"/>
  <c r="Q448" i="2" s="1"/>
  <c r="Q478" i="2" a="1"/>
  <c r="Q478" i="2" s="1"/>
  <c r="Q1051" i="2" a="1"/>
  <c r="Q1051" i="2" s="1"/>
  <c r="Q592" i="2" a="1"/>
  <c r="Q592" i="2" s="1"/>
  <c r="Q1413" i="2" a="1"/>
  <c r="Q1413" i="2" s="1"/>
  <c r="Q169" i="2" a="1"/>
  <c r="Q169" i="2" s="1"/>
  <c r="Q1025" i="2" a="1"/>
  <c r="Q1025" i="2" s="1"/>
  <c r="Q460" i="2" a="1"/>
  <c r="Q460" i="2" s="1"/>
  <c r="Q28" i="2" a="1"/>
  <c r="Q28" i="2" s="1"/>
  <c r="Q1202" i="2" a="1"/>
  <c r="Q1202" i="2" s="1"/>
  <c r="Q1369" i="2" a="1"/>
  <c r="Q1369" i="2" s="1"/>
  <c r="Q1683" i="2" a="1"/>
  <c r="Q1683" i="2" s="1"/>
  <c r="Q549" i="2" a="1"/>
  <c r="Q549" i="2" s="1"/>
  <c r="Q1497" i="2" a="1"/>
  <c r="Q1497" i="2" s="1"/>
  <c r="Q341" i="2" a="1"/>
  <c r="Q341" i="2" s="1"/>
  <c r="Q1054" i="2" a="1"/>
  <c r="Q1054" i="2" s="1"/>
  <c r="Q1668" i="2" a="1"/>
  <c r="Q1668" i="2" s="1"/>
  <c r="Q1389" i="2" a="1"/>
  <c r="Q1389" i="2" s="1"/>
  <c r="Q952" i="2" a="1"/>
  <c r="Q952" i="2" s="1"/>
  <c r="Q77" i="2" a="1"/>
  <c r="Q77" i="2" s="1"/>
  <c r="Q29" i="2" a="1"/>
  <c r="Q29" i="2" s="1"/>
  <c r="Q1520" i="2" a="1"/>
  <c r="Q1520" i="2" s="1"/>
  <c r="Q1601" i="2" a="1"/>
  <c r="Q1601" i="2" s="1"/>
  <c r="Q813" i="2" a="1"/>
  <c r="Q813" i="2" s="1"/>
  <c r="Q504" i="2" a="1"/>
  <c r="Q504" i="2" s="1"/>
  <c r="Q1741" i="2" a="1"/>
  <c r="Q1741" i="2" s="1"/>
  <c r="Q1424" i="2" a="1"/>
  <c r="Q1424" i="2" s="1"/>
  <c r="Q1193" i="2" a="1"/>
  <c r="Q1193" i="2" s="1"/>
  <c r="Q10" i="2" a="1"/>
  <c r="Q10" i="2" s="1"/>
  <c r="Q109" i="2" a="1"/>
  <c r="Q109" i="2" s="1"/>
  <c r="Q1626" i="2" a="1"/>
  <c r="Q1626" i="2" s="1"/>
  <c r="Q900" i="2" a="1"/>
  <c r="Q900" i="2" s="1"/>
  <c r="Q927" i="2" a="1"/>
  <c r="Q927" i="2" s="1"/>
  <c r="Q499" i="2" a="1"/>
  <c r="Q499" i="2" s="1"/>
  <c r="Q360" i="2" a="1"/>
  <c r="Q360" i="2" s="1"/>
  <c r="Q1541" i="2" a="1"/>
  <c r="Q1541" i="2" s="1"/>
  <c r="Q492" i="2" a="1"/>
  <c r="Q492" i="2" s="1"/>
  <c r="Q550" i="2" a="1"/>
  <c r="Q550" i="2" s="1"/>
  <c r="Q123" i="2" a="1"/>
  <c r="Q123" i="2" s="1"/>
  <c r="Q30" i="2" a="1"/>
  <c r="Q30" i="2" s="1"/>
  <c r="Q685" i="2" a="1"/>
  <c r="Q685" i="2" s="1"/>
  <c r="Q342" i="2" a="1"/>
  <c r="Q342" i="2" s="1"/>
  <c r="Q11" i="2" a="1"/>
  <c r="Q11" i="2" s="1"/>
  <c r="Q899" i="2" a="1"/>
  <c r="Q899" i="2" s="1"/>
  <c r="Q1542" i="2" a="1"/>
  <c r="Q1542" i="2" s="1"/>
  <c r="Q1338" i="2" a="1"/>
  <c r="Q1338" i="2" s="1"/>
  <c r="Q111" i="2" a="1"/>
  <c r="Q111" i="2" s="1"/>
  <c r="Q161" i="2" a="1"/>
  <c r="Q161" i="2" s="1"/>
  <c r="Q1393" i="2" a="1"/>
  <c r="Q1393" i="2" s="1"/>
  <c r="Q1179" i="2" a="1"/>
  <c r="Q1179" i="2" s="1"/>
  <c r="Q1499" i="2" a="1"/>
  <c r="Q1499" i="2" s="1"/>
  <c r="Q863" i="2" a="1"/>
  <c r="Q863" i="2" s="1"/>
  <c r="Q1521" i="2" a="1"/>
  <c r="Q1521" i="2" s="1"/>
  <c r="Q1414" i="2" a="1"/>
  <c r="Q1414" i="2" s="1"/>
  <c r="Q609" i="2" a="1"/>
  <c r="Q609" i="2" s="1"/>
  <c r="Q1644" i="2" a="1"/>
  <c r="Q1644" i="2" s="1"/>
  <c r="Q68" i="2" a="1"/>
  <c r="Q68" i="2" s="1"/>
  <c r="Q1415" i="2" a="1"/>
  <c r="Q1415" i="2" s="1"/>
  <c r="Q867" i="2" a="1"/>
  <c r="Q867" i="2" s="1"/>
  <c r="Q450" i="2" a="1"/>
  <c r="Q450" i="2" s="1"/>
  <c r="Q1560" i="2" a="1"/>
  <c r="Q1560" i="2" s="1"/>
  <c r="Q1339" i="2" a="1"/>
  <c r="Q1339" i="2" s="1"/>
  <c r="Q1259" i="2" a="1"/>
  <c r="Q1259" i="2" s="1"/>
  <c r="Q1543" i="2" a="1"/>
  <c r="Q1543" i="2" s="1"/>
  <c r="Q1215" i="2" a="1"/>
  <c r="Q1215" i="2" s="1"/>
  <c r="Q551" i="2" a="1"/>
  <c r="Q551" i="2" s="1"/>
  <c r="Q1723" i="2" a="1"/>
  <c r="Q1723" i="2" s="1"/>
  <c r="Q686" i="2" a="1"/>
  <c r="Q686" i="2" s="1"/>
  <c r="Q417" i="2" a="1"/>
  <c r="Q417" i="2" s="1"/>
  <c r="Q836" i="2" a="1"/>
  <c r="Q836" i="2" s="1"/>
  <c r="Q1247" i="2" a="1"/>
  <c r="Q1247" i="2" s="1"/>
  <c r="Q361" i="2" a="1"/>
  <c r="Q361" i="2" s="1"/>
  <c r="Q330" i="2" a="1"/>
  <c r="Q330" i="2" s="1"/>
  <c r="Q1511" i="2" a="1"/>
  <c r="Q1511" i="2" s="1"/>
  <c r="Q1677" i="2" a="1"/>
  <c r="Q1677" i="2" s="1"/>
  <c r="Q1522" i="2" a="1"/>
  <c r="Q1522" i="2" s="1"/>
  <c r="Q901" i="2" a="1"/>
  <c r="Q901" i="2" s="1"/>
  <c r="Q902" i="2" a="1"/>
  <c r="Q902" i="2" s="1"/>
  <c r="Q520" i="2" a="1"/>
  <c r="Q520" i="2" s="1"/>
  <c r="Q141" i="2" a="1"/>
  <c r="Q141" i="2" s="1"/>
  <c r="Q1309" i="2" a="1"/>
  <c r="Q1309" i="2" s="1"/>
  <c r="Q814" i="2" a="1"/>
  <c r="Q814" i="2" s="1"/>
  <c r="Q1318" i="2" a="1"/>
  <c r="Q1318" i="2" s="1"/>
  <c r="Q1281" i="2" a="1"/>
  <c r="Q1281" i="2" s="1"/>
  <c r="Q815" i="2" a="1"/>
  <c r="Q815" i="2" s="1"/>
  <c r="Q805" i="2" a="1"/>
  <c r="Q805" i="2" s="1"/>
  <c r="Q1272" i="2" a="1"/>
  <c r="Q1272" i="2" s="1"/>
  <c r="Q1498" i="2" a="1"/>
  <c r="Q1498" i="2" s="1"/>
  <c r="Q367" i="2" a="1"/>
  <c r="Q367" i="2" s="1"/>
  <c r="Q1249" i="2" a="1"/>
  <c r="Q1249" i="2" s="1"/>
  <c r="Q113" i="2" a="1"/>
  <c r="Q113" i="2" s="1"/>
  <c r="Q142" i="2" a="1"/>
  <c r="Q142" i="2" s="1"/>
  <c r="Q524" i="2" a="1"/>
  <c r="Q524" i="2" s="1"/>
  <c r="Q554" i="2" a="1"/>
  <c r="Q554" i="2" s="1"/>
  <c r="Q614" i="2" a="1"/>
  <c r="Q614" i="2" s="1"/>
  <c r="Q147" i="2" a="1"/>
  <c r="Q147" i="2" s="1"/>
  <c r="Q1284" i="2" a="1"/>
  <c r="Q1284" i="2" s="1"/>
  <c r="Q1274" i="2" a="1"/>
  <c r="Q1274" i="2" s="1"/>
  <c r="Q1219" i="2" a="1"/>
  <c r="Q1219" i="2" s="1"/>
  <c r="Q1206" i="2" a="1"/>
  <c r="Q1206" i="2" s="1"/>
  <c r="Q659" i="2" a="1"/>
  <c r="Q659" i="2" s="1"/>
  <c r="Q43" i="2" a="1"/>
  <c r="Q43" i="2" s="1"/>
  <c r="Q80" i="2" a="1"/>
  <c r="Q80" i="2" s="1"/>
  <c r="Q1020" i="2" a="1"/>
  <c r="Q1020" i="2" s="1"/>
  <c r="Q71" i="2" a="1"/>
  <c r="Q71" i="2" s="1"/>
  <c r="Q1340" i="2" a="1"/>
  <c r="Q1340" i="2" s="1"/>
  <c r="Q116" i="2" a="1"/>
  <c r="Q116" i="2" s="1"/>
  <c r="Q503" i="2" a="1"/>
  <c r="Q503" i="2" s="1"/>
  <c r="Q172" i="2" a="1"/>
  <c r="Q172" i="2" s="1"/>
  <c r="Q692" i="2" a="1"/>
  <c r="Q692" i="2" s="1"/>
  <c r="Q1493" i="2" a="1"/>
  <c r="Q1493" i="2" s="1"/>
  <c r="Q1433" i="2" a="1"/>
  <c r="Q1433" i="2" s="1"/>
  <c r="Q1627" i="2" a="1"/>
  <c r="Q1627" i="2" s="1"/>
  <c r="Q896" i="2" a="1"/>
  <c r="Q896" i="2" s="1"/>
  <c r="Q343" i="2" a="1"/>
  <c r="Q343" i="2" s="1"/>
  <c r="Q838" i="2" a="1"/>
  <c r="Q838" i="2" s="1"/>
  <c r="Q1680" i="2" a="1"/>
  <c r="Q1680" i="2" s="1"/>
  <c r="Q690" i="2" a="1"/>
  <c r="Q690" i="2" s="1"/>
  <c r="Q693" i="2" a="1"/>
  <c r="Q693" i="2" s="1"/>
  <c r="Q1692" i="2" a="1"/>
  <c r="Q1692" i="2" s="1"/>
  <c r="Q1354" i="2" a="1"/>
  <c r="Q1354" i="2" s="1"/>
  <c r="Q828" i="2" a="1"/>
  <c r="Q828" i="2" s="1"/>
  <c r="Q560" i="2" a="1"/>
  <c r="Q560" i="2" s="1"/>
  <c r="Q173" i="2" a="1"/>
  <c r="Q173" i="2" s="1"/>
  <c r="Q1669" i="2" a="1"/>
  <c r="Q1669" i="2" s="1"/>
  <c r="Q174" i="2" a="1"/>
  <c r="Q174" i="2" s="1"/>
  <c r="Q86" i="2" a="1"/>
  <c r="Q86" i="2" s="1"/>
  <c r="Q184" i="2" a="1"/>
  <c r="Q184" i="2" s="1"/>
  <c r="Q1351" i="2" a="1"/>
  <c r="Q1351" i="2" s="1"/>
  <c r="Q932" i="2" a="1"/>
  <c r="Q932" i="2" s="1"/>
  <c r="Q31" i="2" a="1"/>
  <c r="Q31" i="2" s="1"/>
  <c r="Q64" i="2" a="1"/>
  <c r="Q64" i="2" s="1"/>
  <c r="Q65" i="2" a="1"/>
  <c r="Q65" i="2" s="1"/>
  <c r="Q1720" i="2" a="1"/>
  <c r="Q1720" i="2" s="1"/>
  <c r="Q451" i="2" a="1"/>
  <c r="Q451" i="2" s="1"/>
  <c r="Q12" i="2" a="1"/>
  <c r="Q12" i="2" s="1"/>
  <c r="Q155" i="2" a="1"/>
  <c r="Q155" i="2" s="1"/>
  <c r="Q1671" i="2" a="1"/>
  <c r="Q1671" i="2" s="1"/>
  <c r="Q912" i="2" a="1"/>
  <c r="Q912" i="2" s="1"/>
  <c r="Q410" i="2" a="1"/>
  <c r="Q410" i="2" s="1"/>
  <c r="Q1533" i="2" a="1"/>
  <c r="Q1533" i="2" s="1"/>
  <c r="Q1261" i="2" a="1"/>
  <c r="Q1261" i="2" s="1"/>
  <c r="Q46" i="2" a="1"/>
  <c r="Q46" i="2" s="1"/>
  <c r="Q190" i="2" a="1"/>
  <c r="Q190" i="2" s="1"/>
  <c r="Q699" i="2" a="1"/>
  <c r="Q699" i="2" s="1"/>
  <c r="Q44" i="2" a="1"/>
  <c r="Q44" i="2" s="1"/>
  <c r="Q518" i="2" a="1"/>
  <c r="Q518" i="2" s="1"/>
  <c r="Q674" i="2" a="1"/>
  <c r="Q674" i="2" s="1"/>
  <c r="Q363" i="2" a="1"/>
  <c r="Q363" i="2" s="1"/>
  <c r="Q1390" i="2" a="1"/>
  <c r="Q1390" i="2" s="1"/>
  <c r="Q160" i="2" a="1"/>
  <c r="Q160" i="2" s="1"/>
  <c r="Q1654" i="2" a="1"/>
  <c r="Q1654" i="2" s="1"/>
  <c r="Q510" i="2" a="1"/>
  <c r="Q510" i="2" s="1"/>
  <c r="Q1270" i="2" a="1"/>
  <c r="Q1270" i="2" s="1"/>
  <c r="Q933" i="2" a="1"/>
  <c r="Q933" i="2" s="1"/>
  <c r="Q185" i="2" a="1"/>
  <c r="Q185" i="2" s="1"/>
  <c r="Q675" i="2" a="1"/>
  <c r="Q675" i="2" s="1"/>
  <c r="Q903" i="2" a="1"/>
  <c r="Q903" i="2" s="1"/>
  <c r="Q13" i="2" a="1"/>
  <c r="Q13" i="2" s="1"/>
  <c r="Q370" i="2" a="1"/>
  <c r="Q370" i="2" s="1"/>
  <c r="Q38" i="2" a="1"/>
  <c r="Q38" i="2" s="1"/>
  <c r="Q703" i="2" a="1"/>
  <c r="Q703" i="2" s="1"/>
  <c r="Q312" i="2" a="1"/>
  <c r="Q312" i="2" s="1"/>
  <c r="Q14" i="2" a="1"/>
  <c r="Q14" i="2" s="1"/>
  <c r="Q85" i="2" a="1"/>
  <c r="Q85" i="2" s="1"/>
  <c r="Q90" i="2" a="1"/>
  <c r="Q90" i="2" s="1"/>
  <c r="Q1212" i="2" a="1"/>
  <c r="Q1212" i="2" s="1"/>
  <c r="Q1208" i="2" a="1"/>
  <c r="Q1208" i="2" s="1"/>
  <c r="Q683" i="2" a="1"/>
  <c r="Q683" i="2" s="1"/>
  <c r="Q1416" i="2" a="1"/>
  <c r="Q1416" i="2" s="1"/>
  <c r="Q40" i="2" a="1"/>
  <c r="Q40" i="2" s="1"/>
  <c r="Q49" i="2" a="1"/>
  <c r="Q49" i="2" s="1"/>
  <c r="Q345" i="2" a="1"/>
  <c r="Q345" i="2" s="1"/>
  <c r="Q183" i="2" a="1"/>
  <c r="Q183" i="2" s="1"/>
  <c r="Q1700" i="2" a="1"/>
  <c r="Q1700" i="2" s="1"/>
  <c r="Q928" i="2" a="1"/>
  <c r="Q928" i="2" s="1"/>
  <c r="Q535" i="2" a="1"/>
  <c r="Q535" i="2" s="1"/>
  <c r="Q1295" i="2" a="1"/>
  <c r="Q1295" i="2" s="1"/>
  <c r="Q159" i="2" a="1"/>
  <c r="Q159" i="2" s="1"/>
  <c r="Q821" i="2" a="1"/>
  <c r="Q821" i="2" s="1"/>
  <c r="Q1264" i="2" a="1"/>
  <c r="Q1264" i="2" s="1"/>
  <c r="Q479" i="2" a="1"/>
  <c r="Q479" i="2" s="1"/>
  <c r="Q1244" i="2" a="1"/>
  <c r="Q1244" i="2" s="1"/>
  <c r="Q22" i="2" a="1"/>
  <c r="Q22" i="2" s="1"/>
  <c r="Q534" i="2" a="1"/>
  <c r="Q534" i="2" s="1"/>
  <c r="Q536" i="2" a="1"/>
  <c r="Q536" i="2" s="1"/>
  <c r="Q15" i="2" a="1"/>
  <c r="Q15" i="2" s="1"/>
  <c r="Q1607" i="2" a="1"/>
  <c r="Q1607" i="2" s="1"/>
  <c r="Q1614" i="2" a="1"/>
  <c r="Q1614" i="2" s="1"/>
  <c r="Q1602" i="2" a="1"/>
  <c r="Q1602" i="2" s="1"/>
  <c r="Q1615" i="2" a="1"/>
  <c r="Q1615" i="2" s="1"/>
  <c r="Q1248" i="2" a="1"/>
  <c r="Q1248" i="2" s="1"/>
  <c r="Q346" i="2" a="1"/>
  <c r="Q346" i="2" s="1"/>
  <c r="Q1526" i="2" a="1"/>
  <c r="Q1526" i="2" s="1"/>
  <c r="Q140" i="2" a="1"/>
  <c r="Q140" i="2" s="1"/>
  <c r="Q1026" i="2" a="1"/>
  <c r="Q1026" i="2" s="1"/>
  <c r="Q1207" i="2" a="1"/>
  <c r="Q1207" i="2" s="1"/>
  <c r="Q1280" i="2" a="1"/>
  <c r="Q1280" i="2" s="1"/>
  <c r="Q537" i="2" a="1"/>
  <c r="Q537" i="2" s="1"/>
  <c r="Q877" i="2" a="1"/>
  <c r="Q877" i="2" s="1"/>
  <c r="Q152" i="2" a="1"/>
  <c r="Q152" i="2" s="1"/>
  <c r="Q905" i="2" a="1"/>
  <c r="Q905" i="2" s="1"/>
  <c r="Q1384" i="2" a="1"/>
  <c r="Q1384" i="2" s="1"/>
  <c r="Q1405" i="2" a="1"/>
  <c r="Q1405" i="2" s="1"/>
  <c r="Q70" i="2" a="1"/>
  <c r="Q70" i="2" s="1"/>
  <c r="Q1417" i="2" a="1"/>
  <c r="Q1417" i="2" s="1"/>
  <c r="Q1691" i="2" a="1"/>
  <c r="Q1691" i="2" s="1"/>
  <c r="Q1283" i="2" a="1"/>
  <c r="Q1283" i="2" s="1"/>
  <c r="Q181" i="2" a="1"/>
  <c r="Q181" i="2" s="1"/>
  <c r="Q1581" i="2" a="1"/>
  <c r="Q1581" i="2" s="1"/>
  <c r="Q1544" i="2" a="1"/>
  <c r="Q1544" i="2" s="1"/>
  <c r="Q1561" i="2" a="1"/>
  <c r="Q1561" i="2" s="1"/>
  <c r="Q1545" i="2" a="1"/>
  <c r="Q1545" i="2" s="1"/>
  <c r="Q458" i="2" a="1"/>
  <c r="Q458" i="2" s="1"/>
  <c r="Q42" i="2" a="1"/>
  <c r="Q42" i="2" s="1"/>
  <c r="Q16" i="2" a="1"/>
  <c r="Q16" i="2" s="1"/>
  <c r="Q1546" i="2" a="1"/>
  <c r="Q1546" i="2" s="1"/>
  <c r="Q1655" i="2" a="1"/>
  <c r="Q1655" i="2" s="1"/>
  <c r="Q538" i="2" a="1"/>
  <c r="Q538" i="2" s="1"/>
  <c r="Q1724" i="2" a="1"/>
  <c r="Q1724" i="2" s="1"/>
  <c r="Q694" i="2" a="1"/>
  <c r="Q694" i="2" s="1"/>
  <c r="Q1391" i="2" a="1"/>
  <c r="Q1391" i="2" s="1"/>
  <c r="Q1195" i="2" a="1"/>
  <c r="Q1195" i="2" s="1"/>
  <c r="Q820" i="2" a="1"/>
  <c r="Q820" i="2" s="1"/>
  <c r="Q481" i="2" a="1"/>
  <c r="Q481" i="2" s="1"/>
  <c r="Q465" i="2" a="1"/>
  <c r="Q465" i="2" s="1"/>
  <c r="Q1210" i="2" a="1"/>
  <c r="Q1210" i="2" s="1"/>
  <c r="Q731" i="2" a="1"/>
  <c r="Q731" i="2" s="1"/>
  <c r="Q1394" i="2" a="1"/>
  <c r="Q1394" i="2" s="1"/>
  <c r="Q126" i="2" a="1"/>
  <c r="Q126" i="2" s="1"/>
  <c r="Q17" i="2" a="1"/>
  <c r="Q17" i="2" s="1"/>
  <c r="Q1288" i="2" a="1"/>
  <c r="Q1288" i="2" s="1"/>
  <c r="Q47" i="2" a="1"/>
  <c r="Q47" i="2" s="1"/>
  <c r="Q696" i="2" a="1"/>
  <c r="Q696" i="2" s="1"/>
  <c r="Q517" i="2" a="1"/>
  <c r="Q517" i="2" s="1"/>
  <c r="Q906" i="2" a="1"/>
  <c r="Q906" i="2" s="1"/>
  <c r="Q1523" i="2" a="1"/>
  <c r="Q1523" i="2" s="1"/>
  <c r="Q1323" i="2" a="1"/>
  <c r="Q1323" i="2" s="1"/>
  <c r="Q1721" i="2" a="1"/>
  <c r="Q1721" i="2" s="1"/>
  <c r="Q335" i="2" a="1"/>
  <c r="Q335" i="2" s="1"/>
  <c r="Q1056" i="2" a="1"/>
  <c r="Q1056" i="2" s="1"/>
  <c r="Q480" i="2" a="1"/>
  <c r="Q480" i="2" s="1"/>
  <c r="Q1547" i="2" a="1"/>
  <c r="Q1547" i="2" s="1"/>
  <c r="Q904" i="2" a="1"/>
  <c r="Q904" i="2" s="1"/>
  <c r="Q1608" i="2" a="1"/>
  <c r="Q1608" i="2" s="1"/>
  <c r="Q1341" i="2" a="1"/>
  <c r="Q1341" i="2" s="1"/>
  <c r="Q323" i="2" a="1"/>
  <c r="Q323" i="2" s="1"/>
  <c r="Q1571" i="2" a="1"/>
  <c r="Q1571" i="2" s="1"/>
  <c r="Q1603" i="2" a="1"/>
  <c r="Q1603" i="2" s="1"/>
  <c r="Q1507" i="2" a="1"/>
  <c r="Q1507" i="2" s="1"/>
  <c r="Q1392" i="2" a="1"/>
  <c r="Q1392" i="2" s="1"/>
  <c r="Q1574" i="2" a="1"/>
  <c r="Q1574" i="2" s="1"/>
  <c r="Q491" i="2" a="1"/>
  <c r="Q491" i="2" s="1"/>
  <c r="Q1656" i="2" a="1"/>
  <c r="Q1656" i="2" s="1"/>
  <c r="Q849" i="2" a="1"/>
  <c r="Q849" i="2" s="1"/>
  <c r="Q62" i="2" a="1"/>
  <c r="Q62" i="2" s="1"/>
  <c r="Q325" i="2" a="1"/>
  <c r="Q325" i="2" s="1"/>
  <c r="Q1586" i="2" a="1"/>
  <c r="Q1586" i="2" s="1"/>
  <c r="Q1582" i="2" a="1"/>
  <c r="Q1582" i="2" s="1"/>
  <c r="Q929" i="2" a="1"/>
  <c r="Q929" i="2" s="1"/>
  <c r="Q511" i="2" a="1"/>
  <c r="Q511" i="2" s="1"/>
  <c r="Q494" i="2" a="1"/>
  <c r="Q494" i="2" s="1"/>
  <c r="Q1245" i="2" a="1"/>
  <c r="Q1245" i="2" s="1"/>
  <c r="Q18" i="2" a="1"/>
  <c r="Q18" i="2" s="1"/>
  <c r="Q908" i="2" a="1"/>
  <c r="Q908" i="2" s="1"/>
  <c r="Q1241" i="2" a="1"/>
  <c r="Q1241" i="2" s="1"/>
  <c r="Q907" i="2" a="1"/>
  <c r="Q907" i="2" s="1"/>
  <c r="Q482" i="2" a="1"/>
  <c r="Q482" i="2" s="1"/>
  <c r="Q483" i="2" a="1"/>
  <c r="Q483" i="2" s="1"/>
  <c r="Q1262" i="2" a="1"/>
  <c r="Q1262" i="2" s="1"/>
  <c r="Q1358" i="2" a="1"/>
  <c r="Q1358" i="2" s="1"/>
  <c r="Q364" i="2" a="1"/>
  <c r="Q364" i="2" s="1"/>
  <c r="Q910" i="2" a="1"/>
  <c r="Q910" i="2" s="1"/>
  <c r="Q845" i="2" a="1"/>
  <c r="Q845" i="2" s="1"/>
  <c r="Q1647" i="2" a="1"/>
  <c r="Q1647" i="2" s="1"/>
  <c r="Q75" i="2" a="1"/>
  <c r="Q75" i="2" s="1"/>
  <c r="Q144" i="2" a="1"/>
  <c r="Q144" i="2" s="1"/>
  <c r="Q56" i="2" a="1"/>
  <c r="Q56" i="2" s="1"/>
  <c r="Q45" i="2" a="1"/>
  <c r="Q45" i="2" s="1"/>
  <c r="Q1350" i="2" a="1"/>
  <c r="Q1350" i="2" s="1"/>
  <c r="Q454" i="2" a="1"/>
  <c r="Q454" i="2" s="1"/>
  <c r="Q846" i="2" a="1"/>
  <c r="Q846" i="2" s="1"/>
  <c r="Q909" i="2" a="1"/>
  <c r="Q909" i="2" s="1"/>
  <c r="Q87" i="2" a="1"/>
  <c r="Q87" i="2" s="1"/>
  <c r="Q1230" i="2" a="1"/>
  <c r="Q1230" i="2" s="1"/>
  <c r="Q1352" i="2" a="1"/>
  <c r="Q1352" i="2" s="1"/>
  <c r="Q682" i="2" a="1"/>
  <c r="Q682" i="2" s="1"/>
  <c r="Q1382" i="2" a="1"/>
  <c r="Q1382" i="2" s="1"/>
  <c r="Q1383" i="2" a="1"/>
  <c r="Q1383" i="2" s="1"/>
  <c r="Q320" i="2" a="1"/>
  <c r="Q320" i="2" s="1"/>
  <c r="Q108" i="2" a="1"/>
  <c r="Q108" i="2" s="1"/>
  <c r="Q1674" i="2" a="1"/>
  <c r="Q1674" i="2" s="1"/>
  <c r="Q521" i="2" a="1"/>
  <c r="Q521" i="2" s="1"/>
  <c r="Q681" i="2" a="1"/>
  <c r="Q681" i="2" s="1"/>
  <c r="Q129" i="2" a="1"/>
  <c r="Q129" i="2" s="1"/>
  <c r="Q501" i="2" a="1"/>
  <c r="Q501" i="2" s="1"/>
  <c r="Q165" i="2" a="1"/>
  <c r="Q165" i="2" s="1"/>
  <c r="Q354" i="2" a="1"/>
  <c r="Q354" i="2" s="1"/>
  <c r="Q878" i="2" a="1"/>
  <c r="Q878" i="2" s="1"/>
  <c r="Q879" i="2" a="1"/>
  <c r="Q879" i="2" s="1"/>
  <c r="Q1399" i="2" a="1"/>
  <c r="Q1399" i="2" s="1"/>
  <c r="Q132" i="2" a="1"/>
  <c r="Q132" i="2" s="1"/>
  <c r="Q464" i="2" a="1"/>
  <c r="Q464" i="2" s="1"/>
  <c r="Q377" i="2" a="1"/>
  <c r="Q377" i="2" s="1"/>
  <c r="Q324" i="2" a="1"/>
  <c r="Q324" i="2" s="1"/>
  <c r="Q1565" i="2" a="1"/>
  <c r="Q1565" i="2" s="1"/>
  <c r="Q1302" i="2" a="1"/>
  <c r="Q1302" i="2" s="1"/>
  <c r="Q348" i="2" a="1"/>
  <c r="Q348" i="2" s="1"/>
  <c r="Q1572" i="2" a="1"/>
  <c r="Q1572" i="2" s="1"/>
  <c r="Q177" i="2" a="1"/>
  <c r="Q177" i="2" s="1"/>
  <c r="Q1201" i="2" a="1"/>
  <c r="Q1201" i="2" s="1"/>
  <c r="Q55" i="2" a="1"/>
  <c r="Q55" i="2" s="1"/>
  <c r="Q708" i="2" a="1"/>
  <c r="Q708" i="2" s="1"/>
  <c r="Q455" i="2" a="1"/>
  <c r="Q455" i="2" s="1"/>
  <c r="Q1421" i="2" a="1"/>
  <c r="Q1421" i="2" s="1"/>
  <c r="Q331" i="2" a="1"/>
  <c r="Q331" i="2" s="1"/>
  <c r="Q1278" i="2" a="1"/>
  <c r="Q1278" i="2" s="1"/>
  <c r="Q418" i="2" a="1"/>
  <c r="Q418" i="2" s="1"/>
  <c r="Q453" i="2" a="1"/>
  <c r="Q453" i="2" s="1"/>
  <c r="Q816" i="2" a="1"/>
  <c r="Q816" i="2" s="1"/>
  <c r="Q362" i="2" a="1"/>
  <c r="Q362" i="2" s="1"/>
  <c r="Q707" i="2" a="1"/>
  <c r="Q707" i="2" s="1"/>
  <c r="Q353" i="2" a="1"/>
  <c r="Q353" i="2" s="1"/>
  <c r="Q539" i="2" a="1"/>
  <c r="Q539" i="2" s="1"/>
  <c r="Q1670" i="2" a="1"/>
  <c r="Q1670" i="2" s="1"/>
  <c r="Q120" i="2" a="1"/>
  <c r="Q120" i="2" s="1"/>
  <c r="Q128" i="2" a="1"/>
  <c r="Q128" i="2" s="1"/>
  <c r="Q1218" i="2" a="1"/>
  <c r="Q1218" i="2" s="1"/>
  <c r="Q1730" i="2" a="1"/>
  <c r="Q1730" i="2" s="1"/>
  <c r="Q930" i="2" a="1"/>
  <c r="Q930" i="2" s="1"/>
  <c r="Q48" i="2" a="1"/>
  <c r="Q48" i="2" s="1"/>
  <c r="Q1398" i="2" a="1"/>
  <c r="Q1398" i="2" s="1"/>
  <c r="Q515" i="2" a="1"/>
  <c r="Q515" i="2" s="1"/>
  <c r="Q1319" i="2" a="1"/>
  <c r="Q1319" i="2" s="1"/>
  <c r="Q484" i="2" a="1"/>
  <c r="Q484" i="2" s="1"/>
  <c r="Q1648" i="2" a="1"/>
  <c r="Q1648" i="2" s="1"/>
  <c r="Q1260" i="2" a="1"/>
  <c r="Q1260" i="2" s="1"/>
  <c r="Q1213" i="2" a="1"/>
  <c r="Q1213" i="2" s="1"/>
  <c r="Q1235" i="2" a="1"/>
  <c r="Q1235" i="2" s="1"/>
  <c r="Q32" i="2" a="1"/>
  <c r="Q32" i="2" s="1"/>
  <c r="Q508" i="2" a="1"/>
  <c r="Q508" i="2" s="1"/>
  <c r="Q1701" i="2" a="1"/>
  <c r="Q1701" i="2" s="1"/>
  <c r="Q1628" i="2" a="1"/>
  <c r="Q1628" i="2" s="1"/>
  <c r="Q33" i="2" a="1"/>
  <c r="Q33" i="2" s="1"/>
  <c r="Q500" i="2" a="1"/>
  <c r="Q500" i="2" s="1"/>
  <c r="Q1370" i="2" a="1"/>
  <c r="Q1370" i="2" s="1"/>
  <c r="Q1649" i="2" a="1"/>
  <c r="Q1649" i="2" s="1"/>
  <c r="Q158" i="2" a="1"/>
  <c r="Q158" i="2" s="1"/>
  <c r="Q1735" i="2" a="1"/>
  <c r="Q1735" i="2" s="1"/>
  <c r="Q1346" i="2" a="1"/>
  <c r="Q1346" i="2" s="1"/>
  <c r="Q921" i="2" a="1"/>
  <c r="Q921" i="2" s="1"/>
  <c r="Q1430" i="2" a="1"/>
  <c r="Q1430" i="2" s="1"/>
  <c r="Q1048" i="2" a="1"/>
  <c r="Q1048" i="2" s="1"/>
  <c r="Q145" i="2" a="1"/>
  <c r="Q145" i="2" s="1"/>
  <c r="Q505" i="2" a="1"/>
  <c r="Q505" i="2" s="1"/>
  <c r="Q1227" i="2" a="1"/>
  <c r="Q1227" i="2" s="1"/>
  <c r="Q485" i="2" a="1"/>
  <c r="Q485" i="2" s="1"/>
  <c r="Q817" i="2" a="1"/>
  <c r="Q817" i="2" s="1"/>
  <c r="Q456" i="2" a="1"/>
  <c r="Q456" i="2" s="1"/>
  <c r="Q1252" i="2" a="1"/>
  <c r="Q1252" i="2" s="1"/>
  <c r="Q1490" i="2" a="1"/>
  <c r="Q1490" i="2" s="1"/>
  <c r="Q493" i="2" a="1"/>
  <c r="Q493" i="2" s="1"/>
  <c r="Q506" i="2" a="1"/>
  <c r="Q506" i="2" s="1"/>
  <c r="Q1502" i="2" a="1"/>
  <c r="Q1502" i="2" s="1"/>
  <c r="Q344" i="2" a="1"/>
  <c r="Q344" i="2" s="1"/>
  <c r="Q319" i="2" a="1"/>
  <c r="Q319" i="2" s="1"/>
  <c r="Q37" i="2" a="1"/>
  <c r="Q37" i="2" s="1"/>
  <c r="Q162" i="2" a="1"/>
  <c r="Q162" i="2" s="1"/>
  <c r="Q1211" i="2" a="1"/>
  <c r="Q1211" i="2" s="1"/>
  <c r="Q695" i="2" a="1"/>
  <c r="Q695" i="2" s="1"/>
  <c r="Q490" i="2" a="1"/>
  <c r="Q490" i="2" s="1"/>
  <c r="Q102" i="2" a="1"/>
  <c r="Q102" i="2" s="1"/>
  <c r="Q1418" i="2" a="1"/>
  <c r="Q1418" i="2" s="1"/>
  <c r="Q1566" i="2" a="1"/>
  <c r="Q1566" i="2" s="1"/>
  <c r="Q1431" i="2" a="1"/>
  <c r="Q1431" i="2" s="1"/>
  <c r="Q1629" i="2" a="1"/>
  <c r="Q1629" i="2" s="1"/>
  <c r="M4" i="4"/>
  <c r="L4" i="4"/>
  <c r="J5" i="4" a="1"/>
  <c r="C2" i="16"/>
  <c r="C27" i="16"/>
  <c r="D27" i="16" s="1"/>
  <c r="F27" i="16" s="1"/>
  <c r="C28" i="16"/>
  <c r="D28" i="16" s="1"/>
  <c r="F28" i="16" s="1"/>
  <c r="C29" i="16"/>
  <c r="D29" i="16" s="1"/>
  <c r="F29" i="16" s="1"/>
  <c r="C30" i="16"/>
  <c r="D30" i="16" s="1"/>
  <c r="F30" i="16" s="1"/>
  <c r="C31" i="16"/>
  <c r="D31" i="16" s="1"/>
  <c r="F31" i="16" s="1"/>
  <c r="C32" i="16"/>
  <c r="D32" i="16" s="1"/>
  <c r="F32" i="16" s="1"/>
  <c r="C33" i="16"/>
  <c r="D33" i="16" s="1"/>
  <c r="F33" i="16" s="1"/>
  <c r="C34" i="16"/>
  <c r="D34" i="16" s="1"/>
  <c r="F34" i="16" s="1"/>
  <c r="C35" i="16"/>
  <c r="D35" i="16" s="1"/>
  <c r="F35" i="16" s="1"/>
  <c r="C36" i="16"/>
  <c r="D36" i="16" s="1"/>
  <c r="F36" i="16" s="1"/>
  <c r="J5" i="4" l="1"/>
  <c r="M5" i="4" s="1" a="1"/>
  <c r="N4" i="4"/>
  <c r="A1711" i="2"/>
  <c r="A1712" i="2"/>
  <c r="A1713" i="2"/>
  <c r="A1714" i="2"/>
  <c r="A1715" i="2"/>
  <c r="A1716" i="2"/>
  <c r="A1717" i="2"/>
  <c r="A1703" i="2"/>
  <c r="A1704" i="2"/>
  <c r="A1705" i="2"/>
  <c r="A1706" i="2"/>
  <c r="A1707" i="2"/>
  <c r="A1708" i="2"/>
  <c r="A1709" i="2"/>
  <c r="A1710" i="2"/>
  <c r="A1702" i="2"/>
  <c r="V6" i="4"/>
  <c r="V5" i="4"/>
  <c r="V4" i="4"/>
  <c r="U6" i="4"/>
  <c r="U5" i="4"/>
  <c r="U4" i="4"/>
  <c r="W4" i="4" l="1"/>
  <c r="W5" i="4"/>
  <c r="W6" i="4"/>
  <c r="L5" i="4" a="1"/>
  <c r="L5" i="4" s="1"/>
  <c r="M5" i="4"/>
  <c r="O7" i="4" s="1" a="1"/>
  <c r="O7" i="4" s="1"/>
  <c r="W7" i="4" s="1"/>
  <c r="W1503" i="2"/>
  <c r="W1506" i="2"/>
  <c r="W1584" i="2"/>
  <c r="W1585" i="2"/>
  <c r="W1504" i="2"/>
  <c r="W1507" i="2"/>
  <c r="W1508" i="2"/>
  <c r="W1586" i="2"/>
  <c r="W1534" i="2"/>
  <c r="W1591" i="2"/>
  <c r="W1667" i="2"/>
  <c r="W1604" i="2"/>
  <c r="W1562" i="2"/>
  <c r="W1563" i="2"/>
  <c r="W1527" i="2"/>
  <c r="W1512" i="2"/>
  <c r="W1575" i="2"/>
  <c r="W1550" i="2"/>
  <c r="W1528" i="2"/>
  <c r="W1567" i="2"/>
  <c r="W1529" i="2"/>
  <c r="W1551" i="2"/>
  <c r="W1552" i="2"/>
  <c r="W1659" i="2"/>
  <c r="W1632" i="2"/>
  <c r="W1609" i="2"/>
  <c r="W1650" i="2"/>
  <c r="W1610" i="2"/>
  <c r="W1633" i="2"/>
  <c r="W1634" i="2"/>
  <c r="W1611" i="2"/>
  <c r="W1592" i="2"/>
  <c r="W1513" i="2"/>
  <c r="W1568" i="2"/>
  <c r="W1651" i="2"/>
  <c r="W1593" i="2"/>
  <c r="W1616" i="2"/>
  <c r="W1617" i="2"/>
  <c r="W1660" i="2"/>
  <c r="W1661" i="2"/>
  <c r="W1618" i="2"/>
  <c r="W1553" i="2"/>
  <c r="W1635" i="2"/>
  <c r="W1662" i="2"/>
  <c r="W1619" i="2"/>
  <c r="W1657" i="2"/>
  <c r="W1524" i="2"/>
  <c r="W1589" i="2"/>
  <c r="W1535" i="2"/>
  <c r="W1514" i="2"/>
  <c r="W1530" i="2"/>
  <c r="W1536" i="2"/>
  <c r="W1652" i="2"/>
  <c r="W1620" i="2"/>
  <c r="W1630" i="2"/>
  <c r="W1554" i="2"/>
  <c r="W1555" i="2"/>
  <c r="W1548" i="2"/>
  <c r="W1537" i="2"/>
  <c r="W1612" i="2"/>
  <c r="W1588" i="2"/>
  <c r="W1576" i="2"/>
  <c r="W1564" i="2"/>
  <c r="W1594" i="2"/>
  <c r="W1636" i="2"/>
  <c r="W1531" i="2"/>
  <c r="W1595" i="2"/>
  <c r="W1538" i="2"/>
  <c r="W1577" i="2"/>
  <c r="W1578" i="2"/>
  <c r="W1579" i="2"/>
  <c r="W1515" i="2"/>
  <c r="W1621" i="2"/>
  <c r="W1637" i="2"/>
  <c r="W1638" i="2"/>
  <c r="W1605" i="2"/>
  <c r="W1639" i="2"/>
  <c r="W1569" i="2"/>
  <c r="W1622" i="2"/>
  <c r="W1539" i="2"/>
  <c r="W1573" i="2"/>
  <c r="W1540" i="2"/>
  <c r="W1532" i="2"/>
  <c r="W1525" i="2"/>
  <c r="W1640" i="2"/>
  <c r="W1556" i="2"/>
  <c r="W1580" i="2"/>
  <c r="W1663" i="2"/>
  <c r="W1664" i="2"/>
  <c r="W1645" i="2"/>
  <c r="W1653" i="2"/>
  <c r="W1658" i="2"/>
  <c r="W1596" i="2"/>
  <c r="W1597" i="2"/>
  <c r="W1606" i="2"/>
  <c r="W1623" i="2"/>
  <c r="W1516" i="2"/>
  <c r="W1641" i="2"/>
  <c r="W1557" i="2"/>
  <c r="W1598" i="2"/>
  <c r="W1613" i="2"/>
  <c r="W1599" i="2"/>
  <c r="W1646" i="2"/>
  <c r="W1517" i="2"/>
  <c r="W1665" i="2"/>
  <c r="W1624" i="2"/>
  <c r="W1642" i="2"/>
  <c r="W1625" i="2"/>
  <c r="W1631" i="2"/>
  <c r="W1549" i="2"/>
  <c r="W1643" i="2"/>
  <c r="W1590" i="2"/>
  <c r="W1600" i="2"/>
  <c r="W1583" i="2"/>
  <c r="W1510" i="2"/>
  <c r="W1509" i="2"/>
  <c r="W1587" i="2"/>
  <c r="W1518" i="2"/>
  <c r="W1570" i="2"/>
  <c r="W1666" i="2"/>
  <c r="W1558" i="2"/>
  <c r="W1559" i="2"/>
  <c r="W1519" i="2"/>
  <c r="W1505" i="2"/>
  <c r="W1520" i="2"/>
  <c r="W1601" i="2"/>
  <c r="W1626" i="2"/>
  <c r="W1541" i="2"/>
  <c r="W1542" i="2"/>
  <c r="W1521" i="2"/>
  <c r="W1644" i="2"/>
  <c r="W1560" i="2"/>
  <c r="W1543" i="2"/>
  <c r="W1511" i="2"/>
  <c r="W1522" i="2"/>
  <c r="W1627" i="2"/>
  <c r="W1533" i="2"/>
  <c r="W1654" i="2"/>
  <c r="W1607" i="2"/>
  <c r="W1614" i="2"/>
  <c r="W1602" i="2"/>
  <c r="W1615" i="2"/>
  <c r="W1526" i="2"/>
  <c r="W1581" i="2"/>
  <c r="W1544" i="2"/>
  <c r="W1561" i="2"/>
  <c r="W1545" i="2"/>
  <c r="W1546" i="2"/>
  <c r="W1655" i="2"/>
  <c r="W1523" i="2"/>
  <c r="W1547" i="2"/>
  <c r="W1608" i="2"/>
  <c r="W1571" i="2"/>
  <c r="W1603" i="2"/>
  <c r="W1574" i="2"/>
  <c r="W1656" i="2"/>
  <c r="W1582" i="2"/>
  <c r="W1647" i="2"/>
  <c r="W1565" i="2"/>
  <c r="W1572" i="2"/>
  <c r="W1648" i="2"/>
  <c r="W1628" i="2"/>
  <c r="W1649" i="2"/>
  <c r="W1566" i="2"/>
  <c r="W1629" i="2"/>
  <c r="O6" i="4" l="1" a="1"/>
  <c r="O6" i="4" s="1"/>
  <c r="A798" i="2"/>
  <c r="A797" i="2"/>
  <c r="A796" i="2"/>
  <c r="A795" i="2"/>
  <c r="A794" i="2"/>
  <c r="A793" i="2"/>
  <c r="A791" i="2"/>
  <c r="A724" i="2"/>
  <c r="K5" i="4" l="1" a="1"/>
  <c r="A1507" i="2"/>
  <c r="A1361" i="2"/>
  <c r="A1403" i="2"/>
  <c r="A496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698" i="2"/>
  <c r="A410" i="2"/>
  <c r="A1249" i="2"/>
  <c r="A1311" i="2"/>
  <c r="A921" i="2"/>
  <c r="A932" i="2"/>
  <c r="A1208" i="2"/>
  <c r="A37" i="2"/>
  <c r="A38" i="2"/>
  <c r="A39" i="2"/>
  <c r="A40" i="2"/>
  <c r="A41" i="2"/>
  <c r="A42" i="2"/>
  <c r="A43" i="2"/>
  <c r="A44" i="2"/>
  <c r="A338" i="2"/>
  <c r="A45" i="2"/>
  <c r="A46" i="2"/>
  <c r="A874" i="2"/>
  <c r="A1209" i="2"/>
  <c r="A1250" i="2"/>
  <c r="A1222" i="2"/>
  <c r="A354" i="2"/>
  <c r="A47" i="2"/>
  <c r="A48" i="2"/>
  <c r="A49" i="2"/>
  <c r="A50" i="2"/>
  <c r="A51" i="2"/>
  <c r="A1420" i="2"/>
  <c r="A1210" i="2"/>
  <c r="A52" i="2"/>
  <c r="A819" i="2"/>
  <c r="A371" i="2"/>
  <c r="A1232" i="2"/>
  <c r="A1367" i="2"/>
  <c r="A53" i="2"/>
  <c r="A54" i="2"/>
  <c r="A55" i="2"/>
  <c r="A1319" i="2"/>
  <c r="A56" i="2"/>
  <c r="A57" i="2"/>
  <c r="A688" i="2"/>
  <c r="A58" i="2"/>
  <c r="A1496" i="2"/>
  <c r="A59" i="2"/>
  <c r="A60" i="2"/>
  <c r="A61" i="2"/>
  <c r="A62" i="2"/>
  <c r="A63" i="2"/>
  <c r="A512" i="2"/>
  <c r="A64" i="2"/>
  <c r="A65" i="2"/>
  <c r="A1277" i="2"/>
  <c r="A1378" i="2"/>
  <c r="A878" i="2"/>
  <c r="A66" i="2"/>
  <c r="A67" i="2"/>
  <c r="A1211" i="2"/>
  <c r="A68" i="2"/>
  <c r="A1225" i="2"/>
  <c r="A69" i="2"/>
  <c r="A70" i="2"/>
  <c r="A500" i="2"/>
  <c r="A71" i="2"/>
  <c r="A919" i="2"/>
  <c r="A72" i="2"/>
  <c r="A1283" i="2"/>
  <c r="A1490" i="2"/>
  <c r="A1251" i="2"/>
  <c r="A348" i="2"/>
  <c r="A871" i="2"/>
  <c r="A73" i="2"/>
  <c r="A1212" i="2"/>
  <c r="A1392" i="2"/>
  <c r="A74" i="2"/>
  <c r="A1233" i="2"/>
  <c r="A1291" i="2"/>
  <c r="A1270" i="2"/>
  <c r="A75" i="2"/>
  <c r="A1379" i="2"/>
  <c r="A76" i="2"/>
  <c r="A1393" i="2"/>
  <c r="A1381" i="2"/>
  <c r="A690" i="2"/>
  <c r="A77" i="2"/>
  <c r="A1424" i="2"/>
  <c r="A78" i="2"/>
  <c r="A526" i="2"/>
  <c r="A877" i="2"/>
  <c r="A1213" i="2"/>
  <c r="A1301" i="2"/>
  <c r="A518" i="2"/>
  <c r="A861" i="2"/>
  <c r="A1207" i="2"/>
  <c r="A859" i="2"/>
  <c r="A825" i="2"/>
  <c r="A933" i="2"/>
  <c r="A851" i="2"/>
  <c r="A1271" i="2"/>
  <c r="A504" i="2"/>
  <c r="A880" i="2"/>
  <c r="A79" i="2"/>
  <c r="A1214" i="2"/>
  <c r="A1284" i="2"/>
  <c r="A1297" i="2"/>
  <c r="A80" i="2"/>
  <c r="A542" i="2"/>
  <c r="A1215" i="2"/>
  <c r="A872" i="2"/>
  <c r="A1216" i="2"/>
  <c r="A81" i="2"/>
  <c r="A1302" i="2"/>
  <c r="A1252" i="2"/>
  <c r="A920" i="2"/>
  <c r="A82" i="2"/>
  <c r="A1234" i="2"/>
  <c r="A463" i="2"/>
  <c r="A83" i="2"/>
  <c r="A506" i="2"/>
  <c r="A1253" i="2"/>
  <c r="A1425" i="2"/>
  <c r="A84" i="2"/>
  <c r="A85" i="2"/>
  <c r="A694" i="2"/>
  <c r="A1406" i="2"/>
  <c r="A858" i="2"/>
  <c r="A345" i="2"/>
  <c r="A86" i="2"/>
  <c r="A87" i="2"/>
  <c r="A1303" i="2"/>
  <c r="A1423" i="2"/>
  <c r="A873" i="2"/>
  <c r="A88" i="2"/>
  <c r="A89" i="2"/>
  <c r="A1298" i="2"/>
  <c r="A1295" i="2"/>
  <c r="A1237" i="2"/>
  <c r="A1357" i="2"/>
  <c r="A1254" i="2"/>
  <c r="A90" i="2"/>
  <c r="A324" i="2"/>
  <c r="A1255" i="2"/>
  <c r="A91" i="2"/>
  <c r="A92" i="2"/>
  <c r="A93" i="2"/>
  <c r="A505" i="2"/>
  <c r="A1256" i="2"/>
  <c r="A94" i="2"/>
  <c r="A95" i="2"/>
  <c r="A1257" i="2"/>
  <c r="A411" i="2"/>
  <c r="A850" i="2"/>
  <c r="A1258" i="2"/>
  <c r="A96" i="2"/>
  <c r="A1259" i="2"/>
  <c r="A97" i="2"/>
  <c r="A813" i="2"/>
  <c r="A1304" i="2"/>
  <c r="A98" i="2"/>
  <c r="A99" i="2"/>
  <c r="A100" i="2"/>
  <c r="A1320" i="2"/>
  <c r="A1313" i="2"/>
  <c r="A805" i="2"/>
  <c r="A101" i="2"/>
  <c r="A102" i="2"/>
  <c r="A420" i="2"/>
  <c r="A103" i="2"/>
  <c r="A1426" i="2"/>
  <c r="A104" i="2"/>
  <c r="A1721" i="2"/>
  <c r="A105" i="2"/>
  <c r="A826" i="2"/>
  <c r="A544" i="2"/>
  <c r="A106" i="2"/>
  <c r="A107" i="2"/>
  <c r="A108" i="2"/>
  <c r="A109" i="2"/>
  <c r="A110" i="2"/>
  <c r="A1305" i="2"/>
  <c r="A1217" i="2"/>
  <c r="A111" i="2"/>
  <c r="A112" i="2"/>
  <c r="A1274" i="2"/>
  <c r="A113" i="2"/>
  <c r="A839" i="2"/>
  <c r="A114" i="2"/>
  <c r="A816" i="2"/>
  <c r="A522" i="2"/>
  <c r="A115" i="2"/>
  <c r="A527" i="2"/>
  <c r="A857" i="2"/>
  <c r="A503" i="2"/>
  <c r="A116" i="2"/>
  <c r="A1427" i="2"/>
  <c r="A1235" i="2"/>
  <c r="A699" i="2"/>
  <c r="A862" i="2"/>
  <c r="A1428" i="2"/>
  <c r="A117" i="2"/>
  <c r="A118" i="2"/>
  <c r="A462" i="2"/>
  <c r="A1314" i="2"/>
  <c r="A119" i="2"/>
  <c r="A545" i="2"/>
  <c r="A464" i="2"/>
  <c r="A120" i="2"/>
  <c r="A121" i="2"/>
  <c r="A122" i="2"/>
  <c r="A1370" i="2"/>
  <c r="A123" i="2"/>
  <c r="A124" i="2"/>
  <c r="A1429" i="2"/>
  <c r="A832" i="2"/>
  <c r="A125" i="2"/>
  <c r="A514" i="2"/>
  <c r="A126" i="2"/>
  <c r="A501" i="2"/>
  <c r="A1260" i="2"/>
  <c r="A1421" i="2"/>
  <c r="A127" i="2"/>
  <c r="A1347" i="2"/>
  <c r="A128" i="2"/>
  <c r="A325" i="2"/>
  <c r="A129" i="2"/>
  <c r="A130" i="2"/>
  <c r="A131" i="2"/>
  <c r="A875" i="2"/>
  <c r="A132" i="2"/>
  <c r="A1493" i="2"/>
  <c r="A1285" i="2"/>
  <c r="A1430" i="2"/>
  <c r="A133" i="2"/>
  <c r="A1382" i="2"/>
  <c r="A870" i="2"/>
  <c r="A1431" i="2"/>
  <c r="A1368" i="2"/>
  <c r="A876" i="2"/>
  <c r="A369" i="2"/>
  <c r="A519" i="2"/>
  <c r="A352" i="2"/>
  <c r="A1432" i="2"/>
  <c r="A1500" i="2"/>
  <c r="A134" i="2"/>
  <c r="A1218" i="2"/>
  <c r="A1306" i="2"/>
  <c r="A1219" i="2"/>
  <c r="A1494" i="2"/>
  <c r="A685" i="2"/>
  <c r="A412" i="2"/>
  <c r="A326" i="2"/>
  <c r="A1383" i="2"/>
  <c r="A135" i="2"/>
  <c r="A1286" i="2"/>
  <c r="A375" i="2"/>
  <c r="A684" i="2"/>
  <c r="A1236" i="2"/>
  <c r="A1668" i="2"/>
  <c r="A1230" i="2"/>
  <c r="A423" i="2"/>
  <c r="A136" i="2"/>
  <c r="A137" i="2"/>
  <c r="A138" i="2"/>
  <c r="A327" i="2"/>
  <c r="A1242" i="2"/>
  <c r="A1307" i="2"/>
  <c r="A139" i="2"/>
  <c r="A140" i="2"/>
  <c r="A1315" i="2"/>
  <c r="A1224" i="2"/>
  <c r="A1433" i="2"/>
  <c r="A141" i="2"/>
  <c r="A142" i="2"/>
  <c r="A1385" i="2"/>
  <c r="A1205" i="2"/>
  <c r="A689" i="2"/>
  <c r="A143" i="2"/>
  <c r="A1322" i="2"/>
  <c r="A144" i="2"/>
  <c r="A1276" i="2"/>
  <c r="A145" i="2"/>
  <c r="A146" i="2"/>
  <c r="A1404" i="2"/>
  <c r="A804" i="2"/>
  <c r="A147" i="2"/>
  <c r="A465" i="2"/>
  <c r="A686" i="2"/>
  <c r="A1287" i="2"/>
  <c r="A148" i="2"/>
  <c r="A1261" i="2"/>
  <c r="A149" i="2"/>
  <c r="A150" i="2"/>
  <c r="A151" i="2"/>
  <c r="A1290" i="2"/>
  <c r="A1299" i="2"/>
  <c r="A1422" i="2"/>
  <c r="A1288" i="2"/>
  <c r="A152" i="2"/>
  <c r="A1220" i="2"/>
  <c r="A513" i="2"/>
  <c r="A153" i="2"/>
  <c r="A1323" i="2"/>
  <c r="A1434" i="2"/>
  <c r="A1300" i="2"/>
  <c r="A154" i="2"/>
  <c r="A370" i="2"/>
  <c r="A355" i="2"/>
  <c r="A546" i="2"/>
  <c r="A1296" i="2"/>
  <c r="A1221" i="2"/>
  <c r="A1308" i="2"/>
  <c r="A934" i="2"/>
  <c r="A376" i="2"/>
  <c r="A155" i="2"/>
  <c r="A1268" i="2"/>
  <c r="A373" i="2"/>
  <c r="A156" i="2"/>
  <c r="A157" i="2"/>
  <c r="A158" i="2"/>
  <c r="A860" i="2"/>
  <c r="A1399" i="2"/>
  <c r="A1671" i="2"/>
  <c r="A159" i="2"/>
  <c r="A160" i="2"/>
  <c r="A161" i="2"/>
  <c r="A162" i="2"/>
  <c r="A163" i="2"/>
  <c r="A1263" i="2"/>
  <c r="A1231" i="2"/>
  <c r="A372" i="2"/>
  <c r="A328" i="2"/>
  <c r="A1321" i="2"/>
  <c r="A1435" i="2"/>
  <c r="A517" i="2"/>
  <c r="A1292" i="2"/>
  <c r="A329" i="2"/>
  <c r="A164" i="2"/>
  <c r="A377" i="2"/>
  <c r="A1670" i="2"/>
  <c r="A330" i="2"/>
  <c r="A165" i="2"/>
  <c r="A166" i="2"/>
  <c r="A1294" i="2"/>
  <c r="A1505" i="2"/>
  <c r="A520" i="2"/>
  <c r="A331" i="2"/>
  <c r="A1366" i="2"/>
  <c r="A830" i="2"/>
  <c r="A1278" i="2"/>
  <c r="A167" i="2"/>
  <c r="A1279" i="2"/>
  <c r="A332" i="2"/>
  <c r="A502" i="2"/>
  <c r="A353" i="2"/>
  <c r="A835" i="2"/>
  <c r="A1289" i="2"/>
  <c r="A836" i="2"/>
  <c r="A333" i="2"/>
  <c r="A334" i="2"/>
  <c r="A1309" i="2"/>
  <c r="A335" i="2"/>
  <c r="A168" i="2"/>
  <c r="A169" i="2"/>
  <c r="A336" i="2"/>
  <c r="A687" i="2"/>
  <c r="A1310" i="2"/>
  <c r="A36" i="2"/>
  <c r="A1273" i="2"/>
  <c r="A35" i="2"/>
  <c r="A1282" i="2"/>
  <c r="A34" i="2"/>
  <c r="A912" i="2"/>
  <c r="A543" i="2"/>
  <c r="A323" i="2"/>
  <c r="A405" i="2"/>
  <c r="A404" i="2"/>
  <c r="A403" i="2"/>
  <c r="A402" i="2"/>
  <c r="A401" i="2"/>
  <c r="A400" i="2"/>
  <c r="A399" i="2"/>
  <c r="A398" i="2"/>
  <c r="A397" i="2"/>
  <c r="A396" i="2"/>
  <c r="A395" i="2"/>
  <c r="A394" i="2"/>
  <c r="A393" i="2"/>
  <c r="A392" i="2"/>
  <c r="A391" i="2"/>
  <c r="A337" i="2"/>
  <c r="A808" i="2"/>
  <c r="A806" i="2"/>
  <c r="A809" i="2"/>
  <c r="A815" i="2"/>
  <c r="A811" i="2"/>
  <c r="A814" i="2"/>
  <c r="A817" i="2"/>
  <c r="A812" i="2"/>
  <c r="A807" i="2"/>
  <c r="A1071" i="2"/>
  <c r="A1062" i="2"/>
  <c r="A1060" i="2"/>
  <c r="A1070" i="2"/>
  <c r="A810" i="2"/>
  <c r="A567" i="2"/>
  <c r="A568" i="2"/>
  <c r="A569" i="2"/>
  <c r="A570" i="2"/>
  <c r="A571" i="2"/>
  <c r="A572" i="2"/>
  <c r="A573" i="2"/>
  <c r="A574" i="2"/>
  <c r="A575" i="2"/>
  <c r="A576" i="2"/>
  <c r="A577" i="2"/>
  <c r="A661" i="2"/>
  <c r="A662" i="2"/>
  <c r="A663" i="2"/>
  <c r="A664" i="2"/>
  <c r="A665" i="2"/>
  <c r="A666" i="2"/>
  <c r="A668" i="2"/>
  <c r="A1142" i="2"/>
  <c r="A1734" i="2"/>
  <c r="A1732" i="2"/>
  <c r="A1742" i="2"/>
  <c r="A1731" i="2"/>
  <c r="C5" i="16"/>
  <c r="A461" i="2"/>
  <c r="A368" i="2"/>
  <c r="A516" i="2"/>
  <c r="A1402" i="2"/>
  <c r="A856" i="2"/>
  <c r="A186" i="2"/>
  <c r="A347" i="2"/>
  <c r="A1265" i="2"/>
  <c r="A175" i="2"/>
  <c r="A837" i="2"/>
  <c r="A1226" i="2"/>
  <c r="A176" i="2"/>
  <c r="A1491" i="2"/>
  <c r="A189" i="2"/>
  <c r="A1489" i="2"/>
  <c r="A1501" i="2"/>
  <c r="A1405" i="2"/>
  <c r="A366" i="2"/>
  <c r="A187" i="2"/>
  <c r="A1733" i="2"/>
  <c r="A1384" i="2"/>
  <c r="C3" i="16"/>
  <c r="C4" i="16"/>
  <c r="C6" i="16"/>
  <c r="D6" i="16" s="1"/>
  <c r="F6" i="16" s="1"/>
  <c r="C7" i="16"/>
  <c r="C8" i="16"/>
  <c r="D8" i="16" s="1"/>
  <c r="F8" i="16" s="1"/>
  <c r="C9" i="16"/>
  <c r="D9" i="16" s="1"/>
  <c r="F9" i="16" s="1"/>
  <c r="C10" i="16"/>
  <c r="D10" i="16" s="1"/>
  <c r="F10" i="16" s="1"/>
  <c r="C11" i="16"/>
  <c r="D11" i="16" s="1"/>
  <c r="F11" i="16" s="1"/>
  <c r="C12" i="16"/>
  <c r="D12" i="16" s="1"/>
  <c r="F12" i="16" s="1"/>
  <c r="C13" i="16"/>
  <c r="D13" i="16" s="1"/>
  <c r="F13" i="16" s="1"/>
  <c r="C14" i="16"/>
  <c r="D14" i="16" s="1"/>
  <c r="F14" i="16" s="1"/>
  <c r="C15" i="16"/>
  <c r="D15" i="16" s="1"/>
  <c r="F15" i="16" s="1"/>
  <c r="C16" i="16"/>
  <c r="D16" i="16" s="1"/>
  <c r="F16" i="16" s="1"/>
  <c r="C17" i="16"/>
  <c r="D17" i="16" s="1"/>
  <c r="F17" i="16" s="1"/>
  <c r="C18" i="16"/>
  <c r="D18" i="16" s="1"/>
  <c r="F18" i="16" s="1"/>
  <c r="C19" i="16"/>
  <c r="D19" i="16" s="1"/>
  <c r="F19" i="16" s="1"/>
  <c r="C20" i="16"/>
  <c r="D20" i="16" s="1"/>
  <c r="F20" i="16" s="1"/>
  <c r="C21" i="16"/>
  <c r="D21" i="16" s="1"/>
  <c r="F21" i="16" s="1"/>
  <c r="C22" i="16"/>
  <c r="D22" i="16" s="1"/>
  <c r="F22" i="16" s="1"/>
  <c r="C23" i="16"/>
  <c r="D23" i="16" s="1"/>
  <c r="F23" i="16" s="1"/>
  <c r="C24" i="16"/>
  <c r="D24" i="16" s="1"/>
  <c r="F24" i="16" s="1"/>
  <c r="C25" i="16"/>
  <c r="D25" i="16" s="1"/>
  <c r="F25" i="16" s="1"/>
  <c r="C26" i="16"/>
  <c r="D26" i="16" s="1"/>
  <c r="F26" i="16" s="1"/>
  <c r="F2" i="16"/>
  <c r="F3" i="16"/>
  <c r="F4" i="16"/>
  <c r="F7" i="16"/>
  <c r="A1052" i="2"/>
  <c r="A1053" i="2"/>
  <c r="A1054" i="2"/>
  <c r="A1056" i="2"/>
  <c r="A1057" i="2"/>
  <c r="A1058" i="2"/>
  <c r="A1156" i="2"/>
  <c r="A1157" i="2"/>
  <c r="A1158" i="2"/>
  <c r="A1159" i="2"/>
  <c r="A1160" i="2"/>
  <c r="A1161" i="2"/>
  <c r="A1162" i="2"/>
  <c r="A1163" i="2"/>
  <c r="A1164" i="2"/>
  <c r="A1165" i="2"/>
  <c r="A1166" i="2"/>
  <c r="A1073" i="2"/>
  <c r="A1074" i="2"/>
  <c r="A1075" i="2"/>
  <c r="A1076" i="2"/>
  <c r="A1077" i="2"/>
  <c r="A1078" i="2"/>
  <c r="A1080" i="2"/>
  <c r="A1081" i="2"/>
  <c r="A1083" i="2"/>
  <c r="A1064" i="2"/>
  <c r="A1065" i="2"/>
  <c r="A1066" i="2"/>
  <c r="A1067" i="2"/>
  <c r="A1068" i="2"/>
  <c r="A1069" i="2"/>
  <c r="A1072" i="2"/>
  <c r="A1194" i="2"/>
  <c r="A1196" i="2"/>
  <c r="A1198" i="2"/>
  <c r="A1199" i="2"/>
  <c r="A1200" i="2"/>
  <c r="A1202" i="2"/>
  <c r="A1204" i="2"/>
  <c r="A1167" i="2"/>
  <c r="A1168" i="2"/>
  <c r="A1169" i="2"/>
  <c r="A1170" i="2"/>
  <c r="A1171" i="2"/>
  <c r="A1172" i="2"/>
  <c r="A1173" i="2"/>
  <c r="A1174" i="2"/>
  <c r="A1175" i="2"/>
  <c r="A1177" i="2"/>
  <c r="A1178" i="2"/>
  <c r="A1182" i="2"/>
  <c r="A1029" i="2"/>
  <c r="A1030" i="2"/>
  <c r="A1031" i="2"/>
  <c r="A1032" i="2"/>
  <c r="A1033" i="2"/>
  <c r="A1034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1008" i="2"/>
  <c r="A951" i="2"/>
  <c r="A956" i="2"/>
  <c r="A957" i="2"/>
  <c r="A958" i="2"/>
  <c r="A959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036" i="2"/>
  <c r="A1037" i="2"/>
  <c r="A1038" i="2"/>
  <c r="A1039" i="2"/>
  <c r="A1040" i="2"/>
  <c r="A1041" i="2"/>
  <c r="A1042" i="2"/>
  <c r="A1044" i="2"/>
  <c r="A1045" i="2"/>
  <c r="A1046" i="2"/>
  <c r="A1018" i="2"/>
  <c r="A1019" i="2"/>
  <c r="A1021" i="2"/>
  <c r="A1022" i="2"/>
  <c r="A1023" i="2"/>
  <c r="A1024" i="2"/>
  <c r="A1025" i="2"/>
  <c r="A1026" i="2"/>
  <c r="A1027" i="2"/>
  <c r="A1028" i="2"/>
  <c r="A1133" i="2"/>
  <c r="A1134" i="2"/>
  <c r="A1135" i="2"/>
  <c r="A1136" i="2"/>
  <c r="A1137" i="2"/>
  <c r="A1138" i="2"/>
  <c r="A1139" i="2"/>
  <c r="A1140" i="2"/>
  <c r="A1141" i="2"/>
  <c r="A1181" i="2"/>
  <c r="A1143" i="2"/>
  <c r="A1144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06" i="2"/>
  <c r="A1007" i="2"/>
  <c r="A950" i="2"/>
  <c r="A1009" i="2"/>
  <c r="A1010" i="2"/>
  <c r="A1011" i="2"/>
  <c r="A1013" i="2"/>
  <c r="A1012" i="2"/>
  <c r="A1015" i="2"/>
  <c r="A1014" i="2"/>
  <c r="A1016" i="2"/>
  <c r="A1017" i="2"/>
  <c r="A972" i="2"/>
  <c r="A973" i="2"/>
  <c r="A974" i="2"/>
  <c r="A975" i="2"/>
  <c r="A976" i="2"/>
  <c r="A977" i="2"/>
  <c r="A978" i="2"/>
  <c r="A979" i="2"/>
  <c r="A980" i="2"/>
  <c r="A981" i="2"/>
  <c r="A1145" i="2"/>
  <c r="A1146" i="2"/>
  <c r="A1147" i="2"/>
  <c r="A1148" i="2"/>
  <c r="A1149" i="2"/>
  <c r="A1150" i="2"/>
  <c r="A1151" i="2"/>
  <c r="A1152" i="2"/>
  <c r="A1153" i="2"/>
  <c r="A1154" i="2"/>
  <c r="A1155" i="2"/>
  <c r="A1183" i="2"/>
  <c r="A1184" i="2"/>
  <c r="A1185" i="2"/>
  <c r="A1186" i="2"/>
  <c r="A1187" i="2"/>
  <c r="A1188" i="2"/>
  <c r="A1189" i="2"/>
  <c r="A1190" i="2"/>
  <c r="A1191" i="2"/>
  <c r="A1192" i="2"/>
  <c r="A1111" i="2"/>
  <c r="A1112" i="2"/>
  <c r="A1113" i="2"/>
  <c r="A1114" i="2"/>
  <c r="A1115" i="2"/>
  <c r="A1116" i="2"/>
  <c r="A1117" i="2"/>
  <c r="A1118" i="2"/>
  <c r="A1119" i="2"/>
  <c r="A1120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1059" i="2"/>
  <c r="A1061" i="2"/>
  <c r="A1063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98" i="2"/>
  <c r="A299" i="2"/>
  <c r="A300" i="2"/>
  <c r="A302" i="2"/>
  <c r="A303" i="2"/>
  <c r="A304" i="2"/>
  <c r="A305" i="2"/>
  <c r="A306" i="2"/>
  <c r="A307" i="2"/>
  <c r="A308" i="2"/>
  <c r="A309" i="2"/>
  <c r="A310" i="2"/>
  <c r="A191" i="2"/>
  <c r="A192" i="2"/>
  <c r="A193" i="2"/>
  <c r="A194" i="2"/>
  <c r="A195" i="2"/>
  <c r="A197" i="2"/>
  <c r="A198" i="2"/>
  <c r="A199" i="2"/>
  <c r="A200" i="2"/>
  <c r="A201" i="2"/>
  <c r="A202" i="2"/>
  <c r="A203" i="2"/>
  <c r="A204" i="2"/>
  <c r="A205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1675" i="2"/>
  <c r="A1678" i="2"/>
  <c r="A1681" i="2"/>
  <c r="A1687" i="2"/>
  <c r="A1688" i="2"/>
  <c r="A1689" i="2"/>
  <c r="A1690" i="2"/>
  <c r="A1693" i="2"/>
  <c r="A1694" i="2"/>
  <c r="A1695" i="2"/>
  <c r="A1696" i="2"/>
  <c r="A1451" i="2"/>
  <c r="A1452" i="2"/>
  <c r="A1453" i="2"/>
  <c r="A1454" i="2"/>
  <c r="A1455" i="2"/>
  <c r="A1456" i="2"/>
  <c r="A1457" i="2"/>
  <c r="A1458" i="2"/>
  <c r="A1459" i="2"/>
  <c r="A1460" i="2"/>
  <c r="A1461" i="2"/>
  <c r="A1436" i="2"/>
  <c r="A1437" i="2"/>
  <c r="A1438" i="2"/>
  <c r="A1439" i="2"/>
  <c r="A1440" i="2"/>
  <c r="A1441" i="2"/>
  <c r="A1442" i="2"/>
  <c r="A1443" i="2"/>
  <c r="A1444" i="2"/>
  <c r="A1445" i="2"/>
  <c r="A1446" i="2"/>
  <c r="A1447" i="2"/>
  <c r="A1448" i="2"/>
  <c r="A1449" i="2"/>
  <c r="A1450" i="2"/>
  <c r="A1473" i="2"/>
  <c r="A1474" i="2"/>
  <c r="A1475" i="2"/>
  <c r="A1476" i="2"/>
  <c r="A1477" i="2"/>
  <c r="A1478" i="2"/>
  <c r="A1479" i="2"/>
  <c r="A1480" i="2"/>
  <c r="A1481" i="2"/>
  <c r="A1482" i="2"/>
  <c r="A1483" i="2"/>
  <c r="A1484" i="2"/>
  <c r="A1485" i="2"/>
  <c r="A1486" i="2"/>
  <c r="A1487" i="2"/>
  <c r="A1488" i="2"/>
  <c r="A1462" i="2"/>
  <c r="A1463" i="2"/>
  <c r="A1464" i="2"/>
  <c r="A1465" i="2"/>
  <c r="A1466" i="2"/>
  <c r="A1467" i="2"/>
  <c r="A1468" i="2"/>
  <c r="A1469" i="2"/>
  <c r="A1470" i="2"/>
  <c r="A1471" i="2"/>
  <c r="A1472" i="2"/>
  <c r="A790" i="2"/>
  <c r="A729" i="2"/>
  <c r="A786" i="2"/>
  <c r="A710" i="2"/>
  <c r="A739" i="2"/>
  <c r="A785" i="2"/>
  <c r="A733" i="2"/>
  <c r="A713" i="2"/>
  <c r="A782" i="2"/>
  <c r="A776" i="2"/>
  <c r="A784" i="2"/>
  <c r="A712" i="2"/>
  <c r="A743" i="2"/>
  <c r="A802" i="2"/>
  <c r="A768" i="2"/>
  <c r="A732" i="2"/>
  <c r="A718" i="2"/>
  <c r="A780" i="2"/>
  <c r="A721" i="2"/>
  <c r="A771" i="2"/>
  <c r="A728" i="2"/>
  <c r="A799" i="2"/>
  <c r="A781" i="2"/>
  <c r="A792" i="2"/>
  <c r="A717" i="2"/>
  <c r="A719" i="2"/>
  <c r="A788" i="2"/>
  <c r="A800" i="2"/>
  <c r="A737" i="2"/>
  <c r="A751" i="2"/>
  <c r="A803" i="2"/>
  <c r="A723" i="2"/>
  <c r="A779" i="2"/>
  <c r="A735" i="2"/>
  <c r="A801" i="2"/>
  <c r="A789" i="2"/>
  <c r="A767" i="2"/>
  <c r="A722" i="2"/>
  <c r="A749" i="2"/>
  <c r="A773" i="2"/>
  <c r="A715" i="2"/>
  <c r="A726" i="2"/>
  <c r="A725" i="2"/>
  <c r="A775" i="2"/>
  <c r="A746" i="2"/>
  <c r="A778" i="2"/>
  <c r="A711" i="2"/>
  <c r="A709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38" i="2"/>
  <c r="A714" i="2"/>
  <c r="A716" i="2"/>
  <c r="A774" i="2"/>
  <c r="A734" i="2"/>
  <c r="A745" i="2"/>
  <c r="A741" i="2"/>
  <c r="A750" i="2"/>
  <c r="A777" i="2"/>
  <c r="A744" i="2"/>
  <c r="A736" i="2"/>
  <c r="A770" i="2"/>
  <c r="A787" i="2"/>
  <c r="A748" i="2"/>
  <c r="A727" i="2"/>
  <c r="A740" i="2"/>
  <c r="A747" i="2"/>
  <c r="A742" i="2"/>
  <c r="A769" i="2"/>
  <c r="A720" i="2"/>
  <c r="A783" i="2"/>
  <c r="A556" i="2"/>
  <c r="A558" i="2"/>
  <c r="A559" i="2"/>
  <c r="A561" i="2"/>
  <c r="A562" i="2"/>
  <c r="A667" i="2"/>
  <c r="A563" i="2"/>
  <c r="A565" i="2"/>
  <c r="A600" i="2"/>
  <c r="A601" i="2"/>
  <c r="A603" i="2"/>
  <c r="A606" i="2"/>
  <c r="A607" i="2"/>
  <c r="A608" i="2"/>
  <c r="A609" i="2"/>
  <c r="A613" i="2"/>
  <c r="A615" i="2"/>
  <c r="A616" i="2"/>
  <c r="A617" i="2"/>
  <c r="A618" i="2"/>
  <c r="A619" i="2"/>
  <c r="A620" i="2"/>
  <c r="A669" i="2"/>
  <c r="A670" i="2"/>
  <c r="A671" i="2"/>
  <c r="A672" i="2"/>
  <c r="A673" i="2"/>
  <c r="A674" i="2"/>
  <c r="A677" i="2"/>
  <c r="A628" i="2"/>
  <c r="A629" i="2"/>
  <c r="A630" i="2"/>
  <c r="A631" i="2"/>
  <c r="A632" i="2"/>
  <c r="A633" i="2"/>
  <c r="A634" i="2"/>
  <c r="A635" i="2"/>
  <c r="A636" i="2"/>
  <c r="A637" i="2"/>
  <c r="A621" i="2"/>
  <c r="A622" i="2"/>
  <c r="A623" i="2"/>
  <c r="A624" i="2"/>
  <c r="A625" i="2"/>
  <c r="A626" i="2"/>
  <c r="A62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5" i="2"/>
  <c r="A594" i="2"/>
  <c r="A596" i="2"/>
  <c r="A597" i="2"/>
  <c r="A598" i="2"/>
  <c r="A660" i="2"/>
  <c r="A679" i="2"/>
  <c r="A566" i="2"/>
  <c r="A1556" i="2"/>
  <c r="A23" i="2"/>
  <c r="A493" i="2"/>
  <c r="A364" i="2"/>
  <c r="A363" i="2"/>
  <c r="A458" i="2"/>
  <c r="A491" i="2"/>
  <c r="A490" i="2"/>
  <c r="A20" i="2"/>
  <c r="A21" i="2"/>
  <c r="A487" i="2"/>
  <c r="A488" i="2"/>
  <c r="A489" i="2"/>
  <c r="A22" i="2"/>
  <c r="A1293" i="2"/>
  <c r="A457" i="2"/>
  <c r="A1418" i="2"/>
  <c r="A456" i="2"/>
  <c r="A486" i="2"/>
  <c r="A455" i="2"/>
  <c r="A362" i="2"/>
  <c r="A485" i="2"/>
  <c r="A552" i="2"/>
  <c r="A846" i="2"/>
  <c r="A1398" i="2"/>
  <c r="A1350" i="2"/>
  <c r="A521" i="2"/>
  <c r="A681" i="2"/>
  <c r="A539" i="2"/>
  <c r="A929" i="2"/>
  <c r="A1245" i="2"/>
  <c r="A820" i="2"/>
  <c r="A1241" i="2"/>
  <c r="A907" i="2"/>
  <c r="A1391" i="2"/>
  <c r="A452" i="2"/>
  <c r="A849" i="2"/>
  <c r="A538" i="2"/>
  <c r="A537" i="2"/>
  <c r="A1724" i="2"/>
  <c r="A536" i="2"/>
  <c r="A928" i="2"/>
  <c r="A15" i="2"/>
  <c r="A703" i="2"/>
  <c r="A704" i="2"/>
  <c r="A312" i="2"/>
  <c r="A903" i="2"/>
  <c r="A451" i="2"/>
  <c r="A1244" i="2"/>
  <c r="A535" i="2"/>
  <c r="A675" i="2"/>
  <c r="A1340" i="2"/>
  <c r="A1416" i="2"/>
  <c r="A1390" i="2"/>
  <c r="A1020" i="2"/>
  <c r="A551" i="2"/>
  <c r="A1723" i="2"/>
  <c r="A1318" i="2"/>
  <c r="A554" i="2"/>
  <c r="A927" i="2"/>
  <c r="A867" i="2"/>
  <c r="A900" i="2"/>
  <c r="A343" i="2"/>
  <c r="A695" i="2"/>
  <c r="A1338" i="2"/>
  <c r="A550" i="2"/>
  <c r="A549" i="2"/>
  <c r="A341" i="2"/>
  <c r="A1240" i="2"/>
  <c r="A917" i="2"/>
  <c r="A448" i="2"/>
  <c r="A1504" i="2"/>
  <c r="A1412" i="2"/>
  <c r="A1349" i="2"/>
  <c r="A1722" i="2"/>
  <c r="A898" i="2"/>
  <c r="A447" i="2"/>
  <c r="A8" i="2"/>
  <c r="A359" i="2"/>
  <c r="A311" i="2"/>
  <c r="A351" i="2"/>
  <c r="A897" i="2"/>
  <c r="A1411" i="2"/>
  <c r="A1375" i="2"/>
  <c r="A1729" i="2"/>
  <c r="A446" i="2"/>
  <c r="A1397" i="2"/>
  <c r="A445" i="2"/>
  <c r="A477" i="2"/>
  <c r="A612" i="2"/>
  <c r="A1374" i="2"/>
  <c r="A913" i="2"/>
  <c r="A443" i="2"/>
  <c r="A1336" i="2"/>
  <c r="A444" i="2"/>
  <c r="A1360" i="2"/>
  <c r="A1335" i="2"/>
  <c r="A1672" i="2"/>
  <c r="A924" i="2"/>
  <c r="A916" i="2"/>
  <c r="A925" i="2"/>
  <c r="A441" i="2"/>
  <c r="A1373" i="2"/>
  <c r="A923" i="2"/>
  <c r="A852" i="2"/>
  <c r="A548" i="2"/>
  <c r="A474" i="2"/>
  <c r="A702" i="2"/>
  <c r="A7" i="2"/>
  <c r="A893" i="2"/>
  <c r="A439" i="2"/>
  <c r="A1229" i="2"/>
  <c r="A891" i="2"/>
  <c r="A6" i="2"/>
  <c r="A915" i="2"/>
  <c r="A357" i="2"/>
  <c r="A340" i="2"/>
  <c r="A473" i="2"/>
  <c r="A1388" i="2"/>
  <c r="A890" i="2"/>
  <c r="A5" i="2"/>
  <c r="A658" i="2"/>
  <c r="A471" i="2"/>
  <c r="A889" i="2"/>
  <c r="A599" i="2"/>
  <c r="A680" i="2"/>
  <c r="A1744" i="2"/>
  <c r="A437" i="2"/>
  <c r="A356" i="2"/>
  <c r="A470" i="2"/>
  <c r="A1333" i="2"/>
  <c r="A531" i="2"/>
  <c r="A1410" i="2"/>
  <c r="A1332" i="2"/>
  <c r="A1317" i="2"/>
  <c r="A422" i="2"/>
  <c r="A436" i="2"/>
  <c r="A435" i="2"/>
  <c r="A833" i="2"/>
  <c r="A469" i="2"/>
  <c r="A1726" i="2"/>
  <c r="A885" i="2"/>
  <c r="A697" i="2"/>
  <c r="A1409" i="2"/>
  <c r="A1330" i="2"/>
  <c r="A1396" i="2"/>
  <c r="A365" i="2"/>
  <c r="A547" i="2"/>
  <c r="A1348" i="2"/>
  <c r="A1408" i="2"/>
  <c r="A430" i="2"/>
  <c r="A339" i="2"/>
  <c r="A431" i="2"/>
  <c r="A432" i="2"/>
  <c r="A1316" i="2"/>
  <c r="A701" i="2"/>
  <c r="A1243" i="2"/>
  <c r="A842" i="2"/>
  <c r="A700" i="2"/>
  <c r="A427" i="2"/>
  <c r="A884" i="2"/>
  <c r="A1407" i="2"/>
  <c r="A1328" i="2"/>
  <c r="A315" i="2"/>
  <c r="A421" i="2"/>
  <c r="A602" i="2"/>
  <c r="A1327" i="2"/>
  <c r="A914" i="2"/>
  <c r="A1325" i="2"/>
  <c r="A1386" i="2"/>
  <c r="A313" i="2"/>
  <c r="A1387" i="2"/>
  <c r="A678" i="2"/>
  <c r="A1238" i="2"/>
  <c r="A3" i="29" l="1" a="1"/>
  <c r="K5" i="4"/>
  <c r="Q6" i="4" a="1"/>
  <c r="Q6" i="4" s="1"/>
  <c r="Q8" i="4" s="1"/>
  <c r="A3" i="29" l="1"/>
  <c r="P1324" i="2" s="1" a="1"/>
  <c r="P1324" i="2" s="1"/>
  <c r="P1449" i="2" a="1"/>
  <c r="P1449" i="2" s="1"/>
  <c r="P1025" i="2" a="1"/>
  <c r="P1025" i="2" s="1"/>
  <c r="P1741" i="2" a="1"/>
  <c r="P1741" i="2" s="1"/>
  <c r="P417" i="2" a="1"/>
  <c r="P417" i="2" s="1"/>
  <c r="P951" i="2" a="1"/>
  <c r="P951" i="2" s="1"/>
  <c r="P987" i="2" a="1"/>
  <c r="P987" i="2" s="1"/>
  <c r="P1473" i="2" a="1"/>
  <c r="P1473" i="2" s="1"/>
  <c r="P602" i="2" a="1"/>
  <c r="P602" i="2" s="1"/>
  <c r="P97" i="2" a="1"/>
  <c r="P97" i="2" s="1"/>
  <c r="P540" i="2" a="1"/>
  <c r="P540" i="2" s="1"/>
  <c r="P559" i="2" a="1"/>
  <c r="P559" i="2" s="1"/>
  <c r="P429" i="2" a="1"/>
  <c r="P429" i="2" s="1"/>
  <c r="P552" i="2" a="1"/>
  <c r="P552" i="2" s="1"/>
  <c r="P1243" i="2" a="1"/>
  <c r="P1243" i="2" s="1"/>
  <c r="P236" i="2" a="1"/>
  <c r="P236" i="2" s="1"/>
  <c r="P125" i="2" a="1"/>
  <c r="P125" i="2" s="1"/>
  <c r="P431" i="2" a="1"/>
  <c r="P431" i="2" s="1"/>
  <c r="P1330" i="2" a="1"/>
  <c r="P1330" i="2" s="1"/>
  <c r="P697" i="2" a="1"/>
  <c r="P697" i="2" s="1"/>
  <c r="P964" i="2" a="1"/>
  <c r="P964" i="2" s="1"/>
  <c r="P1315" i="2" a="1"/>
  <c r="P1315" i="2" s="1"/>
  <c r="P1168" i="2" a="1"/>
  <c r="P1168" i="2" s="1"/>
  <c r="P1035" i="2" a="1"/>
  <c r="P1035" i="2" s="1"/>
  <c r="P688" i="2" a="1"/>
  <c r="P688" i="2" s="1"/>
  <c r="P525" i="2" a="1"/>
  <c r="P525" i="2" s="1"/>
  <c r="P893" i="2" a="1"/>
  <c r="P893" i="2" s="1"/>
  <c r="P1242" i="2" a="1"/>
  <c r="P1242" i="2" s="1"/>
  <c r="P1359" i="2" a="1"/>
  <c r="P1359" i="2" s="1"/>
  <c r="P1301" i="2" a="1"/>
  <c r="P1301" i="2" s="1"/>
  <c r="P163" i="2" a="1"/>
  <c r="P163" i="2" s="1"/>
  <c r="P735" i="2" a="1"/>
  <c r="P735" i="2" s="1"/>
  <c r="P862" i="2" a="1"/>
  <c r="P862" i="2" s="1"/>
  <c r="P819" i="2" a="1"/>
  <c r="P819" i="2" s="1"/>
  <c r="P1036" i="2" a="1"/>
  <c r="P1036" i="2" s="1"/>
  <c r="P513" i="2" a="1"/>
  <c r="P513" i="2" s="1"/>
  <c r="P231" i="2" a="1"/>
  <c r="P231" i="2" s="1"/>
  <c r="P926" i="2" a="1"/>
  <c r="P926" i="2" s="1"/>
  <c r="P1310" i="2" a="1"/>
  <c r="P1310" i="2" s="1"/>
  <c r="P725" i="2" a="1"/>
  <c r="P725" i="2" s="1"/>
  <c r="P989" i="2" a="1"/>
  <c r="P989" i="2" s="1"/>
  <c r="P760" i="2" a="1"/>
  <c r="P760" i="2" s="1"/>
  <c r="P580" i="2" a="1"/>
  <c r="P580" i="2" s="1"/>
  <c r="P716" i="2" a="1"/>
  <c r="P716" i="2" s="1"/>
  <c r="P1339" i="2" a="1"/>
  <c r="P1339" i="2" s="1"/>
  <c r="P1137" i="2" a="1"/>
  <c r="P1137" i="2" s="1"/>
  <c r="P902" i="2" a="1"/>
  <c r="P902" i="2" s="1"/>
  <c r="P805" i="2" a="1"/>
  <c r="P805" i="2" s="1"/>
  <c r="P271" i="2" a="1"/>
  <c r="P271" i="2" s="1"/>
  <c r="P881" i="2" a="1"/>
  <c r="P881" i="2" s="1"/>
  <c r="P1010" i="2" a="1"/>
  <c r="P1010" i="2" s="1"/>
  <c r="P1402" i="2" a="1"/>
  <c r="P1402" i="2" s="1"/>
  <c r="P561" i="2" a="1"/>
  <c r="P561" i="2" s="1"/>
  <c r="P1296" i="2" a="1"/>
  <c r="P1296" i="2" s="1"/>
  <c r="P151" i="2" a="1"/>
  <c r="P151" i="2" s="1"/>
  <c r="P308" i="2" a="1"/>
  <c r="P308" i="2" s="1"/>
  <c r="P1467" i="2" a="1"/>
  <c r="P1467" i="2" s="1"/>
  <c r="P639" i="2" a="1"/>
  <c r="P639" i="2" s="1"/>
  <c r="P818" i="2" a="1"/>
  <c r="P818" i="2" s="1"/>
  <c r="P1104" i="2" a="1"/>
  <c r="P1104" i="2" s="1"/>
  <c r="P1121" i="2" a="1"/>
  <c r="P1121" i="2" s="1"/>
  <c r="P282" i="2" a="1"/>
  <c r="P282" i="2" s="1"/>
  <c r="P249" i="2" a="1"/>
  <c r="P249" i="2" s="1"/>
  <c r="P316" i="2" a="1"/>
  <c r="P316" i="2" s="1"/>
  <c r="P463" i="2" a="1"/>
  <c r="P463" i="2" s="1"/>
  <c r="P654" i="2" a="1"/>
  <c r="P654" i="2" s="1"/>
  <c r="P721" i="2" a="1"/>
  <c r="P721" i="2" s="1"/>
  <c r="P1028" i="2" a="1"/>
  <c r="P1028" i="2" s="1"/>
  <c r="P656" i="2" a="1"/>
  <c r="P656" i="2" s="1"/>
  <c r="P317" i="2" a="1"/>
  <c r="P317" i="2" s="1"/>
  <c r="P637" i="2" a="1"/>
  <c r="P637" i="2" s="1"/>
  <c r="P82" i="2" a="1"/>
  <c r="P82" i="2" s="1"/>
  <c r="P623" i="2" a="1"/>
  <c r="P623" i="2" s="1"/>
  <c r="P349" i="2" a="1"/>
  <c r="P349" i="2" s="1"/>
  <c r="P235" i="2" a="1"/>
  <c r="P235" i="2" s="1"/>
  <c r="P7" i="2" a="1"/>
  <c r="P7" i="2" s="1"/>
  <c r="P269" i="2" a="1"/>
  <c r="P269" i="2" s="1"/>
  <c r="P969" i="2" a="1"/>
  <c r="P969" i="2" s="1"/>
  <c r="P1136" i="2" a="1"/>
  <c r="P1136" i="2" s="1"/>
  <c r="P179" i="2" a="1"/>
  <c r="P179" i="2" s="1"/>
  <c r="P1455" i="2" a="1"/>
  <c r="P1455" i="2" s="1"/>
  <c r="P1165" i="2" a="1"/>
  <c r="P1165" i="2" s="1"/>
  <c r="P1450" i="2" a="1"/>
  <c r="P1450" i="2" s="1"/>
  <c r="P1097" i="2" a="1"/>
  <c r="P1097" i="2" s="1"/>
  <c r="P1031" i="2" a="1"/>
  <c r="P1031" i="2" s="1"/>
  <c r="P27" i="2" a="1"/>
  <c r="P27" i="2" s="1"/>
  <c r="P1135" i="2" a="1"/>
  <c r="P1135" i="2" s="1"/>
  <c r="P1072" i="2" a="1"/>
  <c r="P1072" i="2" s="1"/>
  <c r="P918" i="2" a="1"/>
  <c r="P918" i="2" s="1"/>
  <c r="P383" i="2" a="1"/>
  <c r="P383" i="2" s="1"/>
  <c r="P550" i="2" a="1"/>
  <c r="P550" i="2" s="1"/>
  <c r="P1718" i="2" a="1"/>
  <c r="P1718" i="2" s="1"/>
  <c r="P558" i="2" a="1"/>
  <c r="P558" i="2" s="1"/>
  <c r="P641" i="2" a="1"/>
  <c r="P641" i="2" s="1"/>
  <c r="P968" i="2" a="1"/>
  <c r="P968" i="2" s="1"/>
  <c r="P93" i="2" a="1"/>
  <c r="P93" i="2" s="1"/>
  <c r="P827" i="2" a="1"/>
  <c r="P827" i="2" s="1"/>
  <c r="P1188" i="2" a="1"/>
  <c r="P1188" i="2" s="1"/>
  <c r="P962" i="2" a="1"/>
  <c r="P962" i="2" s="1"/>
  <c r="P565" i="2" a="1"/>
  <c r="P565" i="2" s="1"/>
  <c r="P138" i="2" a="1"/>
  <c r="P138" i="2" s="1"/>
  <c r="P776" i="2" a="1"/>
  <c r="P776" i="2" s="1"/>
  <c r="P321" i="2" a="1"/>
  <c r="P321" i="2" s="1"/>
  <c r="P1316" i="2" a="1"/>
  <c r="P1316" i="2" s="1"/>
  <c r="P486" i="2" a="1"/>
  <c r="P486" i="2" s="1"/>
  <c r="P712" i="2" a="1"/>
  <c r="P712" i="2" s="1"/>
  <c r="P768" i="2" a="1"/>
  <c r="P768" i="2" s="1"/>
  <c r="P630" i="2" a="1"/>
  <c r="P630" i="2" s="1"/>
  <c r="P170" i="2" a="1"/>
  <c r="P170" i="2" s="1"/>
  <c r="P573" i="2" a="1"/>
  <c r="P573" i="2" s="1"/>
  <c r="P1289" i="2" a="1"/>
  <c r="P1289" i="2" s="1"/>
  <c r="P1294" i="2" a="1"/>
  <c r="P1294" i="2" s="1"/>
  <c r="P438" i="2" a="1"/>
  <c r="P438" i="2" s="1"/>
  <c r="P89" i="2" a="1"/>
  <c r="P89" i="2" s="1"/>
  <c r="P1439" i="2" a="1"/>
  <c r="P1439" i="2" s="1"/>
  <c r="P1102" i="2" a="1"/>
  <c r="P1102" i="2" s="1"/>
  <c r="P1167" i="2" a="1"/>
  <c r="P1167" i="2" s="1"/>
  <c r="P1128" i="2" a="1"/>
  <c r="P1128" i="2" s="1"/>
  <c r="P1287" i="2" a="1"/>
  <c r="P1287" i="2" s="1"/>
  <c r="P1496" i="2" a="1"/>
  <c r="P1496" i="2" s="1"/>
  <c r="P800" i="2" a="1"/>
  <c r="P800" i="2" s="1"/>
  <c r="P1185" i="2" a="1"/>
  <c r="P1185" i="2" s="1"/>
  <c r="P293" i="2" a="1"/>
  <c r="P293" i="2" s="1"/>
  <c r="P443" i="2" a="1"/>
  <c r="P443" i="2" s="1"/>
  <c r="P1177" i="2" a="1"/>
  <c r="P1177" i="2" s="1"/>
  <c r="P619" i="2" a="1"/>
  <c r="P619" i="2" s="1"/>
  <c r="P60" i="2" a="1"/>
  <c r="P60" i="2" s="1"/>
  <c r="P705" i="2" a="1"/>
  <c r="P705" i="2" s="1"/>
  <c r="P726" i="2" a="1"/>
  <c r="P726" i="2" s="1"/>
  <c r="P290" i="2" a="1"/>
  <c r="P290" i="2" s="1"/>
  <c r="P1305" i="2" a="1"/>
  <c r="P1305" i="2" s="1"/>
  <c r="P965" i="2" a="1"/>
  <c r="P965" i="2" s="1"/>
  <c r="P1224" i="2" a="1"/>
  <c r="P1224" i="2" s="1"/>
  <c r="P677" i="2" a="1"/>
  <c r="P677" i="2" s="1"/>
  <c r="P1024" i="2" a="1"/>
  <c r="P1024" i="2" s="1"/>
  <c r="P562" i="2" a="1"/>
  <c r="P562" i="2" s="1"/>
  <c r="P1279" i="2" a="1"/>
  <c r="P1279" i="2" s="1"/>
  <c r="P613" i="2" a="1"/>
  <c r="P613" i="2" s="1"/>
  <c r="P368" i="2" a="1"/>
  <c r="P368" i="2" s="1"/>
  <c r="P148" i="2" a="1"/>
  <c r="P148" i="2" s="1"/>
  <c r="P1432" i="2" a="1"/>
  <c r="P1432" i="2" s="1"/>
  <c r="P1482" i="2" a="1"/>
  <c r="P1482" i="2" s="1"/>
  <c r="P1223" i="2" a="1"/>
  <c r="P1223" i="2" s="1"/>
  <c r="P856" i="2" a="1"/>
  <c r="P856" i="2" s="1"/>
  <c r="P871" i="2" a="1"/>
  <c r="P871" i="2" s="1"/>
  <c r="P1239" i="2" a="1"/>
  <c r="P1239" i="2" s="1"/>
  <c r="P194" i="2" a="1"/>
  <c r="P194" i="2" s="1"/>
  <c r="P1214" i="2" a="1"/>
  <c r="P1214" i="2" s="1"/>
  <c r="P698" i="2" a="1"/>
  <c r="P698" i="2" s="1"/>
  <c r="P242" i="2" a="1"/>
  <c r="P242" i="2" s="1"/>
  <c r="P598" i="2" a="1"/>
  <c r="P598" i="2" s="1"/>
  <c r="P222" i="2" a="1"/>
  <c r="P222" i="2" s="1"/>
  <c r="P300" i="2" a="1"/>
  <c r="P300" i="2" s="1"/>
  <c r="P1353" i="2" a="1"/>
  <c r="P1353" i="2" s="1"/>
  <c r="P1123" i="2" a="1"/>
  <c r="P1123" i="2" s="1"/>
  <c r="P122" i="2" a="1"/>
  <c r="P122" i="2" s="1"/>
  <c r="P646" i="2" a="1"/>
  <c r="P646" i="2" s="1"/>
  <c r="P228" i="2" a="1"/>
  <c r="P228" i="2" s="1"/>
  <c r="P831" i="2" a="1"/>
  <c r="P831" i="2" s="1"/>
  <c r="P1060" i="2" a="1"/>
  <c r="P1060" i="2" s="1"/>
  <c r="P808" i="2" a="1"/>
  <c r="P808" i="2" s="1"/>
  <c r="P98" i="2" a="1"/>
  <c r="P98" i="2" s="1"/>
  <c r="P1120" i="2" a="1"/>
  <c r="P1120" i="2" s="1"/>
  <c r="P599" i="2" a="1"/>
  <c r="P599" i="2" s="1"/>
  <c r="P3" i="2" a="1"/>
  <c r="P3" i="2" s="1"/>
  <c r="P514" i="2" a="1"/>
  <c r="P514" i="2" s="1"/>
  <c r="P730" i="2" a="1"/>
  <c r="P730" i="2" s="1"/>
  <c r="P472" i="2" a="1"/>
  <c r="P472" i="2" s="1"/>
  <c r="P1017" i="2" a="1"/>
  <c r="P1017" i="2" s="1"/>
  <c r="P844" i="2" a="1"/>
  <c r="P844" i="2" s="1"/>
  <c r="P1011" i="2" a="1"/>
  <c r="P1011" i="2" s="1"/>
  <c r="P788" i="2" a="1"/>
  <c r="P788" i="2" s="1"/>
  <c r="P1688" i="2" a="1"/>
  <c r="P1688" i="2" s="1"/>
  <c r="P1250" i="2" a="1"/>
  <c r="P1250" i="2" s="1"/>
  <c r="P859" i="2" a="1"/>
  <c r="P859" i="2" s="1"/>
  <c r="P548" i="2" a="1"/>
  <c r="P548" i="2" s="1"/>
  <c r="P1367" i="2" a="1"/>
  <c r="P1367" i="2" s="1"/>
  <c r="P702" i="2" a="1"/>
  <c r="P702" i="2" s="1"/>
  <c r="P475" i="2" a="1"/>
  <c r="P475" i="2" s="1"/>
  <c r="P850" i="2" a="1"/>
  <c r="P850" i="2" s="1"/>
  <c r="P566" i="2" a="1"/>
  <c r="P566" i="2" s="1"/>
  <c r="P963" i="2" a="1"/>
  <c r="P963" i="2" s="1"/>
  <c r="P779" i="2" a="1"/>
  <c r="P779" i="2" s="1"/>
  <c r="P1085" i="2" a="1"/>
  <c r="P1085" i="2" s="1"/>
  <c r="P445" i="2" a="1"/>
  <c r="P445" i="2" s="1"/>
  <c r="P195" i="2" a="1"/>
  <c r="P195" i="2" s="1"/>
  <c r="P1217" i="2" a="1"/>
  <c r="P1217" i="2" s="1"/>
  <c r="P1079" i="2" a="1"/>
  <c r="P1079" i="2" s="1"/>
  <c r="P415" i="2" a="1"/>
  <c r="P415" i="2" s="1"/>
  <c r="P1095" i="2" a="1"/>
  <c r="P1095" i="2" s="1"/>
  <c r="P616" i="2" a="1"/>
  <c r="P616" i="2" s="1"/>
  <c r="P810" i="2" a="1"/>
  <c r="P810" i="2" s="1"/>
  <c r="P1246" i="2" a="1"/>
  <c r="P1246" i="2" s="1"/>
  <c r="P280" i="2" a="1"/>
  <c r="P280" i="2" s="1"/>
  <c r="P643" i="2" a="1"/>
  <c r="P643" i="2" s="1"/>
  <c r="P309" i="2" a="1"/>
  <c r="P309" i="2" s="1"/>
  <c r="P341" i="2" a="1"/>
  <c r="P341" i="2" s="1"/>
  <c r="P1448" i="2" a="1"/>
  <c r="P1448" i="2" s="1"/>
  <c r="P1437" i="2" a="1"/>
  <c r="P1437" i="2" s="1"/>
  <c r="P978" i="2" a="1"/>
  <c r="P978" i="2" s="1"/>
  <c r="P774" i="2" a="1"/>
  <c r="P774" i="2" s="1"/>
  <c r="P141" i="2" a="1"/>
  <c r="P141" i="2" s="1"/>
  <c r="P367" i="2" a="1"/>
  <c r="P367" i="2" s="1"/>
  <c r="P1284" i="2" a="1"/>
  <c r="P1284" i="2" s="1"/>
  <c r="P214" i="2" a="1"/>
  <c r="P214" i="2" s="1"/>
  <c r="P1443" i="2" a="1"/>
  <c r="P1443" i="2" s="1"/>
  <c r="P790" i="2" a="1"/>
  <c r="P790" i="2" s="1"/>
  <c r="P564" i="2" a="1"/>
  <c r="P564" i="2" s="1"/>
  <c r="P636" i="2" a="1"/>
  <c r="P636" i="2" s="1"/>
  <c r="P1459" i="2" a="1"/>
  <c r="P1459" i="2" s="1"/>
  <c r="P955" i="2" a="1"/>
  <c r="P955" i="2" s="1"/>
  <c r="P59" i="2" a="1"/>
  <c r="P59" i="2" s="1"/>
  <c r="P107" i="2" a="1"/>
  <c r="P107" i="2" s="1"/>
  <c r="P1124" i="2" a="1"/>
  <c r="P1124" i="2" s="1"/>
  <c r="P84" i="2" a="1"/>
  <c r="P84" i="2" s="1"/>
  <c r="P302" i="2" a="1"/>
  <c r="P302" i="2" s="1"/>
  <c r="P620" i="2" a="1"/>
  <c r="P620" i="2" s="1"/>
  <c r="P733" i="2" a="1"/>
  <c r="P733" i="2" s="1"/>
  <c r="P655" i="2" a="1"/>
  <c r="P655" i="2" s="1"/>
  <c r="P1014" i="2" a="1"/>
  <c r="P1014" i="2" s="1"/>
  <c r="P365" i="2" a="1"/>
  <c r="P365" i="2" s="1"/>
  <c r="P872" i="2" a="1"/>
  <c r="P872" i="2" s="1"/>
  <c r="P1290" i="2" a="1"/>
  <c r="P1290" i="2" s="1"/>
  <c r="P1147" i="2" a="1"/>
  <c r="P1147" i="2" s="1"/>
  <c r="P627" i="2" a="1"/>
  <c r="P627" i="2" s="1"/>
  <c r="P1304" i="2" a="1"/>
  <c r="P1304" i="2" s="1"/>
  <c r="P1311" i="2" a="1"/>
  <c r="P1311" i="2" s="1"/>
  <c r="P743" i="2" a="1"/>
  <c r="P743" i="2" s="1"/>
  <c r="P1096" i="2" a="1"/>
  <c r="P1096" i="2" s="1"/>
  <c r="P221" i="2" a="1"/>
  <c r="P221" i="2" s="1"/>
  <c r="P1368" i="2" a="1"/>
  <c r="P1368" i="2" s="1"/>
  <c r="P234" i="2" a="1"/>
  <c r="P234" i="2" s="1"/>
  <c r="P289" i="2" a="1"/>
  <c r="P289" i="2" s="1"/>
  <c r="P1094" i="2" a="1"/>
  <c r="P1094" i="2" s="1"/>
  <c r="P1291" i="2" a="1"/>
  <c r="P1291" i="2" s="1"/>
  <c r="P1333" i="2" a="1"/>
  <c r="P1333" i="2" s="1"/>
  <c r="P605" i="2" a="1"/>
  <c r="P605" i="2" s="1"/>
  <c r="P470" i="2" a="1"/>
  <c r="P470" i="2" s="1"/>
  <c r="P544" i="2" a="1"/>
  <c r="P544" i="2" s="1"/>
  <c r="P858" i="2" a="1"/>
  <c r="P858" i="2" s="1"/>
  <c r="P357" i="2" a="1"/>
  <c r="P357" i="2" s="1"/>
  <c r="P944" i="2" a="1"/>
  <c r="P944" i="2" s="1"/>
  <c r="P1150" i="2" a="1"/>
  <c r="P1150" i="2" s="1"/>
  <c r="P661" i="2" a="1"/>
  <c r="P661" i="2" s="1"/>
  <c r="P875" i="2" a="1"/>
  <c r="P875" i="2" s="1"/>
  <c r="P1307" i="2" a="1"/>
  <c r="P1307" i="2" s="1"/>
  <c r="P380" i="2" a="1"/>
  <c r="P380" i="2" s="1"/>
  <c r="P329" i="2" a="1"/>
  <c r="P329" i="2" s="1"/>
  <c r="P20" i="2" a="1"/>
  <c r="P20" i="2" s="1"/>
  <c r="P1672" i="2" a="1"/>
  <c r="P1672" i="2" s="1"/>
  <c r="P487" i="2" a="1"/>
  <c r="P487" i="2" s="1"/>
  <c r="P395" i="2" a="1"/>
  <c r="P395" i="2" s="1"/>
  <c r="P572" i="2" a="1"/>
  <c r="P572" i="2" s="1"/>
  <c r="P533" i="2" a="1"/>
  <c r="P533" i="2" s="1"/>
  <c r="P255" i="2" a="1"/>
  <c r="P255" i="2" s="1"/>
  <c r="P57" i="2" a="1"/>
  <c r="P57" i="2" s="1"/>
  <c r="P446" i="2" a="1"/>
  <c r="P446" i="2" s="1"/>
  <c r="P157" i="2" a="1"/>
  <c r="P157" i="2" s="1"/>
  <c r="P1205" i="2" a="1"/>
  <c r="P1205" i="2" s="1"/>
  <c r="P67" i="2" a="1"/>
  <c r="P67" i="2" s="1"/>
  <c r="P416" i="2" a="1"/>
  <c r="P416" i="2" s="1"/>
  <c r="P1041" i="2" a="1"/>
  <c r="P1041" i="2" s="1"/>
  <c r="P1457" i="2" a="1"/>
  <c r="P1457" i="2" s="1"/>
  <c r="P829" i="2" a="1"/>
  <c r="P829" i="2" s="1"/>
  <c r="P447" i="2" a="1"/>
  <c r="P447" i="2" s="1"/>
  <c r="P1468" i="2" a="1"/>
  <c r="P1468" i="2" s="1"/>
  <c r="P449" i="2" a="1"/>
  <c r="P449" i="2" s="1"/>
  <c r="P1051" i="2" a="1"/>
  <c r="P1051" i="2" s="1"/>
  <c r="P460" i="2" a="1"/>
  <c r="P460" i="2" s="1"/>
  <c r="P1054" i="2" a="1"/>
  <c r="P1054" i="2" s="1"/>
  <c r="P758" i="2" a="1"/>
  <c r="P758" i="2" s="1"/>
  <c r="P109" i="2" a="1"/>
  <c r="P109" i="2" s="1"/>
  <c r="P984" i="2" a="1"/>
  <c r="P984" i="2" s="1"/>
  <c r="P1112" i="2" a="1"/>
  <c r="P1112" i="2" s="1"/>
  <c r="P361" i="2" a="1"/>
  <c r="P361" i="2" s="1"/>
  <c r="P1481" i="2" a="1"/>
  <c r="P1481" i="2" s="1"/>
  <c r="P741" i="2" a="1"/>
  <c r="P741" i="2" s="1"/>
  <c r="P794" i="2" a="1"/>
  <c r="P794" i="2" s="1"/>
  <c r="P922" i="2" a="1"/>
  <c r="P922" i="2" s="1"/>
  <c r="P299" i="2" a="1"/>
  <c r="P299" i="2" s="1"/>
  <c r="P1325" i="2" a="1"/>
  <c r="P1325" i="2" s="1"/>
  <c r="P1365" i="2" a="1"/>
  <c r="P1365" i="2" s="1"/>
  <c r="P516" i="2" a="1"/>
  <c r="P516" i="2" s="1"/>
  <c r="P919" i="2" a="1"/>
  <c r="P919" i="2" s="1"/>
  <c r="P624" i="2" a="1"/>
  <c r="P624" i="2" s="1"/>
  <c r="P672" i="2" a="1"/>
  <c r="P672" i="2" s="1"/>
  <c r="P186" i="2" a="1"/>
  <c r="P186" i="2" s="1"/>
  <c r="P841" i="2" a="1"/>
  <c r="P841" i="2" s="1"/>
  <c r="P1444" i="2" a="1"/>
  <c r="P1444" i="2" s="1"/>
  <c r="P1697" i="2" a="1"/>
  <c r="P1697" i="2" s="1"/>
  <c r="P669" i="2" a="1"/>
  <c r="P669" i="2" s="1"/>
  <c r="P529" i="2" a="1"/>
  <c r="P529" i="2" s="1"/>
  <c r="P1146" i="2" a="1"/>
  <c r="P1146" i="2" s="1"/>
  <c r="P835" i="2" a="1"/>
  <c r="P835" i="2" s="1"/>
  <c r="P530" i="2" a="1"/>
  <c r="P530" i="2" s="1"/>
  <c r="P1276" i="2" a="1"/>
  <c r="P1276" i="2" s="1"/>
  <c r="P1408" i="2" a="1"/>
  <c r="P1408" i="2" s="1"/>
  <c r="P966" i="2" a="1"/>
  <c r="P966" i="2" s="1"/>
  <c r="P347" i="2" a="1"/>
  <c r="P347" i="2" s="1"/>
  <c r="P634" i="2" a="1"/>
  <c r="P634" i="2" s="1"/>
  <c r="P137" i="2" a="1"/>
  <c r="P137" i="2" s="1"/>
  <c r="P1428" i="2" a="1"/>
  <c r="P1428" i="2" s="1"/>
  <c r="P1480" i="2" a="1"/>
  <c r="P1480" i="2" s="1"/>
  <c r="P1385" i="2" a="1"/>
  <c r="P1385" i="2" s="1"/>
  <c r="P338" i="2" a="1"/>
  <c r="P338" i="2" s="1"/>
  <c r="P143" i="2" a="1"/>
  <c r="P143" i="2" s="1"/>
  <c r="P887" i="2" a="1"/>
  <c r="P887" i="2" s="1"/>
  <c r="P780" i="2" a="1"/>
  <c r="P780" i="2" s="1"/>
  <c r="P1744" i="2" a="1"/>
  <c r="P1744" i="2" s="1"/>
  <c r="P553" i="2" a="1"/>
  <c r="P553" i="2" s="1"/>
  <c r="P806" i="2" a="1"/>
  <c r="P806" i="2" s="1"/>
  <c r="P200" i="2" a="1"/>
  <c r="P200" i="2" s="1"/>
  <c r="P340" i="2" a="1"/>
  <c r="P340" i="2" s="1"/>
  <c r="P1465" i="2" a="1"/>
  <c r="P1465" i="2" s="1"/>
  <c r="P471" i="2" a="1"/>
  <c r="P471" i="2" s="1"/>
  <c r="P1420" i="2" a="1"/>
  <c r="P1420" i="2" s="1"/>
  <c r="P371" i="2" a="1"/>
  <c r="P371" i="2" s="1"/>
  <c r="P35" i="2" a="1"/>
  <c r="P35" i="2" s="1"/>
  <c r="P1237" i="2" a="1"/>
  <c r="P1237" i="2" s="1"/>
  <c r="P976" i="2" a="1"/>
  <c r="P976" i="2" s="1"/>
  <c r="P1055" i="2" a="1"/>
  <c r="P1055" i="2" s="1"/>
  <c r="P1446" i="2" a="1"/>
  <c r="P1446" i="2" s="1"/>
  <c r="P663" i="2" a="1"/>
  <c r="P663" i="2" s="1"/>
  <c r="P196" i="2" a="1"/>
  <c r="P196" i="2" s="1"/>
  <c r="P1052" i="2" a="1"/>
  <c r="P1052" i="2" s="1"/>
  <c r="P1743" i="2" a="1"/>
  <c r="P1743" i="2" s="1"/>
  <c r="P1400" i="2" a="1"/>
  <c r="P1400" i="2" s="1"/>
  <c r="P1404" i="2" a="1"/>
  <c r="P1404" i="2" s="1"/>
  <c r="P1082" i="2" a="1"/>
  <c r="P1082" i="2" s="1"/>
  <c r="P488" i="2" a="1"/>
  <c r="P488" i="2" s="1"/>
  <c r="P1277" i="2" a="1"/>
  <c r="P1277" i="2" s="1"/>
  <c r="P34" i="2" a="1"/>
  <c r="P34" i="2" s="1"/>
  <c r="P590" i="2" a="1"/>
  <c r="P590" i="2" s="1"/>
  <c r="P615" i="2" a="1"/>
  <c r="P615" i="2" s="1"/>
  <c r="P990" i="2" a="1"/>
  <c r="P990" i="2" s="1"/>
  <c r="P1090" i="2" a="1"/>
  <c r="P1090" i="2" s="1"/>
  <c r="P1131" i="2" a="1"/>
  <c r="P1131" i="2" s="1"/>
  <c r="P73" i="2" a="1"/>
  <c r="P73" i="2" s="1"/>
  <c r="P409" i="2" a="1"/>
  <c r="P409" i="2" s="1"/>
  <c r="P1045" i="2" a="1"/>
  <c r="P1045" i="2" s="1"/>
  <c r="P993" i="2" a="1"/>
  <c r="P993" i="2" s="1"/>
  <c r="P254" i="2" a="1"/>
  <c r="P254" i="2" s="1"/>
  <c r="P72" i="2" a="1"/>
  <c r="P72" i="2" s="1"/>
  <c r="P69" i="2" a="1"/>
  <c r="P69" i="2" s="1"/>
  <c r="P592" i="2" a="1"/>
  <c r="P592" i="2" s="1"/>
  <c r="P1477" i="2" a="1"/>
  <c r="P1477" i="2" s="1"/>
  <c r="P956" i="2" a="1"/>
  <c r="P956" i="2" s="1"/>
  <c r="P76" i="2" a="1"/>
  <c r="P76" i="2" s="1"/>
  <c r="P869" i="2" a="1"/>
  <c r="P869" i="2" s="1"/>
  <c r="P1273" i="2" a="1"/>
  <c r="P1273" i="2" s="1"/>
  <c r="P1355" i="2" a="1"/>
  <c r="P1355" i="2" s="1"/>
  <c r="P497" i="2" a="1"/>
  <c r="P497" i="2" s="1"/>
  <c r="P1719" i="2" a="1"/>
  <c r="P1719" i="2" s="1"/>
  <c r="P1328" i="2" a="1"/>
  <c r="P1328" i="2" s="1"/>
  <c r="P998" i="2" a="1"/>
  <c r="P998" i="2" s="1"/>
  <c r="P1253" i="2" a="1"/>
  <c r="P1253" i="2" s="1"/>
  <c r="P1073" i="2" a="1"/>
  <c r="P1073" i="2" s="1"/>
  <c r="P1377" i="2" a="1"/>
  <c r="P1377" i="2" s="1"/>
  <c r="P1698" i="2" a="1"/>
  <c r="P1698" i="2" s="1"/>
  <c r="P167" i="2" a="1"/>
  <c r="P167" i="2" s="1"/>
  <c r="P1228" i="2" a="1"/>
  <c r="P1228" i="2" s="1"/>
  <c r="P601" i="2" a="1"/>
  <c r="P601" i="2" s="1"/>
  <c r="P1320" i="2" a="1"/>
  <c r="P1320" i="2" s="1"/>
  <c r="P1396" i="2" a="1"/>
  <c r="P1396" i="2" s="1"/>
  <c r="P543" i="2" a="1"/>
  <c r="P543" i="2" s="1"/>
  <c r="P577" i="2" a="1"/>
  <c r="P577" i="2" s="1"/>
  <c r="P666" i="2" a="1"/>
  <c r="P666" i="2" s="1"/>
  <c r="P432" i="2" a="1"/>
  <c r="P432" i="2" s="1"/>
  <c r="P1682" i="2" a="1"/>
  <c r="P1682" i="2" s="1"/>
  <c r="P1726" i="2" a="1"/>
  <c r="P1726" i="2" s="1"/>
  <c r="P1332" i="2" a="1"/>
  <c r="P1332" i="2" s="1"/>
  <c r="P1265" i="2" a="1"/>
  <c r="P1265" i="2" s="1"/>
  <c r="P459" i="2" a="1"/>
  <c r="P459" i="2" s="1"/>
  <c r="P1057" i="2" a="1"/>
  <c r="P1057" i="2" s="1"/>
  <c r="P1454" i="2" a="1"/>
  <c r="P1454" i="2" s="1"/>
  <c r="P522" i="2" a="1"/>
  <c r="P522" i="2" s="1"/>
  <c r="P270" i="2" a="1"/>
  <c r="P270" i="2" s="1"/>
  <c r="P861" i="2" a="1"/>
  <c r="P861" i="2" s="1"/>
  <c r="P936" i="2" a="1"/>
  <c r="P936" i="2" s="1"/>
  <c r="P888" i="2" a="1"/>
  <c r="P888" i="2" s="1"/>
  <c r="P1299" i="2" a="1"/>
  <c r="P1299" i="2" s="1"/>
  <c r="P1198" i="2" a="1"/>
  <c r="P1198" i="2" s="1"/>
  <c r="P890" i="2" a="1"/>
  <c r="P890" i="2" s="1"/>
  <c r="P1491" i="2" a="1"/>
  <c r="P1491" i="2" s="1"/>
  <c r="P189" i="2" a="1"/>
  <c r="P189" i="2" s="1"/>
  <c r="P1485" i="2" a="1"/>
  <c r="P1485" i="2" s="1"/>
  <c r="P557" i="2" a="1"/>
  <c r="P557" i="2" s="1"/>
  <c r="P135" i="2" a="1"/>
  <c r="P135" i="2" s="1"/>
  <c r="P288" i="2" a="1"/>
  <c r="P288" i="2" s="1"/>
  <c r="P94" i="2" a="1"/>
  <c r="P94" i="2" s="1"/>
  <c r="P860" i="2" a="1"/>
  <c r="P860" i="2" s="1"/>
  <c r="P610" i="2" a="1"/>
  <c r="P610" i="2" s="1"/>
  <c r="P441" i="2" a="1"/>
  <c r="P441" i="2" s="1"/>
  <c r="P372" i="2" a="1"/>
  <c r="P372" i="2" s="1"/>
  <c r="P1047" i="2" a="1"/>
  <c r="P1047" i="2" s="1"/>
  <c r="P1117" i="2" a="1"/>
  <c r="P1117" i="2" s="1"/>
  <c r="P1336" i="2" a="1"/>
  <c r="P1336" i="2" s="1"/>
  <c r="P1734" i="2" a="1"/>
  <c r="P1734" i="2" s="1"/>
  <c r="P839" i="2" a="1"/>
  <c r="P839" i="2" s="1"/>
  <c r="P1501" i="2" a="1"/>
  <c r="P1501" i="2" s="1"/>
  <c r="P119" i="2" a="1"/>
  <c r="P119" i="2" s="1"/>
  <c r="P154" i="2" a="1"/>
  <c r="P154" i="2" s="1"/>
  <c r="P824" i="2" a="1"/>
  <c r="P824" i="2" s="1"/>
  <c r="P215" i="2" a="1"/>
  <c r="P215" i="2" s="1"/>
  <c r="P911" i="2" a="1"/>
  <c r="P911" i="2" s="1"/>
  <c r="P1164" i="2" a="1"/>
  <c r="P1164" i="2" s="1"/>
  <c r="P746" i="2" a="1"/>
  <c r="P746" i="2" s="1"/>
  <c r="P311" i="2" a="1"/>
  <c r="P311" i="2" s="1"/>
  <c r="P1413" i="2" a="1"/>
  <c r="P1413" i="2" s="1"/>
  <c r="P1693" i="2" a="1"/>
  <c r="P1693" i="2" s="1"/>
  <c r="P1668" i="2" a="1"/>
  <c r="P1668" i="2" s="1"/>
  <c r="P638" i="2" a="1"/>
  <c r="P638" i="2" s="1"/>
  <c r="P759" i="2" a="1"/>
  <c r="P759" i="2" s="1"/>
  <c r="P274" i="2" a="1"/>
  <c r="P274" i="2" s="1"/>
  <c r="P123" i="2" a="1"/>
  <c r="P123" i="2" s="1"/>
  <c r="P1338" i="2" a="1"/>
  <c r="P1338" i="2" s="1"/>
  <c r="P1414" i="2" a="1"/>
  <c r="P1414" i="2" s="1"/>
  <c r="P551" i="2" a="1"/>
  <c r="P551" i="2" s="1"/>
  <c r="P330" i="2" a="1"/>
  <c r="P330" i="2" s="1"/>
  <c r="P1309" i="2" a="1"/>
  <c r="P1309" i="2" s="1"/>
  <c r="P1249" i="2" a="1"/>
  <c r="P1249" i="2" s="1"/>
  <c r="P1469" i="2" a="1"/>
  <c r="P1469" i="2" s="1"/>
  <c r="P1231" i="2" a="1"/>
  <c r="P1231" i="2" s="1"/>
  <c r="P1321" i="2" a="1"/>
  <c r="P1321" i="2" s="1"/>
  <c r="P970" i="2" a="1"/>
  <c r="P970" i="2" s="1"/>
  <c r="P1297" i="2" a="1"/>
  <c r="P1297" i="2" s="1"/>
  <c r="P526" i="2" a="1"/>
  <c r="P526" i="2" s="1"/>
  <c r="P1005" i="2" a="1"/>
  <c r="P1005" i="2" s="1"/>
  <c r="P112" i="2" a="1"/>
  <c r="P112" i="2" s="1"/>
  <c r="P938" i="2" a="1"/>
  <c r="P938" i="2" s="1"/>
  <c r="P587" i="2" a="1"/>
  <c r="P587" i="2" s="1"/>
  <c r="P1043" i="2" a="1"/>
  <c r="P1043" i="2" s="1"/>
  <c r="P226" i="2" a="1"/>
  <c r="P226" i="2" s="1"/>
  <c r="P1058" i="2" a="1"/>
  <c r="P1058" i="2" s="1"/>
  <c r="P1022" i="2" a="1"/>
  <c r="P1022" i="2" s="1"/>
  <c r="P1018" i="2" a="1"/>
  <c r="P1018" i="2" s="1"/>
  <c r="P1030" i="2" a="1"/>
  <c r="P1030" i="2" s="1"/>
  <c r="P427" i="2" a="1"/>
  <c r="P427" i="2" s="1"/>
  <c r="P121" i="2" a="1"/>
  <c r="P121" i="2" s="1"/>
  <c r="P1070" i="2" a="1"/>
  <c r="P1070" i="2" s="1"/>
  <c r="P1285" i="2" a="1"/>
  <c r="P1285" i="2" s="1"/>
  <c r="P1694" i="2" a="1"/>
  <c r="P1694" i="2" s="1"/>
  <c r="P1292" i="2" a="1"/>
  <c r="P1292" i="2" s="1"/>
  <c r="P935" i="2" a="1"/>
  <c r="P935" i="2" s="1"/>
  <c r="P1234" i="2" a="1"/>
  <c r="P1234" i="2" s="1"/>
  <c r="P394" i="2" a="1"/>
  <c r="P394" i="2" s="1"/>
  <c r="P647" i="2" a="1"/>
  <c r="P647" i="2" s="1"/>
  <c r="P1356" i="2" a="1"/>
  <c r="P1356" i="2" s="1"/>
  <c r="P393" i="2" a="1"/>
  <c r="P393" i="2" s="1"/>
  <c r="P1169" i="2" a="1"/>
  <c r="P1169" i="2" s="1"/>
  <c r="P1000" i="2" a="1"/>
  <c r="P1000" i="2" s="1"/>
  <c r="P1059" i="2" a="1"/>
  <c r="P1059" i="2" s="1"/>
  <c r="P569" i="2" a="1"/>
  <c r="P569" i="2" s="1"/>
  <c r="P585" i="2" a="1"/>
  <c r="P585" i="2" s="1"/>
  <c r="P1322" i="2" a="1"/>
  <c r="P1322" i="2" s="1"/>
  <c r="P278" i="2" a="1"/>
  <c r="P278" i="2" s="1"/>
  <c r="P1050" i="2" a="1"/>
  <c r="P1050" i="2" s="1"/>
  <c r="P1225" i="2" a="1"/>
  <c r="P1225" i="2" s="1"/>
  <c r="P310" i="2" a="1"/>
  <c r="P310" i="2" s="1"/>
  <c r="P853" i="2" a="1"/>
  <c r="P853" i="2" s="1"/>
  <c r="P1029" i="2" a="1"/>
  <c r="P1029" i="2" s="1"/>
  <c r="P1679" i="2" a="1"/>
  <c r="P1679" i="2" s="1"/>
  <c r="P201" i="2" a="1"/>
  <c r="P201" i="2" s="1"/>
  <c r="P940" i="2" a="1"/>
  <c r="P940" i="2" s="1"/>
  <c r="P101" i="2" a="1"/>
  <c r="P101" i="2" s="1"/>
  <c r="P925" i="2" a="1"/>
  <c r="P925" i="2" s="1"/>
  <c r="P1076" i="2" a="1"/>
  <c r="P1076" i="2" s="1"/>
  <c r="P230" i="2" a="1"/>
  <c r="P230" i="2" s="1"/>
  <c r="P1286" i="2" a="1"/>
  <c r="P1286" i="2" s="1"/>
  <c r="P767" i="2" a="1"/>
  <c r="P767" i="2" s="1"/>
  <c r="P749" i="2" a="1"/>
  <c r="P749" i="2" s="1"/>
  <c r="P611" i="2" a="1"/>
  <c r="P611" i="2" s="1"/>
  <c r="P1349" i="2" a="1"/>
  <c r="P1349" i="2" s="1"/>
  <c r="P127" i="2" a="1"/>
  <c r="P127" i="2" s="1"/>
  <c r="P1347" i="2" a="1"/>
  <c r="P1347" i="2" s="1"/>
  <c r="P1221" i="2" a="1"/>
  <c r="P1221" i="2" s="1"/>
  <c r="P41" i="2" a="1"/>
  <c r="P41" i="2" s="1"/>
  <c r="P277" i="2" a="1"/>
  <c r="P277" i="2" s="1"/>
  <c r="P28" i="2" a="1"/>
  <c r="P28" i="2" s="1"/>
  <c r="P1389" i="2" a="1"/>
  <c r="P1389" i="2" s="1"/>
  <c r="P813" i="2" a="1"/>
  <c r="P813" i="2" s="1"/>
  <c r="P30" i="2" a="1"/>
  <c r="P30" i="2" s="1"/>
  <c r="P609" i="2" a="1"/>
  <c r="P609" i="2" s="1"/>
  <c r="P576" i="2" a="1"/>
  <c r="P576" i="2" s="1"/>
  <c r="P113" i="2" a="1"/>
  <c r="P113" i="2" s="1"/>
  <c r="P1219" i="2" a="1"/>
  <c r="P1219" i="2" s="1"/>
  <c r="P1340" i="2" a="1"/>
  <c r="P1340" i="2" s="1"/>
  <c r="P1107" i="2" a="1"/>
  <c r="P1107" i="2" s="1"/>
  <c r="P91" i="2" a="1"/>
  <c r="P91" i="2" s="1"/>
  <c r="P678" i="2" a="1"/>
  <c r="P678" i="2" s="1"/>
  <c r="P286" i="2" a="1"/>
  <c r="P286" i="2" s="1"/>
  <c r="P840" i="2" a="1"/>
  <c r="P840" i="2" s="1"/>
  <c r="P670" i="2" a="1"/>
  <c r="P670" i="2" s="1"/>
  <c r="P1423" i="2" a="1"/>
  <c r="P1423" i="2" s="1"/>
  <c r="P1233" i="2" a="1"/>
  <c r="P1233" i="2" s="1"/>
  <c r="P541" i="2" a="1"/>
  <c r="P541" i="2" s="1"/>
  <c r="P1363" i="2" a="1"/>
  <c r="P1363" i="2" s="1"/>
  <c r="P1378" i="2" a="1"/>
  <c r="P1378" i="2" s="1"/>
  <c r="P58" i="2" a="1"/>
  <c r="P58" i="2" s="1"/>
  <c r="P117" i="2" a="1"/>
  <c r="P117" i="2" s="1"/>
  <c r="P1438" i="2" a="1"/>
  <c r="P1438" i="2" s="1"/>
  <c r="P1372" i="2" a="1"/>
  <c r="P1372" i="2" s="1"/>
  <c r="P502" i="2" a="1"/>
  <c r="P502" i="2" s="1"/>
  <c r="P1019" i="2" a="1"/>
  <c r="P1019" i="2" s="1"/>
  <c r="P1186" i="2" a="1"/>
  <c r="P1186" i="2" s="1"/>
  <c r="P975" i="2" a="1"/>
  <c r="P975" i="2" s="1"/>
  <c r="P1013" i="2" a="1"/>
  <c r="P1013" i="2" s="1"/>
  <c r="P305" i="2" a="1"/>
  <c r="P305" i="2" s="1"/>
  <c r="P430" i="2" a="1"/>
  <c r="P430" i="2" s="1"/>
  <c r="P586" i="2" a="1"/>
  <c r="P586" i="2" s="1"/>
  <c r="P1100" i="2" a="1"/>
  <c r="P1100" i="2" s="1"/>
  <c r="P262" i="2" a="1"/>
  <c r="P262" i="2" s="1"/>
  <c r="P732" i="2" a="1"/>
  <c r="P732" i="2" s="1"/>
  <c r="P1492" i="2" a="1"/>
  <c r="P1492" i="2" s="1"/>
  <c r="P336" i="2" a="1"/>
  <c r="P336" i="2" s="1"/>
  <c r="P1091" i="2" a="1"/>
  <c r="P1091" i="2" s="1"/>
  <c r="P728" i="2" a="1"/>
  <c r="P728" i="2" s="1"/>
  <c r="P1728" i="2" a="1"/>
  <c r="P1728" i="2" s="1"/>
  <c r="P974" i="2" a="1"/>
  <c r="P974" i="2" s="1"/>
  <c r="P1226" i="2" a="1"/>
  <c r="P1226" i="2" s="1"/>
  <c r="P318" i="2" a="1"/>
  <c r="P318" i="2" s="1"/>
  <c r="P1388" i="2" a="1"/>
  <c r="P1388" i="2" s="1"/>
  <c r="P892" i="2" a="1"/>
  <c r="P892" i="2" s="1"/>
  <c r="P149" i="2" a="1"/>
  <c r="P149" i="2" s="1"/>
  <c r="P542" i="2" a="1"/>
  <c r="P542" i="2" s="1"/>
  <c r="P509" i="2" a="1"/>
  <c r="P509" i="2" s="1"/>
  <c r="P1062" i="2" a="1"/>
  <c r="P1062" i="2" s="1"/>
  <c r="P852" i="2" a="1"/>
  <c r="P852" i="2" s="1"/>
  <c r="P124" i="2" a="1"/>
  <c r="P124" i="2" s="1"/>
  <c r="P54" i="2" a="1"/>
  <c r="P54" i="2" s="1"/>
  <c r="P751" i="2" a="1"/>
  <c r="P751" i="2" s="1"/>
  <c r="P1379" i="2" a="1"/>
  <c r="P1379" i="2" s="1"/>
  <c r="P866" i="2" a="1"/>
  <c r="P866" i="2" s="1"/>
  <c r="P803" i="2" a="1"/>
  <c r="P803" i="2" s="1"/>
  <c r="P199" i="2" a="1"/>
  <c r="P199" i="2" s="1"/>
  <c r="P334" i="2" a="1"/>
  <c r="P334" i="2" s="1"/>
  <c r="P180" i="2" a="1"/>
  <c r="P180" i="2" s="1"/>
  <c r="P477" i="2" a="1"/>
  <c r="P477" i="2" s="1"/>
  <c r="P1345" i="2" a="1"/>
  <c r="P1345" i="2" s="1"/>
  <c r="P36" i="2" a="1"/>
  <c r="P36" i="2" s="1"/>
  <c r="P355" i="2" a="1"/>
  <c r="P355" i="2" s="1"/>
  <c r="P279" i="2" a="1"/>
  <c r="P279" i="2" s="1"/>
  <c r="P687" i="2" a="1"/>
  <c r="P687" i="2" s="1"/>
  <c r="P248" i="2" a="1"/>
  <c r="P248" i="2" s="1"/>
  <c r="P1160" i="2" a="1"/>
  <c r="P1160" i="2" s="1"/>
  <c r="P1434" i="2" a="1"/>
  <c r="P1434" i="2" s="1"/>
  <c r="P626" i="2" a="1"/>
  <c r="P626" i="2" s="1"/>
  <c r="P952" i="2" a="1"/>
  <c r="P952" i="2" s="1"/>
  <c r="P504" i="2" a="1"/>
  <c r="P504" i="2" s="1"/>
  <c r="P761" i="2" a="1"/>
  <c r="P761" i="2" s="1"/>
  <c r="P111" i="2" a="1"/>
  <c r="P111" i="2" s="1"/>
  <c r="P99" i="2" a="1"/>
  <c r="P99" i="2" s="1"/>
  <c r="P322" i="2" a="1"/>
  <c r="P322" i="2" s="1"/>
  <c r="P1174" i="2" a="1"/>
  <c r="P1174" i="2" s="1"/>
  <c r="P414" i="2" a="1"/>
  <c r="P414" i="2" s="1"/>
  <c r="P934" i="2" a="1"/>
  <c r="P934" i="2" s="1"/>
  <c r="P882" i="2" a="1"/>
  <c r="P882" i="2" s="1"/>
  <c r="P519" i="2" a="1"/>
  <c r="P519" i="2" s="1"/>
  <c r="P1445" i="2" a="1"/>
  <c r="P1445" i="2" s="1"/>
  <c r="P555" i="2" a="1"/>
  <c r="P555" i="2" s="1"/>
  <c r="P1077" i="2" a="1"/>
  <c r="P1077" i="2" s="1"/>
  <c r="P1461" i="2" a="1"/>
  <c r="P1461" i="2" s="1"/>
  <c r="P104" i="2" a="1"/>
  <c r="P104" i="2" s="1"/>
  <c r="P1686" i="2" a="1"/>
  <c r="P1686" i="2" s="1"/>
  <c r="P1173" i="2" a="1"/>
  <c r="P1173" i="2" s="1"/>
  <c r="P285" i="2" a="1"/>
  <c r="P285" i="2" s="1"/>
  <c r="P263" i="2" a="1"/>
  <c r="P263" i="2" s="1"/>
  <c r="P782" i="2" a="1"/>
  <c r="P782" i="2" s="1"/>
  <c r="P1487" i="2" a="1"/>
  <c r="P1487" i="2" s="1"/>
  <c r="P1407" i="2" a="1"/>
  <c r="P1407" i="2" s="1"/>
  <c r="P528" i="2" a="1"/>
  <c r="P528" i="2" s="1"/>
  <c r="P1105" i="2" a="1"/>
  <c r="P1105" i="2" s="1"/>
  <c r="P88" i="2" a="1"/>
  <c r="P88" i="2" s="1"/>
  <c r="P571" i="2" a="1"/>
  <c r="P571" i="2" s="1"/>
  <c r="P886" i="2" a="1"/>
  <c r="P886" i="2" s="1"/>
  <c r="P943" i="2" a="1"/>
  <c r="P943" i="2" s="1"/>
  <c r="P1037" i="2" a="1"/>
  <c r="P1037" i="2" s="1"/>
  <c r="P1727" i="2" a="1"/>
  <c r="P1727" i="2" s="1"/>
  <c r="P1475" i="2" a="1"/>
  <c r="P1475" i="2" s="1"/>
  <c r="P398" i="2" a="1"/>
  <c r="P398" i="2" s="1"/>
  <c r="P306" i="2" a="1"/>
  <c r="P306" i="2" s="1"/>
  <c r="P1172" i="2" a="1"/>
  <c r="P1172" i="2" s="1"/>
  <c r="P1425" i="2" a="1"/>
  <c r="P1425" i="2" s="1"/>
  <c r="P947" i="2" a="1"/>
  <c r="P947" i="2" s="1"/>
  <c r="P874" i="2" a="1"/>
  <c r="P874" i="2" s="1"/>
  <c r="P1268" i="2" a="1"/>
  <c r="P1268" i="2" s="1"/>
  <c r="P164" i="2" a="1"/>
  <c r="P164" i="2" s="1"/>
  <c r="P1476" i="2" a="1"/>
  <c r="P1476" i="2" s="1"/>
  <c r="P719" i="2" a="1"/>
  <c r="P719" i="2" s="1"/>
  <c r="P287" i="2" a="1"/>
  <c r="P287" i="2" s="1"/>
  <c r="P1314" i="2" a="1"/>
  <c r="P1314" i="2" s="1"/>
  <c r="P376" i="2" a="1"/>
  <c r="P376" i="2" s="1"/>
  <c r="P1098" i="2" a="1"/>
  <c r="P1098" i="2" s="1"/>
  <c r="P168" i="2" a="1"/>
  <c r="P168" i="2" s="1"/>
  <c r="P1282" i="2" a="1"/>
  <c r="P1282" i="2" s="1"/>
  <c r="P423" i="2" a="1"/>
  <c r="P423" i="2" s="1"/>
  <c r="P737" i="2" a="1"/>
  <c r="P737" i="2" s="1"/>
  <c r="P1049" i="2" a="1"/>
  <c r="P1049" i="2" s="1"/>
  <c r="P1303" i="2" a="1"/>
  <c r="P1303" i="2" s="1"/>
  <c r="P21" i="2" a="1"/>
  <c r="P21" i="2" s="1"/>
  <c r="P631" i="2" a="1"/>
  <c r="P631" i="2" s="1"/>
  <c r="P245" i="2" a="1"/>
  <c r="P245" i="2" s="1"/>
  <c r="P250" i="2" a="1"/>
  <c r="P250" i="2" s="1"/>
  <c r="P171" i="2" a="1"/>
  <c r="P171" i="2" s="1"/>
  <c r="P260" i="2" a="1"/>
  <c r="P260" i="2" s="1"/>
  <c r="P857" i="2" a="1"/>
  <c r="P857" i="2" s="1"/>
  <c r="P994" i="2" a="1"/>
  <c r="P994" i="2" s="1"/>
  <c r="P385" i="2" a="1"/>
  <c r="P385" i="2" s="1"/>
  <c r="P804" i="2" a="1"/>
  <c r="P804" i="2" s="1"/>
  <c r="P8" i="2" a="1"/>
  <c r="P8" i="2" s="1"/>
  <c r="P359" i="2" a="1"/>
  <c r="P359" i="2" s="1"/>
  <c r="P1740" i="2" a="1"/>
  <c r="P1740" i="2" s="1"/>
  <c r="P1466" i="2" a="1"/>
  <c r="P1466" i="2" s="1"/>
  <c r="P665" i="2" a="1"/>
  <c r="P665" i="2" s="1"/>
  <c r="P77" i="2" a="1"/>
  <c r="P77" i="2" s="1"/>
  <c r="P738" i="2" a="1"/>
  <c r="P738" i="2" s="1"/>
  <c r="P762" i="2" a="1"/>
  <c r="P762" i="2" s="1"/>
  <c r="P900" i="2" a="1"/>
  <c r="P900" i="2" s="1"/>
  <c r="P208" i="2" a="1"/>
  <c r="P208" i="2" s="1"/>
  <c r="P161" i="2" a="1"/>
  <c r="P161" i="2" s="1"/>
  <c r="P68" i="2" a="1"/>
  <c r="P68" i="2" s="1"/>
  <c r="P593" i="2" a="1"/>
  <c r="P593" i="2" s="1"/>
  <c r="P1677" i="2" a="1"/>
  <c r="P1677" i="2" s="1"/>
  <c r="P1494" i="2" a="1"/>
  <c r="P1494" i="2" s="1"/>
  <c r="P313" i="2" a="1"/>
  <c r="P313" i="2" s="1"/>
  <c r="P807" i="2" a="1"/>
  <c r="P807" i="2" s="1"/>
  <c r="P914" i="2" a="1"/>
  <c r="P914" i="2" s="1"/>
  <c r="P864" i="2" a="1"/>
  <c r="P864" i="2" s="1"/>
  <c r="P1326" i="2" a="1"/>
  <c r="P1326" i="2" s="1"/>
  <c r="P706" i="2" a="1"/>
  <c r="P706" i="2" s="1"/>
  <c r="P1361" i="2" a="1"/>
  <c r="P1361" i="2" s="1"/>
  <c r="P618" i="2" a="1"/>
  <c r="P618" i="2" s="1"/>
  <c r="P1080" i="2" a="1"/>
  <c r="P1080" i="2" s="1"/>
  <c r="P1738" i="2" a="1"/>
  <c r="P1738" i="2" s="1"/>
  <c r="P411" i="2" a="1"/>
  <c r="P411" i="2" s="1"/>
  <c r="P883" i="2" a="1"/>
  <c r="P883" i="2" s="1"/>
  <c r="P701" i="2" a="1"/>
  <c r="P701" i="2" s="1"/>
  <c r="P957" i="2" a="1"/>
  <c r="P957" i="2" s="1"/>
  <c r="P294" i="2" a="1"/>
  <c r="P294" i="2" s="1"/>
  <c r="P1329" i="2" a="1"/>
  <c r="P1329" i="2" s="1"/>
  <c r="P982" i="2" a="1"/>
  <c r="P982" i="2" s="1"/>
  <c r="P1306" i="2" a="1"/>
  <c r="P1306" i="2" s="1"/>
  <c r="P156" i="2" a="1"/>
  <c r="P156" i="2" s="1"/>
  <c r="P885" i="2" a="1"/>
  <c r="P885" i="2" s="1"/>
  <c r="P986" i="2" a="1"/>
  <c r="P986" i="2" s="1"/>
  <c r="P1257" i="2" a="1"/>
  <c r="P1257" i="2" s="1"/>
  <c r="P718" i="2" a="1"/>
  <c r="P718" i="2" s="1"/>
  <c r="P436" i="2" a="1"/>
  <c r="P436" i="2" s="1"/>
  <c r="P600" i="2" a="1"/>
  <c r="P600" i="2" s="1"/>
  <c r="P604" i="2" a="1"/>
  <c r="P604" i="2" s="1"/>
  <c r="P404" i="2" a="1"/>
  <c r="P404" i="2" s="1"/>
  <c r="P603" i="2" a="1"/>
  <c r="P603" i="2" s="1"/>
  <c r="P74" i="2" a="1"/>
  <c r="P74" i="2" s="1"/>
  <c r="P23" i="2" a="1"/>
  <c r="P23" i="2" s="1"/>
  <c r="P648" i="2" a="1"/>
  <c r="P648" i="2" s="1"/>
  <c r="P176" i="2" a="1"/>
  <c r="P176" i="2" s="1"/>
  <c r="P1144" i="2" a="1"/>
  <c r="P1144" i="2" s="1"/>
  <c r="P915" i="2" a="1"/>
  <c r="P915" i="2" s="1"/>
  <c r="P1696" i="2" a="1"/>
  <c r="P1696" i="2" s="1"/>
  <c r="P1380" i="2" a="1"/>
  <c r="P1380" i="2" s="1"/>
  <c r="P110" i="2" a="1"/>
  <c r="P110" i="2" s="1"/>
  <c r="P1742" i="2" a="1"/>
  <c r="P1742" i="2" s="1"/>
  <c r="P1364" i="2" a="1"/>
  <c r="P1364" i="2" s="1"/>
  <c r="P1222" i="2" a="1"/>
  <c r="P1222" i="2" s="1"/>
  <c r="P588" i="2" a="1"/>
  <c r="P588" i="2" s="1"/>
  <c r="P442" i="2" a="1"/>
  <c r="P442" i="2" s="1"/>
  <c r="P865" i="2" a="1"/>
  <c r="P865" i="2" s="1"/>
  <c r="P1089" i="2" a="1"/>
  <c r="P1089" i="2" s="1"/>
  <c r="P218" i="2" a="1"/>
  <c r="P218" i="2" s="1"/>
  <c r="P307" i="2" a="1"/>
  <c r="P307" i="2" s="1"/>
  <c r="P100" i="2" a="1"/>
  <c r="P100" i="2" s="1"/>
  <c r="P826" i="2" a="1"/>
  <c r="P826" i="2" s="1"/>
  <c r="P1374" i="2" a="1"/>
  <c r="P1374" i="2" s="1"/>
  <c r="P1470" i="2" a="1"/>
  <c r="P1470" i="2" s="1"/>
  <c r="P79" i="2" a="1"/>
  <c r="P79" i="2" s="1"/>
  <c r="P1381" i="2" a="1"/>
  <c r="P1381" i="2" s="1"/>
  <c r="P1739" i="2" a="1"/>
  <c r="P1739" i="2" s="1"/>
  <c r="P489" i="2" a="1"/>
  <c r="P489" i="2" s="1"/>
  <c r="P1125" i="2" a="1"/>
  <c r="P1125" i="2" s="1"/>
  <c r="P1411" i="2" a="1"/>
  <c r="P1411" i="2" s="1"/>
  <c r="P1463" i="2" a="1"/>
  <c r="P1463" i="2" s="1"/>
  <c r="P1240" i="2" a="1"/>
  <c r="P1240" i="2" s="1"/>
  <c r="P1202" i="2" a="1"/>
  <c r="P1202" i="2" s="1"/>
  <c r="P644" i="2" a="1"/>
  <c r="P644" i="2" s="1"/>
  <c r="P1238" i="2" a="1"/>
  <c r="P1238" i="2" s="1"/>
  <c r="P420" i="2" a="1"/>
  <c r="P420" i="2" s="1"/>
  <c r="P118" i="2" a="1"/>
  <c r="P118" i="2" s="1"/>
  <c r="P405" i="2" a="1"/>
  <c r="P405" i="2" s="1"/>
  <c r="P391" i="2" a="1"/>
  <c r="P391" i="2" s="1"/>
  <c r="P507" i="2" a="1"/>
  <c r="P507" i="2" s="1"/>
  <c r="P243" i="2" a="1"/>
  <c r="P243" i="2" s="1"/>
  <c r="P786" i="2" a="1"/>
  <c r="P786" i="2" s="1"/>
  <c r="P868" i="2" a="1"/>
  <c r="P868" i="2" s="1"/>
  <c r="P739" i="2" a="1"/>
  <c r="P739" i="2" s="1"/>
  <c r="P468" i="2" a="1"/>
  <c r="P468" i="2" s="1"/>
  <c r="P713" i="2" a="1"/>
  <c r="P713" i="2" s="1"/>
  <c r="P931" i="2" a="1"/>
  <c r="P931" i="2" s="1"/>
  <c r="P210" i="2" a="1"/>
  <c r="P210" i="2" s="1"/>
  <c r="P784" i="2" a="1"/>
  <c r="P784" i="2" s="1"/>
  <c r="P563" i="2" a="1"/>
  <c r="P563" i="2" s="1"/>
  <c r="P547" i="2" a="1"/>
  <c r="P547" i="2" s="1"/>
  <c r="P833" i="2" a="1"/>
  <c r="P833" i="2" s="1"/>
  <c r="P629" i="2" a="1"/>
  <c r="P629" i="2" s="1"/>
  <c r="P880" i="2" a="1"/>
  <c r="P880" i="2" s="1"/>
  <c r="P1447" i="2" a="1"/>
  <c r="P1447" i="2" s="1"/>
  <c r="P437" i="2" a="1"/>
  <c r="P437" i="2" s="1"/>
  <c r="P229" i="2" a="1"/>
  <c r="P229" i="2" s="1"/>
  <c r="P407" i="2" a="1"/>
  <c r="P407" i="2" s="1"/>
  <c r="P166" i="2" a="1"/>
  <c r="P166" i="2" s="1"/>
  <c r="P2" i="2" a="1"/>
  <c r="P2" i="2" s="1"/>
  <c r="P658" i="2" a="1"/>
  <c r="P658" i="2" s="1"/>
  <c r="P799" i="2" a="1"/>
  <c r="P799" i="2" s="1"/>
  <c r="P1422" i="2" a="1"/>
  <c r="P1422" i="2" s="1"/>
  <c r="P1478" i="2" a="1"/>
  <c r="P1478" i="2" s="1"/>
  <c r="P717" i="2" a="1"/>
  <c r="P717" i="2" s="1"/>
  <c r="P268" i="2" a="1"/>
  <c r="P268" i="2" s="1"/>
  <c r="P1200" i="2" a="1"/>
  <c r="P1200" i="2" s="1"/>
  <c r="P1334" i="2" a="1"/>
  <c r="P1334" i="2" s="1"/>
  <c r="P1152" i="2" a="1"/>
  <c r="P1152" i="2" s="1"/>
  <c r="P1308" i="2" a="1"/>
  <c r="P1308" i="2" s="1"/>
  <c r="P1078" i="2" a="1"/>
  <c r="P1078" i="2" s="1"/>
  <c r="P146" i="2" a="1"/>
  <c r="P146" i="2" s="1"/>
  <c r="P440" i="2" a="1"/>
  <c r="P440" i="2" s="1"/>
  <c r="P1695" i="2" a="1"/>
  <c r="P1695" i="2" s="1"/>
  <c r="P352" i="2" a="1"/>
  <c r="P352" i="2" s="1"/>
  <c r="P476" i="2" a="1"/>
  <c r="P476" i="2" s="1"/>
  <c r="P1733" i="2" a="1"/>
  <c r="P1733" i="2" s="1"/>
  <c r="P402" i="2" a="1"/>
  <c r="P402" i="2" s="1"/>
  <c r="P105" i="2" a="1"/>
  <c r="P105" i="2" s="1"/>
  <c r="P1139" i="2" a="1"/>
  <c r="P1139" i="2" s="1"/>
  <c r="P825" i="2" a="1"/>
  <c r="P825" i="2" s="1"/>
  <c r="P546" i="2" a="1"/>
  <c r="P546" i="2" s="1"/>
  <c r="P1397" i="2" a="1"/>
  <c r="P1397" i="2" s="1"/>
  <c r="P50" i="2" a="1"/>
  <c r="P50" i="2" s="1"/>
  <c r="P1232" i="2" a="1"/>
  <c r="P1232" i="2" s="1"/>
  <c r="P1337" i="2" a="1"/>
  <c r="P1337" i="2" s="1"/>
  <c r="P1375" i="2" a="1"/>
  <c r="P1375" i="2" s="1"/>
  <c r="P1312" i="2" a="1"/>
  <c r="P1312" i="2" s="1"/>
  <c r="P139" i="2" a="1"/>
  <c r="P139" i="2" s="1"/>
  <c r="P188" i="2" a="1"/>
  <c r="P188" i="2" s="1"/>
  <c r="P898" i="2" a="1"/>
  <c r="P898" i="2" s="1"/>
  <c r="P1187" i="2" a="1"/>
  <c r="P1187" i="2" s="1"/>
  <c r="P778" i="2" a="1"/>
  <c r="P778" i="2" s="1"/>
  <c r="P9" i="2" a="1"/>
  <c r="P9" i="2" s="1"/>
  <c r="P169" i="2" a="1"/>
  <c r="P169" i="2" s="1"/>
  <c r="P1015" i="2" a="1"/>
  <c r="P1015" i="2" s="1"/>
  <c r="P197" i="2" a="1"/>
  <c r="P197" i="2" s="1"/>
  <c r="P752" i="2" a="1"/>
  <c r="P752" i="2" s="1"/>
  <c r="P764" i="2" a="1"/>
  <c r="P764" i="2" s="1"/>
  <c r="P927" i="2" a="1"/>
  <c r="P927" i="2" s="1"/>
  <c r="P685" i="2" a="1"/>
  <c r="P685" i="2" s="1"/>
  <c r="P1084" i="2" a="1"/>
  <c r="P1084" i="2" s="1"/>
  <c r="P594" i="2" a="1"/>
  <c r="P594" i="2" s="1"/>
  <c r="P745" i="2" a="1"/>
  <c r="P745" i="2" s="1"/>
  <c r="P901" i="2" a="1"/>
  <c r="P901" i="2" s="1"/>
  <c r="P496" i="2" a="1"/>
  <c r="P496" i="2" s="1"/>
  <c r="P83" i="2" a="1"/>
  <c r="P83" i="2" s="1"/>
  <c r="P1153" i="2" a="1"/>
  <c r="P1153" i="2" s="1"/>
  <c r="P1263" i="2" a="1"/>
  <c r="P1263" i="2" s="1"/>
  <c r="P673" i="2" a="1"/>
  <c r="P673" i="2" s="1"/>
  <c r="P1736" i="2" a="1"/>
  <c r="P1736" i="2" s="1"/>
  <c r="P1269" i="2" a="1"/>
  <c r="P1269" i="2" s="1"/>
  <c r="P1004" i="2" a="1"/>
  <c r="P1004" i="2" s="1"/>
  <c r="P256" i="2" a="1"/>
  <c r="P256" i="2" s="1"/>
  <c r="P710" i="2" a="1"/>
  <c r="P710" i="2" s="1"/>
  <c r="P785" i="2" a="1"/>
  <c r="P785" i="2" s="1"/>
  <c r="P1061" i="2" a="1"/>
  <c r="P1061" i="2" s="1"/>
  <c r="P996" i="2" a="1"/>
  <c r="P996" i="2" s="1"/>
  <c r="P842" i="2" a="1"/>
  <c r="P842" i="2" s="1"/>
  <c r="P823" i="2" a="1"/>
  <c r="P823" i="2" s="1"/>
  <c r="P272" i="2" a="1"/>
  <c r="P272" i="2" s="1"/>
  <c r="P1271" i="2" a="1"/>
  <c r="P1271" i="2" s="1"/>
  <c r="P457" i="2" a="1"/>
  <c r="P457" i="2" s="1"/>
  <c r="P1331" i="2" a="1"/>
  <c r="P1331" i="2" s="1"/>
  <c r="P650" i="2" a="1"/>
  <c r="P650" i="2" s="1"/>
  <c r="P1126" i="2" a="1"/>
  <c r="P1126" i="2" s="1"/>
  <c r="P217" i="2" a="1"/>
  <c r="P217" i="2" s="1"/>
  <c r="P531" i="2" a="1"/>
  <c r="P531" i="2" s="1"/>
  <c r="P1410" i="2" a="1"/>
  <c r="P1410" i="2" s="1"/>
  <c r="P691" i="2" a="1"/>
  <c r="P691" i="2" s="1"/>
  <c r="P498" i="2" a="1"/>
  <c r="P498" i="2" s="1"/>
  <c r="P608" i="2" a="1"/>
  <c r="P608" i="2" s="1"/>
  <c r="P374" i="2" a="1"/>
  <c r="P374" i="2" s="1"/>
  <c r="P652" i="2" a="1"/>
  <c r="P652" i="2" s="1"/>
  <c r="P295" i="2" a="1"/>
  <c r="P295" i="2" s="1"/>
  <c r="P63" i="2" a="1"/>
  <c r="P63" i="2" s="1"/>
  <c r="P473" i="2" a="1"/>
  <c r="P473" i="2" s="1"/>
  <c r="P635" i="2" a="1"/>
  <c r="P635" i="2" s="1"/>
  <c r="P1119" i="2" a="1"/>
  <c r="P1119" i="2" s="1"/>
  <c r="P1142" i="2" a="1"/>
  <c r="P1142" i="2" s="1"/>
  <c r="P239" i="2" a="1"/>
  <c r="P239" i="2" s="1"/>
  <c r="P1419" i="2" a="1"/>
  <c r="P1419" i="2" s="1"/>
  <c r="P981" i="2" a="1"/>
  <c r="P981" i="2" s="1"/>
  <c r="P1236" i="2" a="1"/>
  <c r="P1236" i="2" s="1"/>
  <c r="P1069" i="2" a="1"/>
  <c r="P1069" i="2" s="1"/>
  <c r="P923" i="2" a="1"/>
  <c r="P923" i="2" s="1"/>
  <c r="P337" i="2" a="1"/>
  <c r="P337" i="2" s="1"/>
  <c r="P1086" i="2" a="1"/>
  <c r="P1086" i="2" s="1"/>
  <c r="P1021" i="2" a="1"/>
  <c r="P1021" i="2" s="1"/>
  <c r="P1300" i="2" a="1"/>
  <c r="P1300" i="2" s="1"/>
  <c r="P1362" i="2" a="1"/>
  <c r="P1362" i="2" s="1"/>
  <c r="P949" i="2" a="1"/>
  <c r="P949" i="2" s="1"/>
  <c r="P1360" i="2" a="1"/>
  <c r="P1360" i="2" s="1"/>
  <c r="P25" i="2" a="1"/>
  <c r="P25" i="2" s="1"/>
  <c r="P444" i="2" a="1"/>
  <c r="P444" i="2" s="1"/>
  <c r="P801" i="2" a="1"/>
  <c r="P801" i="2" s="1"/>
  <c r="P103" i="2" a="1"/>
  <c r="P103" i="2" s="1"/>
  <c r="P953" i="2" a="1"/>
  <c r="P953" i="2" s="1"/>
  <c r="P876" i="2" a="1"/>
  <c r="P876" i="2" s="1"/>
  <c r="P545" i="2" a="1"/>
  <c r="P545" i="2" s="1"/>
  <c r="P1046" i="2" a="1"/>
  <c r="P1046" i="2" s="1"/>
  <c r="P832" i="2" a="1"/>
  <c r="P832" i="2" s="1"/>
  <c r="P775" i="2" a="1"/>
  <c r="P775" i="2" s="1"/>
  <c r="P527" i="2" a="1"/>
  <c r="P527" i="2" s="1"/>
  <c r="P66" i="2" a="1"/>
  <c r="P66" i="2" s="1"/>
  <c r="P941" i="2" a="1"/>
  <c r="P941" i="2" s="1"/>
  <c r="P211" i="2" a="1"/>
  <c r="P211" i="2" s="1"/>
  <c r="P765" i="2" a="1"/>
  <c r="P765" i="2" s="1"/>
  <c r="P499" i="2" a="1"/>
  <c r="P499" i="2" s="1"/>
  <c r="P1179" i="2" a="1"/>
  <c r="P1179" i="2" s="1"/>
  <c r="P867" i="2" a="1"/>
  <c r="P867" i="2" s="1"/>
  <c r="P942" i="2" a="1"/>
  <c r="P942" i="2" s="1"/>
  <c r="P1281" i="2" a="1"/>
  <c r="P1281" i="2" s="1"/>
  <c r="P80" i="2" a="1"/>
  <c r="P80" i="2" s="1"/>
  <c r="P172" i="2" a="1"/>
  <c r="P172" i="2" s="1"/>
  <c r="P373" i="2" a="1"/>
  <c r="P373" i="2" s="1"/>
  <c r="P830" i="2" a="1"/>
  <c r="P830" i="2" s="1"/>
  <c r="P1335" i="2" a="1"/>
  <c r="P1335" i="2" s="1"/>
  <c r="P1157" i="2" a="1"/>
  <c r="P1157" i="2" s="1"/>
  <c r="P1087" i="2" a="1"/>
  <c r="P1087" i="2" s="1"/>
  <c r="P1497" i="2" a="1"/>
  <c r="P1497" i="2" s="1"/>
  <c r="P10" i="2" a="1"/>
  <c r="P10" i="2" s="1"/>
  <c r="P192" i="2" a="1"/>
  <c r="P192" i="2" s="1"/>
  <c r="P574" i="2" a="1"/>
  <c r="P574" i="2" s="1"/>
  <c r="P750" i="2" a="1"/>
  <c r="P750" i="2" s="1"/>
  <c r="P247" i="2" a="1"/>
  <c r="P247" i="2" s="1"/>
  <c r="P625" i="2" a="1"/>
  <c r="P625" i="2" s="1"/>
  <c r="P1351" i="2" a="1"/>
  <c r="P1351" i="2" s="1"/>
  <c r="P410" i="2" a="1"/>
  <c r="P410" i="2" s="1"/>
  <c r="P518" i="2" a="1"/>
  <c r="P518" i="2" s="1"/>
  <c r="P1270" i="2" a="1"/>
  <c r="P1270" i="2" s="1"/>
  <c r="P312" i="2" a="1"/>
  <c r="P312" i="2" s="1"/>
  <c r="P49" i="2" a="1"/>
  <c r="P49" i="2" s="1"/>
  <c r="P821" i="2" a="1"/>
  <c r="P821" i="2" s="1"/>
  <c r="P204" i="2" a="1"/>
  <c r="P204" i="2" s="1"/>
  <c r="P1451" i="2" a="1"/>
  <c r="P1451" i="2" s="1"/>
  <c r="P207" i="2" a="1"/>
  <c r="P207" i="2" s="1"/>
  <c r="P1143" i="2" a="1"/>
  <c r="P1143" i="2" s="1"/>
  <c r="P42" i="2" a="1"/>
  <c r="P42" i="2" s="1"/>
  <c r="P770" i="2" a="1"/>
  <c r="P770" i="2" s="1"/>
  <c r="P995" i="2" a="1"/>
  <c r="P995" i="2" s="1"/>
  <c r="P220" i="2" a="1"/>
  <c r="P220" i="2" s="1"/>
  <c r="P1064" i="2" a="1"/>
  <c r="P1064" i="2" s="1"/>
  <c r="P1001" i="2" a="1"/>
  <c r="P1001" i="2" s="1"/>
  <c r="P1350" i="2" a="1"/>
  <c r="P1350" i="2" s="1"/>
  <c r="P1674" i="2" a="1"/>
  <c r="P1674" i="2" s="1"/>
  <c r="P324" i="2" a="1"/>
  <c r="P324" i="2" s="1"/>
  <c r="P453" i="2" a="1"/>
  <c r="P453" i="2" s="1"/>
  <c r="P1218" i="2" a="1"/>
  <c r="P1218" i="2" s="1"/>
  <c r="P1708" i="2" a="1"/>
  <c r="P1708" i="2" s="1"/>
  <c r="P505" i="2" a="1"/>
  <c r="P505" i="2" s="1"/>
  <c r="P344" i="2" a="1"/>
  <c r="P344" i="2" s="1"/>
  <c r="P645" i="2" a="1"/>
  <c r="P645" i="2" s="1"/>
  <c r="P454" i="2" a="1"/>
  <c r="P454" i="2" s="1"/>
  <c r="P1709" i="2" a="1"/>
  <c r="P1709" i="2" s="1"/>
  <c r="P971" i="2" a="1"/>
  <c r="P971" i="2" s="1"/>
  <c r="P319" i="2" a="1"/>
  <c r="P319" i="2" s="1"/>
  <c r="P33" i="2" a="1"/>
  <c r="P33" i="2" s="1"/>
  <c r="P1486" i="2" a="1"/>
  <c r="P1486" i="2" s="1"/>
  <c r="P1318" i="2" a="1"/>
  <c r="P1318" i="2" s="1"/>
  <c r="P679" i="2" a="1"/>
  <c r="P679" i="2" s="1"/>
  <c r="P653" i="2" a="1"/>
  <c r="P653" i="2" s="1"/>
  <c r="P1392" i="2" a="1"/>
  <c r="P1392" i="2" s="1"/>
  <c r="P209" i="2" a="1"/>
  <c r="P209" i="2" s="1"/>
  <c r="P259" i="2" a="1"/>
  <c r="P259" i="2" s="1"/>
  <c r="P1003" i="2" a="1"/>
  <c r="P1003" i="2" s="1"/>
  <c r="P467" i="2" a="1"/>
  <c r="P467" i="2" s="1"/>
  <c r="P689" i="2" a="1"/>
  <c r="P689" i="2" s="1"/>
  <c r="P95" i="2" a="1"/>
  <c r="P95" i="2" s="1"/>
  <c r="P1406" i="2" a="1"/>
  <c r="P1406" i="2" s="1"/>
  <c r="P649" i="2" a="1"/>
  <c r="P649" i="2" s="1"/>
  <c r="P1298" i="2" a="1"/>
  <c r="P1298" i="2" s="1"/>
  <c r="P591" i="2" a="1"/>
  <c r="P591" i="2" s="1"/>
  <c r="P1204" i="2" a="1"/>
  <c r="P1204" i="2" s="1"/>
  <c r="P1103" i="2" a="1"/>
  <c r="P1103" i="2" s="1"/>
  <c r="P863" i="2" a="1"/>
  <c r="P863" i="2" s="1"/>
  <c r="P836" i="2" a="1"/>
  <c r="P836" i="2" s="1"/>
  <c r="P1272" i="2" a="1"/>
  <c r="P1272" i="2" s="1"/>
  <c r="P43" i="2" a="1"/>
  <c r="P43" i="2" s="1"/>
  <c r="P1354" i="2" a="1"/>
  <c r="P1354" i="2" s="1"/>
  <c r="P932" i="2" a="1"/>
  <c r="P932" i="2" s="1"/>
  <c r="P1130" i="2" a="1"/>
  <c r="P1130" i="2" s="1"/>
  <c r="P14" i="2" a="1"/>
  <c r="P14" i="2" s="1"/>
  <c r="P345" i="2" a="1"/>
  <c r="P345" i="2" s="1"/>
  <c r="P1479" i="2" a="1"/>
  <c r="P1479" i="2" s="1"/>
  <c r="P985" i="2" a="1"/>
  <c r="P985" i="2" s="1"/>
  <c r="P1192" i="2" a="1"/>
  <c r="P1192" i="2" s="1"/>
  <c r="P1109" i="2" a="1"/>
  <c r="P1109" i="2" s="1"/>
  <c r="P16" i="2" a="1"/>
  <c r="P16" i="2" s="1"/>
  <c r="P366" i="2" a="1"/>
  <c r="P366" i="2" s="1"/>
  <c r="P386" i="2" a="1"/>
  <c r="P386" i="2" s="1"/>
  <c r="P1074" i="2" a="1"/>
  <c r="P1074" i="2" s="1"/>
  <c r="P581" i="2" a="1"/>
  <c r="P581" i="2" s="1"/>
  <c r="P491" i="2" a="1"/>
  <c r="P491" i="2" s="1"/>
  <c r="P483" i="2" a="1"/>
  <c r="P483" i="2" s="1"/>
  <c r="P521" i="2" a="1"/>
  <c r="P521" i="2" s="1"/>
  <c r="P1730" i="2" a="1"/>
  <c r="P1730" i="2" s="1"/>
  <c r="P1213" i="2" a="1"/>
  <c r="P1213" i="2" s="1"/>
  <c r="P1227" i="2" a="1"/>
  <c r="P1227" i="2" s="1"/>
  <c r="P298" i="2" a="1"/>
  <c r="P298" i="2" s="1"/>
  <c r="P1344" i="2" a="1"/>
  <c r="P1344" i="2" s="1"/>
  <c r="P1183" i="2" a="1"/>
  <c r="P1183" i="2" s="1"/>
  <c r="P511" i="2" a="1"/>
  <c r="P511" i="2" s="1"/>
  <c r="P203" i="2" a="1"/>
  <c r="P203" i="2" s="1"/>
  <c r="P703" i="2" a="1"/>
  <c r="P703" i="2" s="1"/>
  <c r="P56" i="2" a="1"/>
  <c r="P56" i="2" s="1"/>
  <c r="P1403" i="2" a="1"/>
  <c r="P1403" i="2" s="1"/>
  <c r="P1280" i="2" a="1"/>
  <c r="P1280" i="2" s="1"/>
  <c r="P1108" i="2" a="1"/>
  <c r="P1108" i="2" s="1"/>
  <c r="P240" i="2" a="1"/>
  <c r="P240" i="2" s="1"/>
  <c r="P219" i="2" a="1"/>
  <c r="P219" i="2" s="1"/>
  <c r="P1191" i="2" a="1"/>
  <c r="P1191" i="2" s="1"/>
  <c r="P131" i="2" a="1"/>
  <c r="P131" i="2" s="1"/>
  <c r="P781" i="2" a="1"/>
  <c r="P781" i="2" s="1"/>
  <c r="P1229" i="2" a="1"/>
  <c r="P1229" i="2" s="1"/>
  <c r="P369" i="2" a="1"/>
  <c r="P369" i="2" s="1"/>
  <c r="P1427" i="2" a="1"/>
  <c r="P1427" i="2" s="1"/>
  <c r="P1180" i="2" a="1"/>
  <c r="P1180" i="2" s="1"/>
  <c r="P193" i="2" a="1"/>
  <c r="P193" i="2" s="1"/>
  <c r="P1247" i="2" a="1"/>
  <c r="P1247" i="2" s="1"/>
  <c r="P1498" i="2" a="1"/>
  <c r="P1498" i="2" s="1"/>
  <c r="P1433" i="2" a="1"/>
  <c r="P1433" i="2" s="1"/>
  <c r="P31" i="2" a="1"/>
  <c r="P31" i="2" s="1"/>
  <c r="P1261" i="2" a="1"/>
  <c r="P1261" i="2" s="1"/>
  <c r="P227" i="2" a="1"/>
  <c r="P227" i="2" s="1"/>
  <c r="P556" i="2" a="1"/>
  <c r="P556" i="2" s="1"/>
  <c r="P85" i="2" a="1"/>
  <c r="P85" i="2" s="1"/>
  <c r="P1133" i="2" a="1"/>
  <c r="P1133" i="2" s="1"/>
  <c r="P388" i="2" a="1"/>
  <c r="P388" i="2" s="1"/>
  <c r="P22" i="2" a="1"/>
  <c r="P22" i="2" s="1"/>
  <c r="P537" i="2" a="1"/>
  <c r="P537" i="2" s="1"/>
  <c r="P1462" i="2" a="1"/>
  <c r="P1462" i="2" s="1"/>
  <c r="P1195" i="2" a="1"/>
  <c r="P1195" i="2" s="1"/>
  <c r="P640" i="2" a="1"/>
  <c r="P640" i="2" s="1"/>
  <c r="P1323" i="2" a="1"/>
  <c r="P1323" i="2" s="1"/>
  <c r="P1341" i="2" a="1"/>
  <c r="P1341" i="2" s="1"/>
  <c r="P1199" i="2" a="1"/>
  <c r="P1199" i="2" s="1"/>
  <c r="P1262" i="2" a="1"/>
  <c r="P1262" i="2" s="1"/>
  <c r="P846" i="2" a="1"/>
  <c r="P846" i="2" s="1"/>
  <c r="P681" i="2" a="1"/>
  <c r="P681" i="2" s="1"/>
  <c r="P1302" i="2" a="1"/>
  <c r="P1302" i="2" s="1"/>
  <c r="P296" i="2" a="1"/>
  <c r="P296" i="2" s="1"/>
  <c r="P930" i="2" a="1"/>
  <c r="P930" i="2" s="1"/>
  <c r="P1710" i="2" a="1"/>
  <c r="P1710" i="2" s="1"/>
  <c r="P1235" i="2" a="1"/>
  <c r="P1235" i="2" s="1"/>
  <c r="P485" i="2" a="1"/>
  <c r="P485" i="2" s="1"/>
  <c r="P37" i="2" a="1"/>
  <c r="P37" i="2" s="1"/>
  <c r="P817" i="2" a="1"/>
  <c r="P817" i="2" s="1"/>
  <c r="P62" i="2" a="1"/>
  <c r="P62" i="2" s="1"/>
  <c r="P165" i="2" a="1"/>
  <c r="P165" i="2" s="1"/>
  <c r="P1714" i="2" a="1"/>
  <c r="P1714" i="2" s="1"/>
  <c r="P695" i="2" a="1"/>
  <c r="P695" i="2" s="1"/>
  <c r="P1716" i="2" a="1"/>
  <c r="P1716" i="2" s="1"/>
  <c r="P1702" i="2" a="1"/>
  <c r="P1702" i="2" s="1"/>
  <c r="P578" i="2" a="1"/>
  <c r="P578" i="2" s="1"/>
  <c r="P378" i="2" a="1"/>
  <c r="P378" i="2" s="1"/>
  <c r="P144" i="2" a="1"/>
  <c r="P144" i="2" s="1"/>
  <c r="P1393" i="2" a="1"/>
  <c r="P1393" i="2" s="1"/>
  <c r="P1027" i="2" a="1"/>
  <c r="P1027" i="2" s="1"/>
  <c r="P401" i="2" a="1"/>
  <c r="P401" i="2" s="1"/>
  <c r="P686" i="2" a="1"/>
  <c r="P686" i="2" s="1"/>
  <c r="P992" i="2" a="1"/>
  <c r="P992" i="2" s="1"/>
  <c r="P482" i="2" a="1"/>
  <c r="P482" i="2" s="1"/>
  <c r="P771" i="2" a="1"/>
  <c r="P771" i="2" s="1"/>
  <c r="P175" i="2" a="1"/>
  <c r="P175" i="2" s="1"/>
  <c r="P1258" i="2" a="1"/>
  <c r="P1258" i="2" s="1"/>
  <c r="P1220" i="2" a="1"/>
  <c r="P1220" i="2" s="1"/>
  <c r="P238" i="2" a="1"/>
  <c r="P238" i="2" s="1"/>
  <c r="P988" i="2" a="1"/>
  <c r="P988" i="2" s="1"/>
  <c r="P1452" i="2" a="1"/>
  <c r="P1452" i="2" s="1"/>
  <c r="P1020" i="2" a="1"/>
  <c r="P1020" i="2" s="1"/>
  <c r="P797" i="2" a="1"/>
  <c r="P797" i="2" s="1"/>
  <c r="P828" i="2" a="1"/>
  <c r="P828" i="2" s="1"/>
  <c r="P64" i="2" a="1"/>
  <c r="P64" i="2" s="1"/>
  <c r="P46" i="2" a="1"/>
  <c r="P46" i="2" s="1"/>
  <c r="P1042" i="2" a="1"/>
  <c r="P1042" i="2" s="1"/>
  <c r="P660" i="2" a="1"/>
  <c r="P660" i="2" s="1"/>
  <c r="P90" i="2" a="1"/>
  <c r="P90" i="2" s="1"/>
  <c r="P183" i="2" a="1"/>
  <c r="P183" i="2" s="1"/>
  <c r="P1181" i="2" a="1"/>
  <c r="P1181" i="2" s="1"/>
  <c r="P1283" i="2" a="1"/>
  <c r="P1283" i="2" s="1"/>
  <c r="P977" i="2" a="1"/>
  <c r="P977" i="2" s="1"/>
  <c r="P820" i="2" a="1"/>
  <c r="P820" i="2" s="1"/>
  <c r="P727" i="2" a="1"/>
  <c r="P727" i="2" s="1"/>
  <c r="P1721" i="2" a="1"/>
  <c r="P1721" i="2" s="1"/>
  <c r="P323" i="2" a="1"/>
  <c r="P323" i="2" s="1"/>
  <c r="P1088" i="2" a="1"/>
  <c r="P1088" i="2" s="1"/>
  <c r="P1032" i="2" a="1"/>
  <c r="P1032" i="2" s="1"/>
  <c r="P909" i="2" a="1"/>
  <c r="P909" i="2" s="1"/>
  <c r="P129" i="2" a="1"/>
  <c r="P129" i="2" s="1"/>
  <c r="P251" i="2" a="1"/>
  <c r="P251" i="2" s="1"/>
  <c r="P816" i="2" a="1"/>
  <c r="P816" i="2" s="1"/>
  <c r="P48" i="2" a="1"/>
  <c r="P48" i="2" s="1"/>
  <c r="P1712" i="2" a="1"/>
  <c r="P1712" i="2" s="1"/>
  <c r="P32" i="2" a="1"/>
  <c r="P32" i="2" s="1"/>
  <c r="P651" i="2" a="1"/>
  <c r="P651" i="2" s="1"/>
  <c r="P162" i="2" a="1"/>
  <c r="P162" i="2" s="1"/>
  <c r="P1358" i="2" a="1"/>
  <c r="P1358" i="2" s="1"/>
  <c r="P362" i="2" a="1"/>
  <c r="P362" i="2" s="1"/>
  <c r="P158" i="2" a="1"/>
  <c r="P158" i="2" s="1"/>
  <c r="P1201" i="2" a="1"/>
  <c r="P1201" i="2" s="1"/>
  <c r="P1490" i="2" a="1"/>
  <c r="P1490" i="2" s="1"/>
  <c r="P1093" i="2" a="1"/>
  <c r="P1093" i="2" s="1"/>
  <c r="P1026" i="2" a="1"/>
  <c r="P1026" i="2" s="1"/>
  <c r="P464" i="2" a="1"/>
  <c r="P464" i="2" s="1"/>
  <c r="P924" i="2" a="1"/>
  <c r="P924" i="2" s="1"/>
  <c r="P692" i="2" a="1"/>
  <c r="P692" i="2" s="1"/>
  <c r="P777" i="2" a="1"/>
  <c r="P777" i="2" s="1"/>
  <c r="P997" i="2" a="1"/>
  <c r="P997" i="2" s="1"/>
  <c r="P281" i="2" a="1"/>
  <c r="P281" i="2" s="1"/>
  <c r="P570" i="2" a="1"/>
  <c r="P570" i="2" s="1"/>
  <c r="P205" i="2" a="1"/>
  <c r="P205" i="2" s="1"/>
  <c r="P462" i="2" a="1"/>
  <c r="P462" i="2" s="1"/>
  <c r="P789" i="2" a="1"/>
  <c r="P789" i="2" s="1"/>
  <c r="P115" i="2" a="1"/>
  <c r="P115" i="2" s="1"/>
  <c r="P381" i="2" a="1"/>
  <c r="P381" i="2" s="1"/>
  <c r="P360" i="2" a="1"/>
  <c r="P360" i="2" s="1"/>
  <c r="P142" i="2" a="1"/>
  <c r="P142" i="2" s="1"/>
  <c r="P65" i="2" a="1"/>
  <c r="P65" i="2" s="1"/>
  <c r="P1471" i="2" a="1"/>
  <c r="P1471" i="2" s="1"/>
  <c r="P933" i="2" a="1"/>
  <c r="P933" i="2" s="1"/>
  <c r="P1212" i="2" a="1"/>
  <c r="P1212" i="2" s="1"/>
  <c r="P403" i="2" a="1"/>
  <c r="P403" i="2" s="1"/>
  <c r="P1156" i="2" a="1"/>
  <c r="P1156" i="2" s="1"/>
  <c r="P534" i="2" a="1"/>
  <c r="P534" i="2" s="1"/>
  <c r="P237" i="2" a="1"/>
  <c r="P237" i="2" s="1"/>
  <c r="P877" i="2" a="1"/>
  <c r="P877" i="2" s="1"/>
  <c r="P1442" i="2" a="1"/>
  <c r="P1442" i="2" s="1"/>
  <c r="P389" i="2" a="1"/>
  <c r="P389" i="2" s="1"/>
  <c r="P1288" i="2" a="1"/>
  <c r="P1288" i="2" s="1"/>
  <c r="P1044" i="2" a="1"/>
  <c r="P1044" i="2" s="1"/>
  <c r="P747" i="2" a="1"/>
  <c r="P747" i="2" s="1"/>
  <c r="P849" i="2" a="1"/>
  <c r="P849" i="2" s="1"/>
  <c r="P494" i="2" a="1"/>
  <c r="P494" i="2" s="1"/>
  <c r="P1038" i="2" a="1"/>
  <c r="P1038" i="2" s="1"/>
  <c r="P501" i="2" a="1"/>
  <c r="P501" i="2" s="1"/>
  <c r="P348" i="2" a="1"/>
  <c r="P348" i="2" s="1"/>
  <c r="P1053" i="2" a="1"/>
  <c r="P1053" i="2" s="1"/>
  <c r="P946" i="2" a="1"/>
  <c r="P946" i="2" s="1"/>
  <c r="P1713" i="2" a="1"/>
  <c r="P1713" i="2" s="1"/>
  <c r="P275" i="2" a="1"/>
  <c r="P275" i="2" s="1"/>
  <c r="P390" i="2" a="1"/>
  <c r="P390" i="2" s="1"/>
  <c r="P1211" i="2" a="1"/>
  <c r="P1211" i="2" s="1"/>
  <c r="P1245" i="2" a="1"/>
  <c r="P1245" i="2" s="1"/>
  <c r="P456" i="2" a="1"/>
  <c r="P456" i="2" s="1"/>
  <c r="P1703" i="2" a="1"/>
  <c r="P1703" i="2" s="1"/>
  <c r="P1319" i="2" a="1"/>
  <c r="P1319" i="2" s="1"/>
  <c r="P628" i="2" a="1"/>
  <c r="P628" i="2" s="1"/>
  <c r="P38" i="2" a="1"/>
  <c r="P38" i="2" s="1"/>
  <c r="P320" i="2" a="1"/>
  <c r="P320" i="2" s="1"/>
  <c r="P1430" i="2" a="1"/>
  <c r="P1430" i="2" s="1"/>
  <c r="P1106" i="2" a="1"/>
  <c r="P1106" i="2" s="1"/>
  <c r="P264" i="2" a="1"/>
  <c r="P264" i="2" s="1"/>
  <c r="P1689" i="2" a="1"/>
  <c r="P1689" i="2" s="1"/>
  <c r="P1048" i="2" a="1"/>
  <c r="P1048" i="2" s="1"/>
  <c r="P1369" i="2" a="1"/>
  <c r="P1369" i="2" s="1"/>
  <c r="P632" i="2" a="1"/>
  <c r="P632" i="2" s="1"/>
  <c r="P128" i="2" a="1"/>
  <c r="P128" i="2" s="1"/>
  <c r="P424" i="2" a="1"/>
  <c r="P424" i="2" s="1"/>
  <c r="P1203" i="2" a="1"/>
  <c r="P1203" i="2" s="1"/>
  <c r="P597" i="2" a="1"/>
  <c r="P597" i="2" s="1"/>
  <c r="P422" i="2" a="1"/>
  <c r="P422" i="2" s="1"/>
  <c r="P52" i="2" a="1"/>
  <c r="P52" i="2" s="1"/>
  <c r="P1429" i="2" a="1"/>
  <c r="P1429" i="2" s="1"/>
  <c r="P894" i="2" a="1"/>
  <c r="P894" i="2" s="1"/>
  <c r="P851" i="2" a="1"/>
  <c r="P851" i="2" s="1"/>
  <c r="P612" i="2" a="1"/>
  <c r="P612" i="2" s="1"/>
  <c r="P1415" i="2" a="1"/>
  <c r="P1415" i="2" s="1"/>
  <c r="P524" i="2" a="1"/>
  <c r="P524" i="2" s="1"/>
  <c r="P961" i="2" a="1"/>
  <c r="P961" i="2" s="1"/>
  <c r="P1116" i="2" a="1"/>
  <c r="P1116" i="2" s="1"/>
  <c r="P560" i="2" a="1"/>
  <c r="P560" i="2" s="1"/>
  <c r="P1720" i="2" a="1"/>
  <c r="P1720" i="2" s="1"/>
  <c r="P190" i="2" a="1"/>
  <c r="P190" i="2" s="1"/>
  <c r="P202" i="2" a="1"/>
  <c r="P202" i="2" s="1"/>
  <c r="P185" i="2" a="1"/>
  <c r="P185" i="2" s="1"/>
  <c r="P267" i="2" a="1"/>
  <c r="P267" i="2" s="1"/>
  <c r="P1264" i="2" a="1"/>
  <c r="P1264" i="2" s="1"/>
  <c r="P536" i="2" a="1"/>
  <c r="P536" i="2" s="1"/>
  <c r="P736" i="2" a="1"/>
  <c r="P736" i="2" s="1"/>
  <c r="P152" i="2" a="1"/>
  <c r="P152" i="2" s="1"/>
  <c r="P225" i="2" a="1"/>
  <c r="P225" i="2" s="1"/>
  <c r="P1071" i="2" a="1"/>
  <c r="P1071" i="2" s="1"/>
  <c r="P787" i="2" a="1"/>
  <c r="P787" i="2" s="1"/>
  <c r="P47" i="2" a="1"/>
  <c r="P47" i="2" s="1"/>
  <c r="P241" i="2" a="1"/>
  <c r="P241" i="2" s="1"/>
  <c r="P87" i="2" a="1"/>
  <c r="P87" i="2" s="1"/>
  <c r="P508" i="2" a="1"/>
  <c r="P508" i="2" s="1"/>
  <c r="P1701" i="2" a="1"/>
  <c r="P1701" i="2" s="1"/>
  <c r="P39" i="2" a="1"/>
  <c r="P39" i="2" s="1"/>
  <c r="P40" i="2" a="1"/>
  <c r="P40" i="2" s="1"/>
  <c r="P331" i="2" a="1"/>
  <c r="P331" i="2" s="1"/>
  <c r="P1148" i="2" a="1"/>
  <c r="P1148" i="2" s="1"/>
  <c r="P1006" i="2" a="1"/>
  <c r="P1006" i="2" s="1"/>
  <c r="P1278" i="2" a="1"/>
  <c r="P1278" i="2" s="1"/>
  <c r="P1154" i="2" a="1"/>
  <c r="P1154" i="2" s="1"/>
  <c r="P458" i="2" a="1"/>
  <c r="P458" i="2" s="1"/>
  <c r="P579" i="2" a="1"/>
  <c r="P579" i="2" s="1"/>
  <c r="P400" i="2" a="1"/>
  <c r="P400" i="2" s="1"/>
  <c r="P253" i="2" a="1"/>
  <c r="P253" i="2" s="1"/>
  <c r="P434" i="2" a="1"/>
  <c r="P434" i="2" s="1"/>
  <c r="P583" i="2" a="1"/>
  <c r="P583" i="2" s="1"/>
  <c r="P1500" i="2" a="1"/>
  <c r="P1500" i="2" s="1"/>
  <c r="P396" i="2" a="1"/>
  <c r="P396" i="2" s="1"/>
  <c r="P1190" i="2" a="1"/>
  <c r="P1190" i="2" s="1"/>
  <c r="P19" i="2" a="1"/>
  <c r="P19" i="2" s="1"/>
  <c r="P834" i="2" a="1"/>
  <c r="P834" i="2" s="1"/>
  <c r="P897" i="2" a="1"/>
  <c r="P897" i="2" s="1"/>
  <c r="P1067" i="2" a="1"/>
  <c r="P1067" i="2" s="1"/>
  <c r="P265" i="2" a="1"/>
  <c r="P265" i="2" s="1"/>
  <c r="P266" i="2" a="1"/>
  <c r="P266" i="2" s="1"/>
  <c r="P896" i="2" a="1"/>
  <c r="P896" i="2" s="1"/>
  <c r="P999" i="2" a="1"/>
  <c r="P999" i="2" s="1"/>
  <c r="P283" i="2" a="1"/>
  <c r="P283" i="2" s="1"/>
  <c r="P1675" i="2" a="1"/>
  <c r="P1675" i="2" s="1"/>
  <c r="P1208" i="2" a="1"/>
  <c r="P1208" i="2" s="1"/>
  <c r="P1700" i="2" a="1"/>
  <c r="P1700" i="2" s="1"/>
  <c r="P479" i="2" a="1"/>
  <c r="P479" i="2" s="1"/>
  <c r="P1034" i="2" a="1"/>
  <c r="P1034" i="2" s="1"/>
  <c r="P1248" i="2" a="1"/>
  <c r="P1248" i="2" s="1"/>
  <c r="P905" i="2" a="1"/>
  <c r="P905" i="2" s="1"/>
  <c r="P379" i="2" a="1"/>
  <c r="P379" i="2" s="1"/>
  <c r="P481" i="2" a="1"/>
  <c r="P481" i="2" s="1"/>
  <c r="P1182" i="2" a="1"/>
  <c r="P1182" i="2" s="1"/>
  <c r="P335" i="2" a="1"/>
  <c r="P335" i="2" s="1"/>
  <c r="P325" i="2" a="1"/>
  <c r="P325" i="2" s="1"/>
  <c r="P18" i="2" a="1"/>
  <c r="P18" i="2" s="1"/>
  <c r="P364" i="2" a="1"/>
  <c r="P364" i="2" s="1"/>
  <c r="P1230" i="2" a="1"/>
  <c r="P1230" i="2" s="1"/>
  <c r="P959" i="2" a="1"/>
  <c r="P959" i="2" s="1"/>
  <c r="P707" i="2" a="1"/>
  <c r="P707" i="2" s="1"/>
  <c r="P1398" i="2" a="1"/>
  <c r="P1398" i="2" s="1"/>
  <c r="P1715" i="2" a="1"/>
  <c r="P1715" i="2" s="1"/>
  <c r="P1488" i="2" a="1"/>
  <c r="P1488" i="2" s="1"/>
  <c r="P1111" i="2" a="1"/>
  <c r="P1111" i="2" s="1"/>
  <c r="P1132" i="2" a="1"/>
  <c r="P1132" i="2" s="1"/>
  <c r="P783" i="2" a="1"/>
  <c r="P783" i="2" s="1"/>
  <c r="P1184" i="2" a="1"/>
  <c r="P1184" i="2" s="1"/>
  <c r="P490" i="2" a="1"/>
  <c r="P490" i="2" s="1"/>
  <c r="P596" i="2" a="1"/>
  <c r="P596" i="2" s="1"/>
  <c r="P667" i="2" a="1"/>
  <c r="P667" i="2" s="1"/>
  <c r="P845" i="2" a="1"/>
  <c r="P845" i="2" s="1"/>
  <c r="P539" i="2" a="1"/>
  <c r="P539" i="2" s="1"/>
  <c r="P102" i="2" a="1"/>
  <c r="P102" i="2" s="1"/>
  <c r="P575" i="2" a="1"/>
  <c r="P575" i="2" s="1"/>
  <c r="P693" i="2" a="1"/>
  <c r="P693" i="2" s="1"/>
  <c r="P17" i="2" a="1"/>
  <c r="P17" i="2" s="1"/>
  <c r="P500" i="2" a="1"/>
  <c r="P500" i="2" s="1"/>
  <c r="P461" i="2" a="1"/>
  <c r="P461" i="2" s="1"/>
  <c r="P1115" i="2" a="1"/>
  <c r="P1115" i="2" s="1"/>
  <c r="P1707" i="2" a="1"/>
  <c r="P1707" i="2" s="1"/>
  <c r="P150" i="2" a="1"/>
  <c r="P150" i="2" s="1"/>
  <c r="P273" i="2" a="1"/>
  <c r="P273" i="2" s="1"/>
  <c r="P433" i="2" a="1"/>
  <c r="P433" i="2" s="1"/>
  <c r="P5" i="2" a="1"/>
  <c r="P5" i="2" s="1"/>
  <c r="P589" i="2" a="1"/>
  <c r="P589" i="2" s="1"/>
  <c r="P1684" i="2" a="1"/>
  <c r="P1684" i="2" s="1"/>
  <c r="P714" i="2" a="1"/>
  <c r="P714" i="2" s="1"/>
  <c r="P450" i="2" a="1"/>
  <c r="P450" i="2" s="1"/>
  <c r="P554" i="2" a="1"/>
  <c r="P554" i="2" s="1"/>
  <c r="P71" i="2" a="1"/>
  <c r="P71" i="2" s="1"/>
  <c r="P343" i="2" a="1"/>
  <c r="P343" i="2" s="1"/>
  <c r="P633" i="2" a="1"/>
  <c r="P633" i="2" s="1"/>
  <c r="P224" i="2" a="1"/>
  <c r="P224" i="2" s="1"/>
  <c r="P674" i="2" a="1"/>
  <c r="P674" i="2" s="1"/>
  <c r="P1687" i="2" a="1"/>
  <c r="P1687" i="2" s="1"/>
  <c r="P683" i="2" a="1"/>
  <c r="P683" i="2" s="1"/>
  <c r="P744" i="2" a="1"/>
  <c r="P744" i="2" s="1"/>
  <c r="P1244" i="2" a="1"/>
  <c r="P1244" i="2" s="1"/>
  <c r="P233" i="2" a="1"/>
  <c r="P233" i="2" s="1"/>
  <c r="P584" i="2" a="1"/>
  <c r="P584" i="2" s="1"/>
  <c r="P622" i="2" a="1"/>
  <c r="P622" i="2" s="1"/>
  <c r="P972" i="2" a="1"/>
  <c r="P972" i="2" s="1"/>
  <c r="P465" i="2" a="1"/>
  <c r="P465" i="2" s="1"/>
  <c r="P1056" i="2" a="1"/>
  <c r="P1056" i="2" s="1"/>
  <c r="P1155" i="2" a="1"/>
  <c r="P1155" i="2" s="1"/>
  <c r="P1456" i="2" a="1"/>
  <c r="P1456" i="2" s="1"/>
  <c r="P742" i="2" a="1"/>
  <c r="P742" i="2" s="1"/>
  <c r="P910" i="2" a="1"/>
  <c r="P910" i="2" s="1"/>
  <c r="P950" i="2" a="1"/>
  <c r="P950" i="2" s="1"/>
  <c r="P384" i="2" a="1"/>
  <c r="P384" i="2" s="1"/>
  <c r="P177" i="2" a="1"/>
  <c r="P177" i="2" s="1"/>
  <c r="P353" i="2" a="1"/>
  <c r="P353" i="2" s="1"/>
  <c r="P399" i="2" a="1"/>
  <c r="P399" i="2" s="1"/>
  <c r="P1252" i="2" a="1"/>
  <c r="P1252" i="2" s="1"/>
  <c r="P1441" i="2" a="1"/>
  <c r="P1441" i="2" s="1"/>
  <c r="P908" i="2" a="1"/>
  <c r="P908" i="2" s="1"/>
  <c r="P1352" i="2" a="1"/>
  <c r="P1352" i="2" s="1"/>
  <c r="P1023" i="2" a="1"/>
  <c r="P1023" i="2" s="1"/>
  <c r="P1502" i="2" a="1"/>
  <c r="P1502" i="2" s="1"/>
  <c r="P532" i="2" a="1"/>
  <c r="P532" i="2" s="1"/>
  <c r="P690" i="2" a="1"/>
  <c r="P690" i="2" s="1"/>
  <c r="P906" i="2" a="1"/>
  <c r="P906" i="2" s="1"/>
  <c r="P1711" i="2" a="1"/>
  <c r="P1711" i="2" s="1"/>
  <c r="P133" i="2" a="1"/>
  <c r="P133" i="2" s="1"/>
  <c r="P912" i="2" a="1"/>
  <c r="P912" i="2" s="1"/>
  <c r="P1260" i="2" a="1"/>
  <c r="P1260" i="2" s="1"/>
  <c r="P815" i="2" a="1"/>
  <c r="P815" i="2" s="1"/>
  <c r="P1170" i="2" a="1"/>
  <c r="P1170" i="2" s="1"/>
  <c r="P45" i="2" a="1"/>
  <c r="P45" i="2" s="1"/>
  <c r="P426" i="2" a="1"/>
  <c r="P426" i="2" s="1"/>
  <c r="P1113" i="2" a="1"/>
  <c r="P1113" i="2" s="1"/>
  <c r="P419" i="2" a="1"/>
  <c r="P419" i="2" s="1"/>
  <c r="P1373" i="2" a="1"/>
  <c r="P1373" i="2" s="1"/>
  <c r="P261" i="2" a="1"/>
  <c r="P261" i="2" s="1"/>
  <c r="P642" i="2" a="1"/>
  <c r="P642" i="2" s="1"/>
  <c r="P106" i="2" a="1"/>
  <c r="P106" i="2" s="1"/>
  <c r="P1722" i="2" a="1"/>
  <c r="P1722" i="2" s="1"/>
  <c r="P1138" i="2" a="1"/>
  <c r="P1138" i="2" s="1"/>
  <c r="P1159" i="2" a="1"/>
  <c r="P1159" i="2" s="1"/>
  <c r="P258" i="2" a="1"/>
  <c r="P258" i="2" s="1"/>
  <c r="P244" i="2" a="1"/>
  <c r="P244" i="2" s="1"/>
  <c r="P662" i="2" a="1"/>
  <c r="P662" i="2" s="1"/>
  <c r="P451" i="2" a="1"/>
  <c r="P451" i="2" s="1"/>
  <c r="P699" i="2" a="1"/>
  <c r="P699" i="2" s="1"/>
  <c r="P675" i="2" a="1"/>
  <c r="P675" i="2" s="1"/>
  <c r="P1416" i="2" a="1"/>
  <c r="P1416" i="2" s="1"/>
  <c r="P1162" i="2" a="1"/>
  <c r="P1162" i="2" s="1"/>
  <c r="P284" i="2" a="1"/>
  <c r="P284" i="2" s="1"/>
  <c r="P980" i="2" a="1"/>
  <c r="P980" i="2" s="1"/>
  <c r="P346" i="2" a="1"/>
  <c r="P346" i="2" s="1"/>
  <c r="P1384" i="2" a="1"/>
  <c r="P1384" i="2" s="1"/>
  <c r="P1007" i="2" a="1"/>
  <c r="P1007" i="2" s="1"/>
  <c r="P1210" i="2" a="1"/>
  <c r="P1210" i="2" s="1"/>
  <c r="P1122" i="2" a="1"/>
  <c r="P1122" i="2" s="1"/>
  <c r="P354" i="2" a="1"/>
  <c r="P354" i="2" s="1"/>
  <c r="P1489" i="2" a="1"/>
  <c r="P1489" i="2" s="1"/>
  <c r="P159" i="2" a="1"/>
  <c r="P159" i="2" s="1"/>
  <c r="P1092" i="2" a="1"/>
  <c r="P1092" i="2" s="1"/>
  <c r="P1002" i="2" a="1"/>
  <c r="P1002" i="2" s="1"/>
  <c r="P659" i="2" a="1"/>
  <c r="P659" i="2" s="1"/>
  <c r="P1256" i="2" a="1"/>
  <c r="P1256" i="2" s="1"/>
  <c r="P327" i="2" a="1"/>
  <c r="P327" i="2" s="1"/>
  <c r="P607" i="2" a="1"/>
  <c r="P607" i="2" s="1"/>
  <c r="P328" i="2" a="1"/>
  <c r="P328" i="2" s="1"/>
  <c r="P1251" i="2" a="1"/>
  <c r="P1251" i="2" s="1"/>
  <c r="P802" i="2" a="1"/>
  <c r="P802" i="2" s="1"/>
  <c r="P680" i="2" a="1"/>
  <c r="P680" i="2" s="1"/>
  <c r="P130" i="2" a="1"/>
  <c r="P130" i="2" s="1"/>
  <c r="P439" i="2" a="1"/>
  <c r="P439" i="2" s="1"/>
  <c r="P913" i="2" a="1"/>
  <c r="P913" i="2" s="1"/>
  <c r="P979" i="2" a="1"/>
  <c r="P979" i="2" s="1"/>
  <c r="P855" i="2" a="1"/>
  <c r="P855" i="2" s="1"/>
  <c r="P448" i="2" a="1"/>
  <c r="P448" i="2" s="1"/>
  <c r="P753" i="2" a="1"/>
  <c r="P753" i="2" s="1"/>
  <c r="P291" i="2" a="1"/>
  <c r="P291" i="2" s="1"/>
  <c r="P734" i="2" a="1"/>
  <c r="P734" i="2" s="1"/>
  <c r="P520" i="2" a="1"/>
  <c r="P520" i="2" s="1"/>
  <c r="P252" i="2" a="1"/>
  <c r="P252" i="2" s="1"/>
  <c r="P1458" i="2" a="1"/>
  <c r="P1458" i="2" s="1"/>
  <c r="P382" i="2" a="1"/>
  <c r="P382" i="2" s="1"/>
  <c r="P173" i="2" a="1"/>
  <c r="P173" i="2" s="1"/>
  <c r="P363" i="2" a="1"/>
  <c r="P363" i="2" s="1"/>
  <c r="P903" i="2" a="1"/>
  <c r="P903" i="2" s="1"/>
  <c r="P928" i="2" a="1"/>
  <c r="P928" i="2" s="1"/>
  <c r="P1163" i="2" a="1"/>
  <c r="P1163" i="2" s="1"/>
  <c r="P671" i="2" a="1"/>
  <c r="P671" i="2" s="1"/>
  <c r="P181" i="2" a="1"/>
  <c r="P181" i="2" s="1"/>
  <c r="P538" i="2" a="1"/>
  <c r="P538" i="2" s="1"/>
  <c r="P731" i="2" a="1"/>
  <c r="P731" i="2" s="1"/>
  <c r="P1118" i="2" a="1"/>
  <c r="P1118" i="2" s="1"/>
  <c r="P1129" i="2" a="1"/>
  <c r="P1129" i="2" s="1"/>
  <c r="P769" i="2" a="1"/>
  <c r="P769" i="2" s="1"/>
  <c r="P621" i="2" a="1"/>
  <c r="P621" i="2" s="1"/>
  <c r="P187" i="2" a="1"/>
  <c r="P187" i="2" s="1"/>
  <c r="P878" i="2" a="1"/>
  <c r="P878" i="2" s="1"/>
  <c r="P55" i="2" a="1"/>
  <c r="P55" i="2" s="1"/>
  <c r="P1178" i="2" a="1"/>
  <c r="P1178" i="2" s="1"/>
  <c r="P1704" i="2" a="1"/>
  <c r="P1704" i="2" s="1"/>
  <c r="P1717" i="2" a="1"/>
  <c r="P1717" i="2" s="1"/>
  <c r="P1735" i="2" a="1"/>
  <c r="P1735" i="2" s="1"/>
  <c r="P493" i="2" a="1"/>
  <c r="P493" i="2" s="1"/>
  <c r="P1418" i="2" a="1"/>
  <c r="P1418" i="2" s="1"/>
  <c r="P879" i="2" a="1"/>
  <c r="P879" i="2" s="1"/>
  <c r="P276" i="2" a="1"/>
  <c r="P276" i="2" s="1"/>
  <c r="P515" i="2" a="1"/>
  <c r="P515" i="2" s="1"/>
  <c r="P1346" i="2" a="1"/>
  <c r="P1346" i="2" s="1"/>
  <c r="P506" i="2" a="1"/>
  <c r="P506" i="2" s="1"/>
  <c r="P455" i="2" a="1"/>
  <c r="P455" i="2" s="1"/>
  <c r="P1194" i="2" a="1"/>
  <c r="P1194" i="2" s="1"/>
  <c r="P1671" i="2" a="1"/>
  <c r="P1671" i="2" s="1"/>
  <c r="P904" i="2" a="1"/>
  <c r="P904" i="2" s="1"/>
  <c r="P582" i="2" a="1"/>
  <c r="P582" i="2" s="1"/>
  <c r="P1176" i="2" a="1"/>
  <c r="P1176" i="2" s="1"/>
  <c r="P1206" i="2" a="1"/>
  <c r="P1206" i="2" s="1"/>
  <c r="P1196" i="2" a="1"/>
  <c r="P1196" i="2" s="1"/>
  <c r="P377" i="2" a="1"/>
  <c r="P377" i="2" s="1"/>
  <c r="P1729" i="2" a="1"/>
  <c r="P1729" i="2" s="1"/>
  <c r="P510" i="2" a="1"/>
  <c r="P510" i="2" s="1"/>
  <c r="P958" i="2" a="1"/>
  <c r="P958" i="2" s="1"/>
  <c r="P1370" i="2" a="1"/>
  <c r="P1370" i="2" s="1"/>
  <c r="P206" i="2" a="1"/>
  <c r="P206" i="2" s="1"/>
  <c r="P406" i="2" a="1"/>
  <c r="P406" i="2" s="1"/>
  <c r="P1731" i="2" a="1"/>
  <c r="P1731" i="2" s="1"/>
  <c r="P884" i="2" a="1"/>
  <c r="P884" i="2" s="1"/>
  <c r="P1068" i="2" a="1"/>
  <c r="P1068" i="2" s="1"/>
  <c r="P1134" i="2" a="1"/>
  <c r="P1134" i="2" s="1"/>
  <c r="P332" i="2" a="1"/>
  <c r="P332" i="2" s="1"/>
  <c r="P1171" i="2" a="1"/>
  <c r="P1171" i="2" s="1"/>
  <c r="P960" i="2" a="1"/>
  <c r="P960" i="2" s="1"/>
  <c r="P1343" i="2" a="1"/>
  <c r="P1343" i="2" s="1"/>
  <c r="P326" i="2" a="1"/>
  <c r="P326" i="2" s="1"/>
  <c r="P711" i="2" a="1"/>
  <c r="P711" i="2" s="1"/>
  <c r="P754" i="2" a="1"/>
  <c r="P754" i="2" s="1"/>
  <c r="P342" i="2" a="1"/>
  <c r="P342" i="2" s="1"/>
  <c r="P1259" i="2" a="1"/>
  <c r="P1259" i="2" s="1"/>
  <c r="P945" i="2" a="1"/>
  <c r="P945" i="2" s="1"/>
  <c r="P614" i="2" a="1"/>
  <c r="P614" i="2" s="1"/>
  <c r="P1009" i="2" a="1"/>
  <c r="P1009" i="2" s="1"/>
  <c r="P1012" i="2" a="1"/>
  <c r="P1012" i="2" s="1"/>
  <c r="P1669" i="2" a="1"/>
  <c r="P1669" i="2" s="1"/>
  <c r="P12" i="2" a="1"/>
  <c r="P12" i="2" s="1"/>
  <c r="P212" i="2" a="1"/>
  <c r="P212" i="2" s="1"/>
  <c r="P568" i="2" a="1"/>
  <c r="P568" i="2" s="1"/>
  <c r="P1040" i="2" a="1"/>
  <c r="P1040" i="2" s="1"/>
  <c r="P1474" i="2" a="1"/>
  <c r="P1474" i="2" s="1"/>
  <c r="P535" i="2" a="1"/>
  <c r="P535" i="2" s="1"/>
  <c r="P223" i="2" a="1"/>
  <c r="P223" i="2" s="1"/>
  <c r="P1453" i="2" a="1"/>
  <c r="P1453" i="2" s="1"/>
  <c r="P1016" i="2" a="1"/>
  <c r="P1016" i="2" s="1"/>
  <c r="P1405" i="2" a="1"/>
  <c r="P1405" i="2" s="1"/>
  <c r="P1724" i="2" a="1"/>
  <c r="P1724" i="2" s="1"/>
  <c r="P1394" i="2" a="1"/>
  <c r="P1394" i="2" s="1"/>
  <c r="P696" i="2" a="1"/>
  <c r="P696" i="2" s="1"/>
  <c r="P740" i="2" a="1"/>
  <c r="P740" i="2" s="1"/>
  <c r="P1440" i="2" a="1"/>
  <c r="P1440" i="2" s="1"/>
  <c r="P720" i="2" a="1"/>
  <c r="P720" i="2" s="1"/>
  <c r="P682" i="2" a="1"/>
  <c r="P682" i="2" s="1"/>
  <c r="P708" i="2" a="1"/>
  <c r="P708" i="2" s="1"/>
  <c r="P1705" i="2" a="1"/>
  <c r="P1705" i="2" s="1"/>
  <c r="P1431" i="2" a="1"/>
  <c r="P1431" i="2" s="1"/>
  <c r="P843" i="2" a="1"/>
  <c r="P843" i="2" s="1"/>
  <c r="P1723" i="2" a="1"/>
  <c r="P1723" i="2" s="1"/>
  <c r="P1691" i="2" a="1"/>
  <c r="P1691" i="2" s="1"/>
  <c r="P937" i="2" a="1"/>
  <c r="P937" i="2" s="1"/>
  <c r="P657" i="2" a="1"/>
  <c r="P657" i="2" s="1"/>
  <c r="P1161" i="2" a="1"/>
  <c r="P1161" i="2" s="1"/>
  <c r="P664" i="2" a="1"/>
  <c r="P664" i="2" s="1"/>
  <c r="P232" i="2" a="1"/>
  <c r="P232" i="2" s="1"/>
  <c r="P1357" i="2" a="1"/>
  <c r="P1357" i="2" s="1"/>
  <c r="P1391" i="2" a="1"/>
  <c r="P1391" i="2" s="1"/>
  <c r="P418" i="2" a="1"/>
  <c r="P418" i="2" s="1"/>
  <c r="P425" i="2" a="1"/>
  <c r="P425" i="2" s="1"/>
  <c r="P1483" i="2" a="1"/>
  <c r="P1483" i="2" s="1"/>
  <c r="P916" i="2" a="1"/>
  <c r="P916" i="2" s="1"/>
  <c r="P1175" i="2" a="1"/>
  <c r="P1175" i="2" s="1"/>
  <c r="P811" i="2" a="1"/>
  <c r="P811" i="2" s="1"/>
  <c r="P795" i="2" a="1"/>
  <c r="P795" i="2" s="1"/>
  <c r="P757" i="2" a="1"/>
  <c r="P757" i="2" s="1"/>
  <c r="P899" i="2" a="1"/>
  <c r="P899" i="2" s="1"/>
  <c r="P814" i="2" a="1"/>
  <c r="P814" i="2" s="1"/>
  <c r="P147" i="2" a="1"/>
  <c r="P147" i="2" s="1"/>
  <c r="P116" i="2" a="1"/>
  <c r="P116" i="2" s="1"/>
  <c r="P838" i="2" a="1"/>
  <c r="P838" i="2" s="1"/>
  <c r="P174" i="2" a="1"/>
  <c r="P174" i="2" s="1"/>
  <c r="P1390" i="2" a="1"/>
  <c r="P1390" i="2" s="1"/>
  <c r="P13" i="2" a="1"/>
  <c r="P13" i="2" s="1"/>
  <c r="P1114" i="2" a="1"/>
  <c r="P1114" i="2" s="1"/>
  <c r="P798" i="2" a="1"/>
  <c r="P798" i="2" s="1"/>
  <c r="P1189" i="2" a="1"/>
  <c r="P1189" i="2" s="1"/>
  <c r="P140" i="2" a="1"/>
  <c r="P140" i="2" s="1"/>
  <c r="P70" i="2" a="1"/>
  <c r="P70" i="2" s="1"/>
  <c r="P1127" i="2" a="1"/>
  <c r="P1127" i="2" s="1"/>
  <c r="P126" i="2" a="1"/>
  <c r="P126" i="2" s="1"/>
  <c r="P1081" i="2" a="1"/>
  <c r="P1081" i="2" s="1"/>
  <c r="P480" i="2" a="1"/>
  <c r="P480" i="2" s="1"/>
  <c r="P929" i="2" a="1"/>
  <c r="P929" i="2" s="1"/>
  <c r="P1110" i="2" a="1"/>
  <c r="P1110" i="2" s="1"/>
  <c r="P75" i="2" a="1"/>
  <c r="P75" i="2" s="1"/>
  <c r="P1382" i="2" a="1"/>
  <c r="P1382" i="2" s="1"/>
  <c r="P1399" i="2" a="1"/>
  <c r="P1399" i="2" s="1"/>
  <c r="P1670" i="2" a="1"/>
  <c r="P1670" i="2" s="1"/>
  <c r="P694" i="2" a="1"/>
  <c r="P694" i="2" s="1"/>
  <c r="P1066" i="2" a="1"/>
  <c r="P1066" i="2" s="1"/>
  <c r="P991" i="2" a="1"/>
  <c r="P991" i="2" s="1"/>
  <c r="P108" i="2" a="1"/>
  <c r="P108" i="2" s="1"/>
  <c r="P1493" i="2" a="1"/>
  <c r="P1493" i="2" s="1"/>
  <c r="P1681" i="2" a="1"/>
  <c r="P1681" i="2" s="1"/>
  <c r="P191" i="2" a="1"/>
  <c r="P191" i="2" s="1"/>
  <c r="P333" i="2" a="1"/>
  <c r="P333" i="2" s="1"/>
  <c r="P848" i="2" a="1"/>
  <c r="P848" i="2" s="1"/>
  <c r="P676" i="2" a="1"/>
  <c r="P676" i="2" s="1"/>
  <c r="P178" i="2" a="1"/>
  <c r="P178" i="2" s="1"/>
  <c r="P512" i="2" a="1"/>
  <c r="P512" i="2" s="1"/>
  <c r="P136" i="2" a="1"/>
  <c r="P136" i="2" s="1"/>
  <c r="P1255" i="2" a="1"/>
  <c r="P1255" i="2" s="1"/>
  <c r="P948" i="2" a="1"/>
  <c r="P948" i="2" s="1"/>
  <c r="P1215" i="2" a="1"/>
  <c r="P1215" i="2" s="1"/>
  <c r="P1274" i="2" a="1"/>
  <c r="P1274" i="2" s="1"/>
  <c r="P503" i="2" a="1"/>
  <c r="P503" i="2" s="1"/>
  <c r="P1680" i="2" a="1"/>
  <c r="P1680" i="2" s="1"/>
  <c r="P86" i="2" a="1"/>
  <c r="P86" i="2" s="1"/>
  <c r="P155" i="2" a="1"/>
  <c r="P155" i="2" s="1"/>
  <c r="P44" i="2" a="1"/>
  <c r="P44" i="2" s="1"/>
  <c r="P160" i="2" a="1"/>
  <c r="P160" i="2" s="1"/>
  <c r="P370" i="2" a="1"/>
  <c r="P370" i="2" s="1"/>
  <c r="P939" i="2" a="1"/>
  <c r="P939" i="2" s="1"/>
  <c r="P1295" i="2" a="1"/>
  <c r="P1295" i="2" s="1"/>
  <c r="P1063" i="2" a="1"/>
  <c r="P1063" i="2" s="1"/>
  <c r="P15" i="2" a="1"/>
  <c r="P15" i="2" s="1"/>
  <c r="P796" i="2" a="1"/>
  <c r="P796" i="2" s="1"/>
  <c r="P1417" i="2" a="1"/>
  <c r="P1417" i="2" s="1"/>
  <c r="P387" i="2" a="1"/>
  <c r="P387" i="2" s="1"/>
  <c r="P748" i="2" a="1"/>
  <c r="P748" i="2" s="1"/>
  <c r="P517" i="2" a="1"/>
  <c r="P517" i="2" s="1"/>
  <c r="P1166" i="2" a="1"/>
  <c r="P1166" i="2" s="1"/>
  <c r="P1145" i="2" a="1"/>
  <c r="P1145" i="2" s="1"/>
  <c r="P1241" i="2" a="1"/>
  <c r="P1241" i="2" s="1"/>
  <c r="P1140" i="2" a="1"/>
  <c r="P1140" i="2" s="1"/>
  <c r="P1383" i="2" a="1"/>
  <c r="P1383" i="2" s="1"/>
  <c r="P132" i="2" a="1"/>
  <c r="P132" i="2" s="1"/>
  <c r="P1421" i="2" a="1"/>
  <c r="P1421" i="2" s="1"/>
  <c r="P120" i="2" a="1"/>
  <c r="P120" i="2" s="1"/>
  <c r="P1706" i="2" a="1"/>
  <c r="P1706" i="2" s="1"/>
  <c r="P484" i="2" a="1"/>
  <c r="P484" i="2" s="1"/>
  <c r="P297" i="2" a="1"/>
  <c r="P297" i="2" s="1"/>
  <c r="P921" i="2" a="1"/>
  <c r="P921" i="2" s="1"/>
  <c r="P1673" i="2" a="1"/>
  <c r="P1673" i="2" s="1"/>
  <c r="P763" i="2" a="1"/>
  <c r="P763" i="2" s="1"/>
  <c r="P766" i="2" a="1"/>
  <c r="P766" i="2" s="1"/>
  <c r="P184" i="2" a="1"/>
  <c r="P184" i="2" s="1"/>
  <c r="P1207" i="2" a="1"/>
  <c r="P1207" i="2" s="1"/>
  <c r="P907" i="2" a="1"/>
  <c r="P907" i="2" s="1"/>
  <c r="P722" i="2" a="1"/>
  <c r="P722" i="2" s="1"/>
  <c r="P1692" i="2" a="1"/>
  <c r="P1692" i="2" s="1"/>
  <c r="P1083" i="2" a="1"/>
  <c r="P1083" i="2" s="1"/>
  <c r="P145" i="2" a="1"/>
  <c r="P145" i="2" s="1"/>
  <c r="Q1101" i="2" a="1"/>
  <c r="Q1101" i="2" s="1"/>
  <c r="Q1447" i="2" a="1"/>
  <c r="Q1447" i="2" s="1"/>
  <c r="Q1066" i="2" a="1"/>
  <c r="Q1066" i="2" s="1"/>
  <c r="Q964" i="2" a="1"/>
  <c r="Q964" i="2" s="1"/>
  <c r="Q652" i="2" a="1"/>
  <c r="Q652" i="2" s="1"/>
  <c r="Q295" i="2" a="1"/>
  <c r="Q295" i="2" s="1"/>
  <c r="Q1476" i="2" a="1"/>
  <c r="Q1476" i="2" s="1"/>
  <c r="Q1491" i="2" a="1"/>
  <c r="Q1491" i="2" s="1"/>
  <c r="Q944" i="2" a="1"/>
  <c r="Q944" i="2" s="1"/>
  <c r="Q788" i="2" a="1"/>
  <c r="Q788" i="2" s="1"/>
  <c r="Q623" i="2" a="1"/>
  <c r="Q623" i="2" s="1"/>
  <c r="Q981" i="2" a="1"/>
  <c r="Q981" i="2" s="1"/>
  <c r="Q1185" i="2" a="1"/>
  <c r="Q1185" i="2" s="1"/>
  <c r="Q967" i="2" a="1"/>
  <c r="Q967" i="2" s="1"/>
  <c r="Q1089" i="2" a="1"/>
  <c r="Q1089" i="2" s="1"/>
  <c r="Q791" i="2" a="1"/>
  <c r="Q791" i="2" s="1"/>
  <c r="Q1075" i="2" a="1"/>
  <c r="Q1075" i="2" s="1"/>
  <c r="Q260" i="2" a="1"/>
  <c r="Q260" i="2" s="1"/>
  <c r="Q1095" i="2" a="1"/>
  <c r="Q1095" i="2" s="1"/>
  <c r="Q231" i="2" a="1"/>
  <c r="Q231" i="2" s="1"/>
  <c r="Q1046" i="2" a="1"/>
  <c r="Q1046" i="2" s="1"/>
  <c r="Q1125" i="2" a="1"/>
  <c r="Q1125" i="2" s="1"/>
  <c r="Q280" i="2" a="1"/>
  <c r="Q280" i="2" s="1"/>
  <c r="Q643" i="2" a="1"/>
  <c r="Q643" i="2" s="1"/>
  <c r="Q711" i="2" a="1"/>
  <c r="Q711" i="2" s="1"/>
  <c r="Q795" i="2" a="1"/>
  <c r="Q795" i="2" s="1"/>
  <c r="Q941" i="2" a="1"/>
  <c r="Q941" i="2" s="1"/>
  <c r="Q1015" i="2" a="1"/>
  <c r="Q1015" i="2" s="1"/>
  <c r="Q761" i="2" a="1"/>
  <c r="Q761" i="2" s="1"/>
  <c r="Q1103" i="2" a="1"/>
  <c r="Q1103" i="2" s="1"/>
  <c r="Q716" i="2" a="1"/>
  <c r="Q716" i="2" s="1"/>
  <c r="Q774" i="2" a="1"/>
  <c r="Q774" i="2" s="1"/>
  <c r="Q745" i="2" a="1"/>
  <c r="Q745" i="2" s="1"/>
  <c r="Q209" i="2" a="1"/>
  <c r="Q209" i="2" s="1"/>
  <c r="Q1183" i="2" a="1"/>
  <c r="Q1183" i="2" s="1"/>
  <c r="Q1162" i="2" a="1"/>
  <c r="Q1162" i="2" s="1"/>
  <c r="Q379" i="2" a="1"/>
  <c r="Q379" i="2" s="1"/>
  <c r="Q972" i="2" a="1"/>
  <c r="Q972" i="2" s="1"/>
  <c r="Q241" i="2" a="1"/>
  <c r="Q241" i="2" s="1"/>
  <c r="Q747" i="2" a="1"/>
  <c r="Q747" i="2" s="1"/>
  <c r="Q1088" i="2" a="1"/>
  <c r="Q1088" i="2" s="1"/>
  <c r="Q259" i="2" a="1"/>
  <c r="Q259" i="2" s="1"/>
  <c r="Q232" i="2" a="1"/>
  <c r="Q232" i="2" s="1"/>
  <c r="Q1711" i="2" a="1"/>
  <c r="Q1711" i="2" s="1"/>
  <c r="Q401" i="2" a="1"/>
  <c r="Q401" i="2" s="1"/>
  <c r="Q679" i="2" a="1"/>
  <c r="Q679" i="2" s="1"/>
  <c r="Q1473" i="2" a="1"/>
  <c r="Q1473" i="2" s="1"/>
  <c r="Q1436" i="2" a="1"/>
  <c r="Q1436" i="2" s="1"/>
  <c r="Q673" i="2" a="1"/>
  <c r="Q673" i="2" s="1"/>
  <c r="Q710" i="2" a="1"/>
  <c r="Q710" i="2" s="1"/>
  <c r="Q785" i="2" a="1"/>
  <c r="Q785" i="2" s="1"/>
  <c r="Q1061" i="2" a="1"/>
  <c r="Q1061" i="2" s="1"/>
  <c r="Q982" i="2" a="1"/>
  <c r="Q982" i="2" s="1"/>
  <c r="Q1126" i="2" a="1"/>
  <c r="Q1126" i="2" s="1"/>
  <c r="Q217" i="2" a="1"/>
  <c r="Q217" i="2" s="1"/>
  <c r="Q257" i="2" a="1"/>
  <c r="Q257" i="2" s="1"/>
  <c r="Q1028" i="2" a="1"/>
  <c r="Q1028" i="2" s="1"/>
  <c r="Q668" i="2" a="1"/>
  <c r="Q668" i="2" s="1"/>
  <c r="Q781" i="2" a="1"/>
  <c r="Q781" i="2" s="1"/>
  <c r="Q176" i="2" a="1"/>
  <c r="Q176" i="2" s="1"/>
  <c r="Q1144" i="2" a="1"/>
  <c r="Q1144" i="2" s="1"/>
  <c r="Q1150" i="2" a="1"/>
  <c r="Q1150" i="2" s="1"/>
  <c r="Q589" i="2" a="1"/>
  <c r="Q589" i="2" s="1"/>
  <c r="Q1464" i="2" a="1"/>
  <c r="Q1464" i="2" s="1"/>
  <c r="Q1148" i="2" a="1"/>
  <c r="Q1148" i="2" s="1"/>
  <c r="Q969" i="2" a="1"/>
  <c r="Q969" i="2" s="1"/>
  <c r="Q940" i="2" a="1"/>
  <c r="Q940" i="2" s="1"/>
  <c r="Q572" i="2" a="1"/>
  <c r="Q572" i="2" s="1"/>
  <c r="Q195" i="2" a="1"/>
  <c r="Q195" i="2" s="1"/>
  <c r="Q767" i="2" a="1"/>
  <c r="Q767" i="2" s="1"/>
  <c r="Q1160" i="2" a="1"/>
  <c r="Q1160" i="2" s="1"/>
  <c r="Q948" i="2" a="1"/>
  <c r="Q948" i="2" s="1"/>
  <c r="Q193" i="2" a="1"/>
  <c r="Q193" i="2" s="1"/>
  <c r="Q762" i="2" a="1"/>
  <c r="Q762" i="2" s="1"/>
  <c r="Q1067" i="2" a="1"/>
  <c r="Q1067" i="2" s="1"/>
  <c r="Q1484" i="2" a="1"/>
  <c r="Q1484" i="2" s="1"/>
  <c r="Q1112" i="2" a="1"/>
  <c r="Q1112" i="2" s="1"/>
  <c r="Q942" i="2" a="1"/>
  <c r="Q942" i="2" s="1"/>
  <c r="Q741" i="2" a="1"/>
  <c r="Q741" i="2" s="1"/>
  <c r="Q271" i="2" a="1"/>
  <c r="Q271" i="2" s="1"/>
  <c r="Q1093" i="2" a="1"/>
  <c r="Q1093" i="2" s="1"/>
  <c r="Q264" i="2" a="1"/>
  <c r="Q264" i="2" s="1"/>
  <c r="Q1040" i="2" a="1"/>
  <c r="Q1040" i="2" s="1"/>
  <c r="Q284" i="2" a="1"/>
  <c r="Q284" i="2" s="1"/>
  <c r="Q980" i="2" a="1"/>
  <c r="Q980" i="2" s="1"/>
  <c r="Q671" i="2" a="1"/>
  <c r="Q671" i="2" s="1"/>
  <c r="Q622" i="2" a="1"/>
  <c r="Q622" i="2" s="1"/>
  <c r="Q1182" i="2" a="1"/>
  <c r="Q1182" i="2" s="1"/>
  <c r="Q1032" i="2" a="1"/>
  <c r="Q1032" i="2" s="1"/>
  <c r="Q1707" i="2" a="1"/>
  <c r="Q1707" i="2" s="1"/>
  <c r="Q191" i="2" a="1"/>
  <c r="Q191" i="2" s="1"/>
  <c r="Q405" i="2" a="1"/>
  <c r="Q405" i="2" s="1"/>
  <c r="Q724" i="2" a="1"/>
  <c r="Q724" i="2" s="1"/>
  <c r="Q937" i="2" a="1"/>
  <c r="Q937" i="2" s="1"/>
  <c r="Q206" i="2" a="1"/>
  <c r="Q206" i="2" s="1"/>
  <c r="Q1483" i="2" a="1"/>
  <c r="Q1483" i="2" s="1"/>
  <c r="Q253" i="2" a="1"/>
  <c r="Q253" i="2" s="1"/>
  <c r="Q578" i="2" a="1"/>
  <c r="Q578" i="2" s="1"/>
  <c r="Q996" i="2" a="1"/>
  <c r="Q996" i="2" s="1"/>
  <c r="Q784" i="2" a="1"/>
  <c r="Q784" i="2" s="1"/>
  <c r="Q563" i="2" a="1"/>
  <c r="Q563" i="2" s="1"/>
  <c r="Q629" i="2" a="1"/>
  <c r="Q629" i="2" s="1"/>
  <c r="Q650" i="2" a="1"/>
  <c r="Q650" i="2" s="1"/>
  <c r="Q802" i="2" a="1"/>
  <c r="Q802" i="2" s="1"/>
  <c r="Q1191" i="2" a="1"/>
  <c r="Q1191" i="2" s="1"/>
  <c r="Q721" i="2" a="1"/>
  <c r="Q721" i="2" s="1"/>
  <c r="Q1099" i="2" a="1"/>
  <c r="Q1099" i="2" s="1"/>
  <c r="Q175" i="2" a="1"/>
  <c r="Q175" i="2" s="1"/>
  <c r="Q1190" i="2" a="1"/>
  <c r="Q1190" i="2" s="1"/>
  <c r="Q717" i="2" a="1"/>
  <c r="Q717" i="2" s="1"/>
  <c r="Q268" i="2" a="1"/>
  <c r="Q268" i="2" s="1"/>
  <c r="Q1200" i="2" a="1"/>
  <c r="Q1200" i="2" s="1"/>
  <c r="Q189" i="2" a="1"/>
  <c r="Q189" i="2" s="1"/>
  <c r="Q976" i="2" a="1"/>
  <c r="Q976" i="2" s="1"/>
  <c r="Q1102" i="2" a="1"/>
  <c r="Q1102" i="2" s="1"/>
  <c r="Q304" i="2" a="1"/>
  <c r="Q304" i="2" s="1"/>
  <c r="Q588" i="2" a="1"/>
  <c r="Q588" i="2" s="1"/>
  <c r="Q1695" i="2" a="1"/>
  <c r="Q1695" i="2" s="1"/>
  <c r="Q751" i="2" a="1"/>
  <c r="Q751" i="2" s="1"/>
  <c r="Q198" i="2" a="1"/>
  <c r="Q198" i="2" s="1"/>
  <c r="Q723" i="2" a="1"/>
  <c r="Q723" i="2" s="1"/>
  <c r="Q1470" i="2" a="1"/>
  <c r="Q1470" i="2" s="1"/>
  <c r="Q1450" i="2" a="1"/>
  <c r="Q1450" i="2" s="1"/>
  <c r="Q715" i="2" a="1"/>
  <c r="Q715" i="2" s="1"/>
  <c r="Q254" i="2" a="1"/>
  <c r="Q254" i="2" s="1"/>
  <c r="Q1468" i="2" a="1"/>
  <c r="Q1468" i="2" s="1"/>
  <c r="Q197" i="2" a="1"/>
  <c r="Q197" i="2" s="1"/>
  <c r="Q274" i="2" a="1"/>
  <c r="Q274" i="2" s="1"/>
  <c r="Q978" i="2" a="1"/>
  <c r="Q978" i="2" s="1"/>
  <c r="Q192" i="2" a="1"/>
  <c r="Q192" i="2" s="1"/>
  <c r="Q266" i="2" a="1"/>
  <c r="Q266" i="2" s="1"/>
  <c r="Q961" i="2" a="1"/>
  <c r="Q961" i="2" s="1"/>
  <c r="Q244" i="2" a="1"/>
  <c r="Q244" i="2" s="1"/>
  <c r="Q378" i="2" a="1"/>
  <c r="Q378" i="2" s="1"/>
  <c r="Q1474" i="2" a="1"/>
  <c r="Q1474" i="2" s="1"/>
  <c r="Q1163" i="2" a="1"/>
  <c r="Q1163" i="2" s="1"/>
  <c r="Q1453" i="2" a="1"/>
  <c r="Q1453" i="2" s="1"/>
  <c r="Q1007" i="2" a="1"/>
  <c r="Q1007" i="2" s="1"/>
  <c r="Q596" i="2" a="1"/>
  <c r="Q596" i="2" s="1"/>
  <c r="Q1038" i="2" a="1"/>
  <c r="Q1038" i="2" s="1"/>
  <c r="Q1708" i="2" a="1"/>
  <c r="Q1708" i="2" s="1"/>
  <c r="Q1108" i="2" a="1"/>
  <c r="Q1108" i="2" s="1"/>
  <c r="Q558" i="2" a="1"/>
  <c r="Q558" i="2" s="1"/>
  <c r="Q575" i="2" a="1"/>
  <c r="Q575" i="2" s="1"/>
  <c r="Q219" i="2" a="1"/>
  <c r="Q219" i="2" s="1"/>
  <c r="Q962" i="2" a="1"/>
  <c r="Q962" i="2" s="1"/>
  <c r="Q561" i="2" a="1"/>
  <c r="Q561" i="2" s="1"/>
  <c r="Q597" i="2" a="1"/>
  <c r="Q597" i="2" s="1"/>
  <c r="Q273" i="2" a="1"/>
  <c r="Q273" i="2" s="1"/>
  <c r="Q272" i="2" a="1"/>
  <c r="Q272" i="2" s="1"/>
  <c r="Q628" i="2" a="1"/>
  <c r="Q628" i="2" s="1"/>
  <c r="Q1486" i="2" a="1"/>
  <c r="Q1486" i="2" s="1"/>
  <c r="Q654" i="2" a="1"/>
  <c r="Q654" i="2" s="1"/>
  <c r="Q656" i="2" a="1"/>
  <c r="Q656" i="2" s="1"/>
  <c r="Q792" i="2" a="1"/>
  <c r="Q792" i="2" s="1"/>
  <c r="Q1149" i="2" a="1"/>
  <c r="Q1149" i="2" s="1"/>
  <c r="Q1485" i="2" a="1"/>
  <c r="Q1485" i="2" s="1"/>
  <c r="Q1688" i="2" a="1"/>
  <c r="Q1688" i="2" s="1"/>
  <c r="Q1489" i="2" a="1"/>
  <c r="Q1489" i="2" s="1"/>
  <c r="Q1154" i="2" a="1"/>
  <c r="Q1154" i="2" s="1"/>
  <c r="Q1117" i="2" a="1"/>
  <c r="Q1117" i="2" s="1"/>
  <c r="Q963" i="2" a="1"/>
  <c r="Q963" i="2" s="1"/>
  <c r="Q250" i="2" a="1"/>
  <c r="Q250" i="2" s="1"/>
  <c r="Q617" i="2" a="1"/>
  <c r="Q617" i="2" s="1"/>
  <c r="Q1164" i="2" a="1"/>
  <c r="Q1164" i="2" s="1"/>
  <c r="Q709" i="2" a="1"/>
  <c r="Q709" i="2" s="1"/>
  <c r="Q763" i="2" a="1"/>
  <c r="Q763" i="2" s="1"/>
  <c r="Q1161" i="2" a="1"/>
  <c r="Q1161" i="2" s="1"/>
  <c r="Q1452" i="2" a="1"/>
  <c r="Q1452" i="2" s="1"/>
  <c r="Q382" i="2" a="1"/>
  <c r="Q382" i="2" s="1"/>
  <c r="Q633" i="2" a="1"/>
  <c r="Q633" i="2" s="1"/>
  <c r="Q777" i="2" a="1"/>
  <c r="Q777" i="2" s="1"/>
  <c r="Q1114" i="2" a="1"/>
  <c r="Q1114" i="2" s="1"/>
  <c r="Q223" i="2" a="1"/>
  <c r="Q223" i="2" s="1"/>
  <c r="Q1189" i="2" a="1"/>
  <c r="Q1189" i="2" s="1"/>
  <c r="Q1016" i="2" a="1"/>
  <c r="Q1016" i="2" s="1"/>
  <c r="Q1441" i="2" a="1"/>
  <c r="Q1441" i="2" s="1"/>
  <c r="Q1155" i="2" a="1"/>
  <c r="Q1155" i="2" s="1"/>
  <c r="Q1709" i="2" a="1"/>
  <c r="Q1709" i="2" s="1"/>
  <c r="Q613" i="2" a="1"/>
  <c r="Q613" i="2" s="1"/>
  <c r="Q368" i="2" a="1"/>
  <c r="Q368" i="2" s="1"/>
  <c r="Q793" i="2" a="1"/>
  <c r="Q793" i="2" s="1"/>
  <c r="Q565" i="2" a="1"/>
  <c r="Q565" i="2" s="1"/>
  <c r="Q1113" i="2" a="1"/>
  <c r="Q1113" i="2" s="1"/>
  <c r="Q1106" i="2" a="1"/>
  <c r="Q1106" i="2" s="1"/>
  <c r="Q595" i="2" a="1"/>
  <c r="Q595" i="2" s="1"/>
  <c r="Q203" i="2" a="1"/>
  <c r="Q203" i="2" s="1"/>
  <c r="Q583" i="2" a="1"/>
  <c r="Q583" i="2" s="1"/>
  <c r="Q657" i="2" a="1"/>
  <c r="Q657" i="2" s="1"/>
  <c r="Q1120" i="2" a="1"/>
  <c r="Q1120" i="2" s="1"/>
  <c r="Q1168" i="2" a="1"/>
  <c r="Q1168" i="2" s="1"/>
  <c r="Q661" i="2" a="1"/>
  <c r="Q661" i="2" s="1"/>
  <c r="Q1167" i="2" a="1"/>
  <c r="Q1167" i="2" s="1"/>
  <c r="Q1029" i="2" a="1"/>
  <c r="Q1029" i="2" s="1"/>
  <c r="Q566" i="2" a="1"/>
  <c r="Q566" i="2" s="1"/>
  <c r="Q1136" i="2" a="1"/>
  <c r="Q1136" i="2" s="1"/>
  <c r="Q642" i="2" a="1"/>
  <c r="Q642" i="2" s="1"/>
  <c r="Q402" i="2" a="1"/>
  <c r="Q402" i="2" s="1"/>
  <c r="Q590" i="2" a="1"/>
  <c r="Q590" i="2" s="1"/>
  <c r="Q979" i="2" a="1"/>
  <c r="Q979" i="2" s="1"/>
  <c r="Q749" i="2" a="1"/>
  <c r="Q749" i="2" s="1"/>
  <c r="Q616" i="2" a="1"/>
  <c r="Q616" i="2" s="1"/>
  <c r="Q1097" i="2" a="1"/>
  <c r="Q1097" i="2" s="1"/>
  <c r="Q211" i="2" a="1"/>
  <c r="Q211" i="2" s="1"/>
  <c r="Q738" i="2" a="1"/>
  <c r="Q738" i="2" s="1"/>
  <c r="Q984" i="2" a="1"/>
  <c r="Q984" i="2" s="1"/>
  <c r="Q734" i="2" a="1"/>
  <c r="Q734" i="2" s="1"/>
  <c r="Q951" i="2" a="1"/>
  <c r="Q951" i="2" s="1"/>
  <c r="Q1012" i="2" a="1"/>
  <c r="Q1012" i="2" s="1"/>
  <c r="Q939" i="2" a="1"/>
  <c r="Q939" i="2" s="1"/>
  <c r="Q798" i="2" a="1"/>
  <c r="Q798" i="2" s="1"/>
  <c r="Q1127" i="2" a="1"/>
  <c r="Q1127" i="2" s="1"/>
  <c r="Q1118" i="2" a="1"/>
  <c r="Q1118" i="2" s="1"/>
  <c r="Q1122" i="2" a="1"/>
  <c r="Q1122" i="2" s="1"/>
  <c r="Q1456" i="2" a="1"/>
  <c r="Q1456" i="2" s="1"/>
  <c r="Q296" i="2" a="1"/>
  <c r="Q296" i="2" s="1"/>
  <c r="Q1710" i="2" a="1"/>
  <c r="Q1710" i="2" s="1"/>
  <c r="Q971" i="2" a="1"/>
  <c r="Q971" i="2" s="1"/>
  <c r="Q1443" i="2" a="1"/>
  <c r="Q1443" i="2" s="1"/>
  <c r="Q790" i="2" a="1"/>
  <c r="Q790" i="2" s="1"/>
  <c r="Q641" i="2" a="1"/>
  <c r="Q641" i="2" s="1"/>
  <c r="Q1678" i="2" a="1"/>
  <c r="Q1678" i="2" s="1"/>
  <c r="Q1188" i="2" a="1"/>
  <c r="Q1188" i="2" s="1"/>
  <c r="Q559" i="2" a="1"/>
  <c r="Q559" i="2" s="1"/>
  <c r="Q1467" i="2" a="1"/>
  <c r="Q1467" i="2" s="1"/>
  <c r="Q1068" i="2" a="1"/>
  <c r="Q1068" i="2" s="1"/>
  <c r="Q1134" i="2" a="1"/>
  <c r="Q1134" i="2" s="1"/>
  <c r="Q983" i="2" a="1"/>
  <c r="Q983" i="2" s="1"/>
  <c r="Q1033" i="2" a="1"/>
  <c r="Q1033" i="2" s="1"/>
  <c r="Q960" i="2" a="1"/>
  <c r="Q960" i="2" s="1"/>
  <c r="Q635" i="2" a="1"/>
  <c r="Q635" i="2" s="1"/>
  <c r="Q719" i="2" a="1"/>
  <c r="Q719" i="2" s="1"/>
  <c r="Q278" i="2" a="1"/>
  <c r="Q278" i="2" s="1"/>
  <c r="Q1128" i="2" a="1"/>
  <c r="Q1128" i="2" s="1"/>
  <c r="Q235" i="2" a="1"/>
  <c r="Q235" i="2" s="1"/>
  <c r="Q1151" i="2" a="1"/>
  <c r="Q1151" i="2" s="1"/>
  <c r="Q1086" i="2" a="1"/>
  <c r="Q1086" i="2" s="1"/>
  <c r="Q218" i="2" a="1"/>
  <c r="Q218" i="2" s="1"/>
  <c r="Q619" i="2" a="1"/>
  <c r="Q619" i="2" s="1"/>
  <c r="Q1175" i="2" a="1"/>
  <c r="Q1175" i="2" s="1"/>
  <c r="Q726" i="2" a="1"/>
  <c r="Q726" i="2" s="1"/>
  <c r="Q746" i="2" a="1"/>
  <c r="Q746" i="2" s="1"/>
  <c r="Q1024" i="2" a="1"/>
  <c r="Q1024" i="2" s="1"/>
  <c r="Q989" i="2" a="1"/>
  <c r="Q989" i="2" s="1"/>
  <c r="Q238" i="2" a="1"/>
  <c r="Q238" i="2" s="1"/>
  <c r="Q752" i="2" a="1"/>
  <c r="Q752" i="2" s="1"/>
  <c r="Q764" i="2" a="1"/>
  <c r="Q764" i="2" s="1"/>
  <c r="Q714" i="2" a="1"/>
  <c r="Q714" i="2" s="1"/>
  <c r="Q1137" i="2" a="1"/>
  <c r="Q1137" i="2" s="1"/>
  <c r="Q214" i="2" a="1"/>
  <c r="Q214" i="2" s="1"/>
  <c r="Q662" i="2" a="1"/>
  <c r="Q662" i="2" s="1"/>
  <c r="Q1063" i="2" a="1"/>
  <c r="Q1063" i="2" s="1"/>
  <c r="Q796" i="2" a="1"/>
  <c r="Q796" i="2" s="1"/>
  <c r="Q387" i="2" a="1"/>
  <c r="Q387" i="2" s="1"/>
  <c r="Q1081" i="2" a="1"/>
  <c r="Q1081" i="2" s="1"/>
  <c r="Q1129" i="2" a="1"/>
  <c r="Q1129" i="2" s="1"/>
  <c r="Q667" i="2" a="1"/>
  <c r="Q667" i="2" s="1"/>
  <c r="Q742" i="2" a="1"/>
  <c r="Q742" i="2" s="1"/>
  <c r="Q251" i="2" a="1"/>
  <c r="Q251" i="2" s="1"/>
  <c r="Q1712" i="2" a="1"/>
  <c r="Q1712" i="2" s="1"/>
  <c r="Q651" i="2" a="1"/>
  <c r="Q651" i="2" s="1"/>
  <c r="Q400" i="2" a="1"/>
  <c r="Q400" i="2" s="1"/>
  <c r="Q1439" i="2" a="1"/>
  <c r="Q1439" i="2" s="1"/>
  <c r="Q1706" i="2" a="1"/>
  <c r="Q1706" i="2" s="1"/>
  <c r="Q299" i="2" a="1"/>
  <c r="Q299" i="2" s="1"/>
  <c r="Q729" i="2" a="1"/>
  <c r="Q729" i="2" s="1"/>
  <c r="Q1010" i="2" a="1"/>
  <c r="Q1010" i="2" s="1"/>
  <c r="Q1690" i="2" a="1"/>
  <c r="Q1690" i="2" s="1"/>
  <c r="Q856" i="2" a="1"/>
  <c r="Q856" i="2" s="1"/>
  <c r="Q1124" i="2" a="1"/>
  <c r="Q1124" i="2" s="1"/>
  <c r="Q302" i="2" a="1"/>
  <c r="Q302" i="2" s="1"/>
  <c r="Q216" i="2" a="1"/>
  <c r="Q216" i="2" s="1"/>
  <c r="Q308" i="2" a="1"/>
  <c r="Q308" i="2" s="1"/>
  <c r="Q639" i="2" a="1"/>
  <c r="Q639" i="2" s="1"/>
  <c r="Q1104" i="2" a="1"/>
  <c r="Q1104" i="2" s="1"/>
  <c r="Q236" i="2" a="1"/>
  <c r="Q236" i="2" s="1"/>
  <c r="Q249" i="2" a="1"/>
  <c r="Q249" i="2" s="1"/>
  <c r="Q567" i="2" a="1"/>
  <c r="Q567" i="2" s="1"/>
  <c r="Q1060" i="2" a="1"/>
  <c r="Q1060" i="2" s="1"/>
  <c r="Q780" i="2" a="1"/>
  <c r="Q780" i="2" s="1"/>
  <c r="Q1094" i="2" a="1"/>
  <c r="Q1094" i="2" s="1"/>
  <c r="Q806" i="2" a="1"/>
  <c r="Q806" i="2" s="1"/>
  <c r="Q837" i="2" a="1"/>
  <c r="Q837" i="2" s="1"/>
  <c r="Q1460" i="2" a="1"/>
  <c r="Q1460" i="2" s="1"/>
  <c r="Q213" i="2" a="1"/>
  <c r="Q213" i="2" s="1"/>
  <c r="Q1696" i="2" a="1"/>
  <c r="Q1696" i="2" s="1"/>
  <c r="Q1065" i="2" a="1"/>
  <c r="Q1065" i="2" s="1"/>
  <c r="Q307" i="2" a="1"/>
  <c r="Q307" i="2" s="1"/>
  <c r="Q1158" i="2" a="1"/>
  <c r="Q1158" i="2" s="1"/>
  <c r="Q1449" i="2" a="1"/>
  <c r="Q1449" i="2" s="1"/>
  <c r="Q309" i="2" a="1"/>
  <c r="Q309" i="2" s="1"/>
  <c r="Q383" i="2" a="1"/>
  <c r="Q383" i="2" s="1"/>
  <c r="Q381" i="2" a="1"/>
  <c r="Q381" i="2" s="1"/>
  <c r="Q765" i="2" a="1"/>
  <c r="Q765" i="2" s="1"/>
  <c r="Q1471" i="2" a="1"/>
  <c r="Q1471" i="2" s="1"/>
  <c r="Q1130" i="2" a="1"/>
  <c r="Q1130" i="2" s="1"/>
  <c r="Q1027" i="2" a="1"/>
  <c r="Q1027" i="2" s="1"/>
  <c r="Q1006" i="2" a="1"/>
  <c r="Q1006" i="2" s="1"/>
  <c r="Q740" i="2" a="1"/>
  <c r="Q740" i="2" s="1"/>
  <c r="Q1440" i="2" a="1"/>
  <c r="Q1440" i="2" s="1"/>
  <c r="Q959" i="2" a="1"/>
  <c r="Q959" i="2" s="1"/>
  <c r="Q1053" i="2" a="1"/>
  <c r="Q1053" i="2" s="1"/>
  <c r="Q275" i="2" a="1"/>
  <c r="Q275" i="2" s="1"/>
  <c r="Q390" i="2" a="1"/>
  <c r="Q390" i="2" s="1"/>
  <c r="Q946" i="2" a="1"/>
  <c r="Q946" i="2" s="1"/>
  <c r="Q256" i="2" a="1"/>
  <c r="Q256" i="2" s="1"/>
  <c r="Q787" i="2" a="1"/>
  <c r="Q787" i="2" s="1"/>
  <c r="Q1477" i="2" a="1"/>
  <c r="Q1477" i="2" s="1"/>
  <c r="Q956" i="2" a="1"/>
  <c r="Q956" i="2" s="1"/>
  <c r="Q968" i="2" a="1"/>
  <c r="Q968" i="2" s="1"/>
  <c r="Q1223" i="2" a="1"/>
  <c r="Q1223" i="2" s="1"/>
  <c r="Q186" i="2" a="1"/>
  <c r="Q186" i="2" s="1"/>
  <c r="Q998" i="2" a="1"/>
  <c r="Q998" i="2" s="1"/>
  <c r="Q1444" i="2" a="1"/>
  <c r="Q1444" i="2" s="1"/>
  <c r="Q194" i="2" a="1"/>
  <c r="Q194" i="2" s="1"/>
  <c r="Q1472" i="2" a="1"/>
  <c r="Q1472" i="2" s="1"/>
  <c r="Q973" i="2" a="1"/>
  <c r="Q973" i="2" s="1"/>
  <c r="Q1121" i="2" a="1"/>
  <c r="Q1121" i="2" s="1"/>
  <c r="Q282" i="2" a="1"/>
  <c r="Q282" i="2" s="1"/>
  <c r="Q1141" i="2" a="1"/>
  <c r="Q1141" i="2" s="1"/>
  <c r="Q768" i="2" a="1"/>
  <c r="Q768" i="2" s="1"/>
  <c r="Q289" i="2" a="1"/>
  <c r="Q289" i="2" s="1"/>
  <c r="Q1454" i="2" a="1"/>
  <c r="Q1454" i="2" s="1"/>
  <c r="Q270" i="2" a="1"/>
  <c r="Q270" i="2" s="1"/>
  <c r="Q461" i="2" a="1"/>
  <c r="Q461" i="2" s="1"/>
  <c r="Q1152" i="2" a="1"/>
  <c r="Q1152" i="2" s="1"/>
  <c r="Q287" i="2" a="1"/>
  <c r="Q287" i="2" s="1"/>
  <c r="Q663" i="2" a="1"/>
  <c r="Q663" i="2" s="1"/>
  <c r="Q1139" i="2" a="1"/>
  <c r="Q1139" i="2" s="1"/>
  <c r="Q255" i="2" a="1"/>
  <c r="Q255" i="2" s="1"/>
  <c r="Q1194" i="2" a="1"/>
  <c r="Q1194" i="2" s="1"/>
  <c r="Q753" i="2" a="1"/>
  <c r="Q753" i="2" s="1"/>
  <c r="Q766" i="2" a="1"/>
  <c r="Q766" i="2" s="1"/>
  <c r="Q988" i="2" a="1"/>
  <c r="Q988" i="2" s="1"/>
  <c r="Q1138" i="2" a="1"/>
  <c r="Q1138" i="2" s="1"/>
  <c r="Q794" i="2" a="1"/>
  <c r="Q794" i="2" s="1"/>
  <c r="Q247" i="2" a="1"/>
  <c r="Q247" i="2" s="1"/>
  <c r="Q999" i="2" a="1"/>
  <c r="Q999" i="2" s="1"/>
  <c r="Q227" i="2" a="1"/>
  <c r="Q227" i="2" s="1"/>
  <c r="Q556" i="2" a="1"/>
  <c r="Q556" i="2" s="1"/>
  <c r="Q992" i="2" a="1"/>
  <c r="Q992" i="2" s="1"/>
  <c r="Q991" i="2" a="1"/>
  <c r="Q991" i="2" s="1"/>
  <c r="Q1115" i="2" a="1"/>
  <c r="Q1115" i="2" s="1"/>
  <c r="Q664" i="2" a="1"/>
  <c r="Q664" i="2" s="1"/>
  <c r="Q1196" i="2" a="1"/>
  <c r="Q1196" i="2" s="1"/>
  <c r="Q748" i="2" a="1"/>
  <c r="Q748" i="2" s="1"/>
  <c r="Q769" i="2" a="1"/>
  <c r="Q769" i="2" s="1"/>
  <c r="Q950" i="2" a="1"/>
  <c r="Q950" i="2" s="1"/>
  <c r="Q384" i="2" a="1"/>
  <c r="Q384" i="2" s="1"/>
  <c r="Q1713" i="2" a="1"/>
  <c r="Q1713" i="2" s="1"/>
  <c r="Q245" i="2" a="1"/>
  <c r="Q245" i="2" s="1"/>
  <c r="Q1469" i="2" a="1"/>
  <c r="Q1469" i="2" s="1"/>
  <c r="Q1482" i="2" a="1"/>
  <c r="Q1482" i="2" s="1"/>
  <c r="Q620" i="2" a="1"/>
  <c r="Q620" i="2" s="1"/>
  <c r="Q242" i="2" a="1"/>
  <c r="Q242" i="2" s="1"/>
  <c r="Q222" i="2" a="1"/>
  <c r="Q222" i="2" s="1"/>
  <c r="Q776" i="2" a="1"/>
  <c r="Q776" i="2" s="1"/>
  <c r="Q228" i="2" a="1"/>
  <c r="Q228" i="2" s="1"/>
  <c r="Q630" i="2" a="1"/>
  <c r="Q630" i="2" s="1"/>
  <c r="Q394" i="2" a="1"/>
  <c r="Q394" i="2" s="1"/>
  <c r="Q1091" i="2" a="1"/>
  <c r="Q1091" i="2" s="1"/>
  <c r="Q647" i="2" a="1"/>
  <c r="Q647" i="2" s="1"/>
  <c r="Q200" i="2" a="1"/>
  <c r="Q200" i="2" s="1"/>
  <c r="Q1465" i="2" a="1"/>
  <c r="Q1465" i="2" s="1"/>
  <c r="Q637" i="2" a="1"/>
  <c r="Q637" i="2" s="1"/>
  <c r="Q1119" i="2" a="1"/>
  <c r="Q1119" i="2" s="1"/>
  <c r="Q1446" i="2" a="1"/>
  <c r="Q1446" i="2" s="1"/>
  <c r="Q288" i="2" a="1"/>
  <c r="Q288" i="2" s="1"/>
  <c r="Q380" i="2" a="1"/>
  <c r="Q380" i="2" s="1"/>
  <c r="Q1031" i="2" a="1"/>
  <c r="Q1031" i="2" s="1"/>
  <c r="Q562" i="2" a="1"/>
  <c r="Q562" i="2" s="1"/>
  <c r="Q754" i="2" a="1"/>
  <c r="Q754" i="2" s="1"/>
  <c r="Q1042" i="2" a="1"/>
  <c r="Q1042" i="2" s="1"/>
  <c r="Q660" i="2" a="1"/>
  <c r="Q660" i="2" s="1"/>
  <c r="Q1170" i="2" a="1"/>
  <c r="Q1170" i="2" s="1"/>
  <c r="Q204" i="2" a="1"/>
  <c r="Q204" i="2" s="1"/>
  <c r="Q1451" i="2" a="1"/>
  <c r="Q1451" i="2" s="1"/>
  <c r="Q632" i="2" a="1"/>
  <c r="Q632" i="2" s="1"/>
  <c r="Q1166" i="2" a="1"/>
  <c r="Q1166" i="2" s="1"/>
  <c r="Q720" i="2" a="1"/>
  <c r="Q720" i="2" s="1"/>
  <c r="Q621" i="2" a="1"/>
  <c r="Q621" i="2" s="1"/>
  <c r="Q1714" i="2" a="1"/>
  <c r="Q1714" i="2" s="1"/>
  <c r="Q1111" i="2" a="1"/>
  <c r="Q1111" i="2" s="1"/>
  <c r="Q1132" i="2" a="1"/>
  <c r="Q1132" i="2" s="1"/>
  <c r="Q1092" i="2" a="1"/>
  <c r="Q1092" i="2" s="1"/>
  <c r="Q1044" i="2" a="1"/>
  <c r="Q1044" i="2" s="1"/>
  <c r="Q1107" i="2" a="1"/>
  <c r="Q1107" i="2" s="1"/>
  <c r="Q636" i="2" a="1"/>
  <c r="Q636" i="2" s="1"/>
  <c r="Q1459" i="2" a="1"/>
  <c r="Q1459" i="2" s="1"/>
  <c r="Q624" i="2" a="1"/>
  <c r="Q624" i="2" s="1"/>
  <c r="Q672" i="2" a="1"/>
  <c r="Q672" i="2" s="1"/>
  <c r="Q1005" i="2" a="1"/>
  <c r="Q1005" i="2" s="1"/>
  <c r="Q733" i="2" a="1"/>
  <c r="Q733" i="2" s="1"/>
  <c r="Q655" i="2" a="1"/>
  <c r="Q655" i="2" s="1"/>
  <c r="Q1014" i="2" a="1"/>
  <c r="Q1014" i="2" s="1"/>
  <c r="Q598" i="2" a="1"/>
  <c r="Q598" i="2" s="1"/>
  <c r="Q300" i="2" a="1"/>
  <c r="Q300" i="2" s="1"/>
  <c r="Q1123" i="2" a="1"/>
  <c r="Q1123" i="2" s="1"/>
  <c r="Q712" i="2" a="1"/>
  <c r="Q712" i="2" s="1"/>
  <c r="Q646" i="2" a="1"/>
  <c r="Q646" i="2" s="1"/>
  <c r="Q221" i="2" a="1"/>
  <c r="Q221" i="2" s="1"/>
  <c r="Q398" i="2" a="1"/>
  <c r="Q398" i="2" s="1"/>
  <c r="Q306" i="2" a="1"/>
  <c r="Q306" i="2" s="1"/>
  <c r="Q728" i="2" a="1"/>
  <c r="Q728" i="2" s="1"/>
  <c r="Q936" i="2" a="1"/>
  <c r="Q936" i="2" s="1"/>
  <c r="Q649" i="2" a="1"/>
  <c r="Q649" i="2" s="1"/>
  <c r="Q653" i="2" a="1"/>
  <c r="Q653" i="2" s="1"/>
  <c r="Q1021" i="2" a="1"/>
  <c r="Q1021" i="2" s="1"/>
  <c r="Q803" i="2" a="1"/>
  <c r="Q803" i="2" s="1"/>
  <c r="Q801" i="2" a="1"/>
  <c r="Q801" i="2" s="1"/>
  <c r="Q615" i="2" a="1"/>
  <c r="Q615" i="2" s="1"/>
  <c r="Q1455" i="2" a="1"/>
  <c r="Q1455" i="2" s="1"/>
  <c r="Q722" i="2" a="1"/>
  <c r="Q722" i="2" s="1"/>
  <c r="Q1463" i="2" a="1"/>
  <c r="Q1463" i="2" s="1"/>
  <c r="Q1187" i="2" a="1"/>
  <c r="Q1187" i="2" s="1"/>
  <c r="Q778" i="2" a="1"/>
  <c r="Q778" i="2" s="1"/>
  <c r="Q246" i="2" a="1"/>
  <c r="Q246" i="2" s="1"/>
  <c r="Q755" i="2" a="1"/>
  <c r="Q755" i="2" s="1"/>
  <c r="Q208" i="2" a="1"/>
  <c r="Q208" i="2" s="1"/>
  <c r="Q1084" i="2" a="1"/>
  <c r="Q1084" i="2" s="1"/>
  <c r="Q574" i="2" a="1"/>
  <c r="Q574" i="2" s="1"/>
  <c r="Q258" i="2" a="1"/>
  <c r="Q258" i="2" s="1"/>
  <c r="Q202" i="2" a="1"/>
  <c r="Q202" i="2" s="1"/>
  <c r="Q985" i="2" a="1"/>
  <c r="Q985" i="2" s="1"/>
  <c r="Q207" i="2" a="1"/>
  <c r="Q207" i="2" s="1"/>
  <c r="Q1143" i="2" a="1"/>
  <c r="Q1143" i="2" s="1"/>
  <c r="Q1681" i="2" a="1"/>
  <c r="Q1681" i="2" s="1"/>
  <c r="Q1083" i="2" a="1"/>
  <c r="Q1083" i="2" s="1"/>
  <c r="Q1110" i="2" a="1"/>
  <c r="Q1110" i="2" s="1"/>
  <c r="Q187" i="2" a="1"/>
  <c r="Q187" i="2" s="1"/>
  <c r="Q783" i="2" a="1"/>
  <c r="Q783" i="2" s="1"/>
  <c r="Q1715" i="2" a="1"/>
  <c r="Q1715" i="2" s="1"/>
  <c r="Q1488" i="2" a="1"/>
  <c r="Q1488" i="2" s="1"/>
  <c r="Q1184" i="2" a="1"/>
  <c r="Q1184" i="2" s="1"/>
  <c r="Q986" i="2" a="1"/>
  <c r="Q986" i="2" s="1"/>
  <c r="Q1177" i="2" a="1"/>
  <c r="Q1177" i="2" s="1"/>
  <c r="Q248" i="2" a="1"/>
  <c r="Q248" i="2" s="1"/>
  <c r="Q225" i="2" a="1"/>
  <c r="Q225" i="2" s="1"/>
  <c r="Q1174" i="2" a="1"/>
  <c r="Q1174" i="2" s="1"/>
  <c r="Q1077" i="2" a="1"/>
  <c r="Q1077" i="2" s="1"/>
  <c r="Q1073" i="2" a="1"/>
  <c r="Q1073" i="2" s="1"/>
  <c r="Q669" i="2" a="1"/>
  <c r="Q669" i="2" s="1"/>
  <c r="Q1146" i="2" a="1"/>
  <c r="Q1146" i="2" s="1"/>
  <c r="Q1147" i="2" a="1"/>
  <c r="Q1147" i="2" s="1"/>
  <c r="Q743" i="2" a="1"/>
  <c r="Q743" i="2" s="1"/>
  <c r="Q1096" i="2" a="1"/>
  <c r="Q1096" i="2" s="1"/>
  <c r="Q234" i="2" a="1"/>
  <c r="Q234" i="2" s="1"/>
  <c r="Q404" i="2" a="1"/>
  <c r="Q404" i="2" s="1"/>
  <c r="Q1172" i="2" a="1"/>
  <c r="Q1172" i="2" s="1"/>
  <c r="Q393" i="2" a="1"/>
  <c r="Q393" i="2" s="1"/>
  <c r="Q1017" i="2" a="1"/>
  <c r="Q1017" i="2" s="1"/>
  <c r="Q1062" i="2" a="1"/>
  <c r="Q1062" i="2" s="1"/>
  <c r="Q303" i="2" a="1"/>
  <c r="Q303" i="2" s="1"/>
  <c r="Q631" i="2" a="1"/>
  <c r="Q631" i="2" s="1"/>
  <c r="Q1157" i="2" a="1"/>
  <c r="Q1157" i="2" s="1"/>
  <c r="Q290" i="2" a="1"/>
  <c r="Q290" i="2" s="1"/>
  <c r="Q1087" i="2" a="1"/>
  <c r="Q1087" i="2" s="1"/>
  <c r="Q1693" i="2" a="1"/>
  <c r="Q1693" i="2" s="1"/>
  <c r="Q1204" i="2" a="1"/>
  <c r="Q1204" i="2" s="1"/>
  <c r="Q1448" i="2" a="1"/>
  <c r="Q1448" i="2" s="1"/>
  <c r="Q760" i="2" a="1"/>
  <c r="Q760" i="2" s="1"/>
  <c r="Q594" i="2" a="1"/>
  <c r="Q594" i="2" s="1"/>
  <c r="Q576" i="2" a="1"/>
  <c r="Q576" i="2" s="1"/>
  <c r="Q397" i="2" a="1"/>
  <c r="Q397" i="2" s="1"/>
  <c r="Q1458" i="2" a="1"/>
  <c r="Q1458" i="2" s="1"/>
  <c r="Q797" i="2" a="1"/>
  <c r="Q797" i="2" s="1"/>
  <c r="Q283" i="2" a="1"/>
  <c r="Q283" i="2" s="1"/>
  <c r="Q1133" i="2" a="1"/>
  <c r="Q1133" i="2" s="1"/>
  <c r="Q1479" i="2" a="1"/>
  <c r="Q1479" i="2" s="1"/>
  <c r="Q1192" i="2" a="1"/>
  <c r="Q1192" i="2" s="1"/>
  <c r="Q1109" i="2" a="1"/>
  <c r="Q1109" i="2" s="1"/>
  <c r="Q770" i="2" a="1"/>
  <c r="Q770" i="2" s="1"/>
  <c r="Q220" i="2" a="1"/>
  <c r="Q220" i="2" s="1"/>
  <c r="Q1689" i="2" a="1"/>
  <c r="Q1689" i="2" s="1"/>
  <c r="Q1145" i="2" a="1"/>
  <c r="Q1145" i="2" s="1"/>
  <c r="Q1703" i="2" a="1"/>
  <c r="Q1703" i="2" s="1"/>
  <c r="Q1716" i="2" a="1"/>
  <c r="Q1716" i="2" s="1"/>
  <c r="Q399" i="2" a="1"/>
  <c r="Q399" i="2" s="1"/>
  <c r="Q957" i="2" a="1"/>
  <c r="Q957" i="2" s="1"/>
  <c r="Q1013" i="2" a="1"/>
  <c r="Q1013" i="2" s="1"/>
  <c r="Q1171" i="2" a="1"/>
  <c r="Q1171" i="2" s="1"/>
  <c r="Q1478" i="2" a="1"/>
  <c r="Q1478" i="2" s="1"/>
  <c r="Q744" i="2" a="1"/>
  <c r="Q744" i="2" s="1"/>
  <c r="Q1445" i="2" a="1"/>
  <c r="Q1445" i="2" s="1"/>
  <c r="Q1361" i="2" a="1"/>
  <c r="Q1361" i="2" s="1"/>
  <c r="Q618" i="2" a="1"/>
  <c r="Q618" i="2" s="1"/>
  <c r="Q938" i="2" a="1"/>
  <c r="Q938" i="2" s="1"/>
  <c r="Q347" i="2" a="1"/>
  <c r="Q347" i="2" s="1"/>
  <c r="Q627" i="2" a="1"/>
  <c r="Q627" i="2" s="1"/>
  <c r="Q1480" i="2" a="1"/>
  <c r="Q1480" i="2" s="1"/>
  <c r="Q600" i="2" a="1"/>
  <c r="Q600" i="2" s="1"/>
  <c r="Q603" i="2" a="1"/>
  <c r="Q603" i="2" s="1"/>
  <c r="Q1169" i="2" a="1"/>
  <c r="Q1169" i="2" s="1"/>
  <c r="Q1198" i="2" a="1"/>
  <c r="Q1198" i="2" s="1"/>
  <c r="Q1142" i="2" a="1"/>
  <c r="Q1142" i="2" s="1"/>
  <c r="Q800" i="2" a="1"/>
  <c r="Q800" i="2" s="1"/>
  <c r="Q293" i="2" a="1"/>
  <c r="Q293" i="2" s="1"/>
  <c r="Q392" i="2" a="1"/>
  <c r="Q392" i="2" s="1"/>
  <c r="Q1036" i="2" a="1"/>
  <c r="Q1036" i="2" s="1"/>
  <c r="Q279" i="2" a="1"/>
  <c r="Q279" i="2" s="1"/>
  <c r="Q1041" i="2" a="1"/>
  <c r="Q1041" i="2" s="1"/>
  <c r="Q591" i="2" a="1"/>
  <c r="Q591" i="2" s="1"/>
  <c r="Q277" i="2" a="1"/>
  <c r="Q277" i="2" s="1"/>
  <c r="Q756" i="2" a="1"/>
  <c r="Q756" i="2" s="1"/>
  <c r="Q291" i="2" a="1"/>
  <c r="Q291" i="2" s="1"/>
  <c r="Q1159" i="2" a="1"/>
  <c r="Q1159" i="2" s="1"/>
  <c r="Q224" i="2" a="1"/>
  <c r="Q224" i="2" s="1"/>
  <c r="Q388" i="2" a="1"/>
  <c r="Q388" i="2" s="1"/>
  <c r="Q1181" i="2" a="1"/>
  <c r="Q1181" i="2" s="1"/>
  <c r="Q1462" i="2" a="1"/>
  <c r="Q1462" i="2" s="1"/>
  <c r="Q366" i="2" a="1"/>
  <c r="Q366" i="2" s="1"/>
  <c r="Q995" i="2" a="1"/>
  <c r="Q995" i="2" s="1"/>
  <c r="Q1074" i="2" a="1"/>
  <c r="Q1074" i="2" s="1"/>
  <c r="Q958" i="2" a="1"/>
  <c r="Q958" i="2" s="1"/>
  <c r="Q1140" i="2" a="1"/>
  <c r="Q1140" i="2" s="1"/>
  <c r="Q1178" i="2" a="1"/>
  <c r="Q1178" i="2" s="1"/>
  <c r="Q1704" i="2" a="1"/>
  <c r="Q1704" i="2" s="1"/>
  <c r="Q1717" i="2" a="1"/>
  <c r="Q1717" i="2" s="1"/>
  <c r="Q1023" i="2" a="1"/>
  <c r="Q1023" i="2" s="1"/>
  <c r="Q718" i="2" a="1"/>
  <c r="Q718" i="2" s="1"/>
  <c r="Q582" i="2" a="1"/>
  <c r="Q582" i="2" s="1"/>
  <c r="Q286" i="2" a="1"/>
  <c r="Q286" i="2" s="1"/>
  <c r="Q970" i="2" a="1"/>
  <c r="Q970" i="2" s="1"/>
  <c r="Q243" i="2" a="1"/>
  <c r="Q243" i="2" s="1"/>
  <c r="Q1461" i="2" a="1"/>
  <c r="Q1461" i="2" s="1"/>
  <c r="Q587" i="2" a="1"/>
  <c r="Q587" i="2" s="1"/>
  <c r="Q226" i="2" a="1"/>
  <c r="Q226" i="2" s="1"/>
  <c r="Q1058" i="2" a="1"/>
  <c r="Q1058" i="2" s="1"/>
  <c r="Q1022" i="2" a="1"/>
  <c r="Q1022" i="2" s="1"/>
  <c r="Q1018" i="2" a="1"/>
  <c r="Q1018" i="2" s="1"/>
  <c r="Q1030" i="2" a="1"/>
  <c r="Q1030" i="2" s="1"/>
  <c r="Q966" i="2" a="1"/>
  <c r="Q966" i="2" s="1"/>
  <c r="Q577" i="2" a="1"/>
  <c r="Q577" i="2" s="1"/>
  <c r="Q634" i="2" a="1"/>
  <c r="Q634" i="2" s="1"/>
  <c r="Q1265" i="2" a="1"/>
  <c r="Q1265" i="2" s="1"/>
  <c r="Q1475" i="2" a="1"/>
  <c r="Q1475" i="2" s="1"/>
  <c r="Q974" i="2" a="1"/>
  <c r="Q974" i="2" s="1"/>
  <c r="Q1000" i="2" a="1"/>
  <c r="Q1000" i="2" s="1"/>
  <c r="Q1059" i="2" a="1"/>
  <c r="Q1059" i="2" s="1"/>
  <c r="Q205" i="2" a="1"/>
  <c r="Q205" i="2" s="1"/>
  <c r="Q1078" i="2" a="1"/>
  <c r="Q1078" i="2" s="1"/>
  <c r="Q310" i="2" a="1"/>
  <c r="Q310" i="2" s="1"/>
  <c r="Q201" i="2" a="1"/>
  <c r="Q201" i="2" s="1"/>
  <c r="Q779" i="2" a="1"/>
  <c r="Q779" i="2" s="1"/>
  <c r="Q1076" i="2" a="1"/>
  <c r="Q1076" i="2" s="1"/>
  <c r="Q1165" i="2" a="1"/>
  <c r="Q1165" i="2" s="1"/>
  <c r="Q1045" i="2" a="1"/>
  <c r="Q1045" i="2" s="1"/>
  <c r="Q1457" i="2" a="1"/>
  <c r="Q1457" i="2" s="1"/>
  <c r="Q725" i="2" a="1"/>
  <c r="Q725" i="2" s="1"/>
  <c r="Q775" i="2" a="1"/>
  <c r="Q775" i="2" s="1"/>
  <c r="Q757" i="2" a="1"/>
  <c r="Q757" i="2" s="1"/>
  <c r="Q1403" i="2" a="1"/>
  <c r="Q1403" i="2" s="1"/>
  <c r="Q1481" i="2" a="1"/>
  <c r="Q1481" i="2" s="1"/>
  <c r="Q1009" i="2" a="1"/>
  <c r="Q1009" i="2" s="1"/>
  <c r="Q1675" i="2" a="1"/>
  <c r="Q1675" i="2" s="1"/>
  <c r="Q1156" i="2" a="1"/>
  <c r="Q1156" i="2" s="1"/>
  <c r="Q386" i="2" a="1"/>
  <c r="Q386" i="2" s="1"/>
  <c r="Q581" i="2" a="1"/>
  <c r="Q581" i="2" s="1"/>
  <c r="Q1002" i="2" a="1"/>
  <c r="Q1002" i="2" s="1"/>
  <c r="Q276" i="2" a="1"/>
  <c r="Q276" i="2" s="1"/>
  <c r="Q1705" i="2" a="1"/>
  <c r="Q1705" i="2" s="1"/>
  <c r="Q294" i="2" a="1"/>
  <c r="Q294" i="2" s="1"/>
  <c r="Q1011" i="2" a="1"/>
  <c r="Q1011" i="2" s="1"/>
  <c r="Q773" i="2" a="1"/>
  <c r="Q773" i="2" s="1"/>
  <c r="Q638" i="2" a="1"/>
  <c r="Q638" i="2" s="1"/>
  <c r="Q233" i="2" a="1"/>
  <c r="Q233" i="2" s="1"/>
  <c r="Q496" i="2" a="1"/>
  <c r="Q496" i="2" s="1"/>
  <c r="Q1153" i="2" a="1"/>
  <c r="Q1153" i="2" s="1"/>
  <c r="Q670" i="2" a="1"/>
  <c r="Q670" i="2" s="1"/>
  <c r="Q391" i="2" a="1"/>
  <c r="Q391" i="2" s="1"/>
  <c r="Q1004" i="2" a="1"/>
  <c r="Q1004" i="2" s="1"/>
  <c r="Q1080" i="2" a="1"/>
  <c r="Q1080" i="2" s="1"/>
  <c r="Q1438" i="2" a="1"/>
  <c r="Q1438" i="2" s="1"/>
  <c r="Q1019" i="2" a="1"/>
  <c r="Q1019" i="2" s="1"/>
  <c r="Q1186" i="2" a="1"/>
  <c r="Q1186" i="2" s="1"/>
  <c r="Q666" i="2" a="1"/>
  <c r="Q666" i="2" s="1"/>
  <c r="Q1694" i="2" a="1"/>
  <c r="Q1694" i="2" s="1"/>
  <c r="Q262" i="2" a="1"/>
  <c r="Q262" i="2" s="1"/>
  <c r="Q935" i="2" a="1"/>
  <c r="Q935" i="2" s="1"/>
  <c r="Q229" i="2" a="1"/>
  <c r="Q229" i="2" s="1"/>
  <c r="Q771" i="2" a="1"/>
  <c r="Q771" i="2" s="1"/>
  <c r="Q947" i="2" a="1"/>
  <c r="Q947" i="2" s="1"/>
  <c r="Q569" i="2" a="1"/>
  <c r="Q569" i="2" s="1"/>
  <c r="Q1008" i="2" a="1"/>
  <c r="Q1008" i="2" s="1"/>
  <c r="Q1098" i="2" a="1"/>
  <c r="Q1098" i="2" s="1"/>
  <c r="Q269" i="2" a="1"/>
  <c r="Q269" i="2" s="1"/>
  <c r="Q261" i="2" a="1"/>
  <c r="Q261" i="2" s="1"/>
  <c r="Q199" i="2" a="1"/>
  <c r="Q199" i="2" s="1"/>
  <c r="Q395" i="2" a="1"/>
  <c r="Q395" i="2" s="1"/>
  <c r="Q1085" i="2" a="1"/>
  <c r="Q1085" i="2" s="1"/>
  <c r="Q735" i="2" a="1"/>
  <c r="Q735" i="2" s="1"/>
  <c r="Q990" i="2" a="1"/>
  <c r="Q990" i="2" s="1"/>
  <c r="Q994" i="2" a="1"/>
  <c r="Q994" i="2" s="1"/>
  <c r="Q385" i="2" a="1"/>
  <c r="Q385" i="2" s="1"/>
  <c r="Q215" i="2" a="1"/>
  <c r="Q215" i="2" s="1"/>
  <c r="Q993" i="2" a="1"/>
  <c r="Q993" i="2" s="1"/>
  <c r="Q1135" i="2" a="1"/>
  <c r="Q1135" i="2" s="1"/>
  <c r="Q1039" i="2" a="1"/>
  <c r="Q1039" i="2" s="1"/>
  <c r="Q1466" i="2" a="1"/>
  <c r="Q1466" i="2" s="1"/>
  <c r="Q626" i="2" a="1"/>
  <c r="Q626" i="2" s="1"/>
  <c r="Q758" i="2" a="1"/>
  <c r="Q758" i="2" s="1"/>
  <c r="Q265" i="2" a="1"/>
  <c r="Q265" i="2" s="1"/>
  <c r="Q593" i="2" a="1"/>
  <c r="Q593" i="2" s="1"/>
  <c r="Q252" i="2" a="1"/>
  <c r="Q252" i="2" s="1"/>
  <c r="Q750" i="2" a="1"/>
  <c r="Q750" i="2" s="1"/>
  <c r="Q1116" i="2" a="1"/>
  <c r="Q1116" i="2" s="1"/>
  <c r="Q212" i="2" a="1"/>
  <c r="Q212" i="2" s="1"/>
  <c r="Q1687" i="2" a="1"/>
  <c r="Q1687" i="2" s="1"/>
  <c r="Q403" i="2" a="1"/>
  <c r="Q403" i="2" s="1"/>
  <c r="Q237" i="2" a="1"/>
  <c r="Q237" i="2" s="1"/>
  <c r="Q977" i="2" a="1"/>
  <c r="Q977" i="2" s="1"/>
  <c r="Q640" i="2" a="1"/>
  <c r="Q640" i="2" s="1"/>
  <c r="Q997" i="2" a="1"/>
  <c r="Q997" i="2" s="1"/>
  <c r="Q305" i="2" a="1"/>
  <c r="Q305" i="2" s="1"/>
  <c r="Q1037" i="2" a="1"/>
  <c r="Q1037" i="2" s="1"/>
  <c r="Q396" i="2" a="1"/>
  <c r="Q396" i="2" s="1"/>
  <c r="Q987" i="2" a="1"/>
  <c r="Q987" i="2" s="1"/>
  <c r="Q584" i="2" a="1"/>
  <c r="Q584" i="2" s="1"/>
  <c r="Q645" i="2" a="1"/>
  <c r="Q645" i="2" s="1"/>
  <c r="Q1003" i="2" a="1"/>
  <c r="Q1003" i="2" s="1"/>
  <c r="Q281" i="2" a="1"/>
  <c r="Q281" i="2" s="1"/>
  <c r="Q579" i="2" a="1"/>
  <c r="Q579" i="2" s="1"/>
  <c r="Q807" i="2" a="1"/>
  <c r="Q807" i="2" s="1"/>
  <c r="Q786" i="2" a="1"/>
  <c r="Q786" i="2" s="1"/>
  <c r="Q1173" i="2" a="1"/>
  <c r="Q1173" i="2" s="1"/>
  <c r="Q285" i="2" a="1"/>
  <c r="Q285" i="2" s="1"/>
  <c r="Q263" i="2" a="1"/>
  <c r="Q263" i="2" s="1"/>
  <c r="Q782" i="2" a="1"/>
  <c r="Q782" i="2" s="1"/>
  <c r="Q1487" i="2" a="1"/>
  <c r="Q1487" i="2" s="1"/>
  <c r="Q1070" i="2" a="1"/>
  <c r="Q1070" i="2" s="1"/>
  <c r="Q586" i="2" a="1"/>
  <c r="Q586" i="2" s="1"/>
  <c r="Q1100" i="2" a="1"/>
  <c r="Q1100" i="2" s="1"/>
  <c r="Q943" i="2" a="1"/>
  <c r="Q943" i="2" s="1"/>
  <c r="Q732" i="2" a="1"/>
  <c r="Q732" i="2" s="1"/>
  <c r="Q570" i="2" a="1"/>
  <c r="Q570" i="2" s="1"/>
  <c r="Q799" i="2" a="1"/>
  <c r="Q799" i="2" s="1"/>
  <c r="Q648" i="2" a="1"/>
  <c r="Q648" i="2" s="1"/>
  <c r="Q1226" i="2" a="1"/>
  <c r="Q1226" i="2" s="1"/>
  <c r="Q585" i="2" a="1"/>
  <c r="Q585" i="2" s="1"/>
  <c r="Q239" i="2" a="1"/>
  <c r="Q239" i="2" s="1"/>
  <c r="Q292" i="2" a="1"/>
  <c r="Q292" i="2" s="1"/>
  <c r="Q789" i="2" a="1"/>
  <c r="Q789" i="2" s="1"/>
  <c r="Q230" i="2" a="1"/>
  <c r="Q230" i="2" s="1"/>
  <c r="Q1090" i="2" a="1"/>
  <c r="Q1090" i="2" s="1"/>
  <c r="Q1072" i="2" a="1"/>
  <c r="Q1072" i="2" s="1"/>
  <c r="Q665" i="2" a="1"/>
  <c r="Q665" i="2" s="1"/>
  <c r="Q759" i="2" a="1"/>
  <c r="Q759" i="2" s="1"/>
  <c r="Q1437" i="2" a="1"/>
  <c r="Q1437" i="2" s="1"/>
  <c r="Q580" i="2" a="1"/>
  <c r="Q580" i="2" s="1"/>
  <c r="Q945" i="2" a="1"/>
  <c r="Q945" i="2" s="1"/>
  <c r="Q625" i="2" a="1"/>
  <c r="Q625" i="2" s="1"/>
  <c r="Q568" i="2" a="1"/>
  <c r="Q568" i="2" s="1"/>
  <c r="Q267" i="2" a="1"/>
  <c r="Q267" i="2" s="1"/>
  <c r="Q1034" i="2" a="1"/>
  <c r="Q1034" i="2" s="1"/>
  <c r="Q736" i="2" a="1"/>
  <c r="Q736" i="2" s="1"/>
  <c r="Q1442" i="2" a="1"/>
  <c r="Q1442" i="2" s="1"/>
  <c r="Q1071" i="2" a="1"/>
  <c r="Q1071" i="2" s="1"/>
  <c r="Q389" i="2" a="1"/>
  <c r="Q389" i="2" s="1"/>
  <c r="Q727" i="2" a="1"/>
  <c r="Q727" i="2" s="1"/>
  <c r="Q1199" i="2" a="1"/>
  <c r="Q1199" i="2" s="1"/>
  <c r="Q1064" i="2" a="1"/>
  <c r="Q1064" i="2" s="1"/>
  <c r="Q1001" i="2" a="1"/>
  <c r="Q1001" i="2" s="1"/>
  <c r="Q1702" i="2" a="1"/>
  <c r="Q1702" i="2" s="1"/>
  <c r="Q297" i="2" a="1"/>
  <c r="Q297" i="2" s="1"/>
  <c r="Q298" i="2" a="1"/>
  <c r="Q298" i="2" s="1"/>
  <c r="Q240" i="2" a="1"/>
  <c r="Q240" i="2" s="1"/>
  <c r="Q975" i="2" a="1"/>
  <c r="Q975" i="2" s="1"/>
  <c r="Q1131" i="2" a="1"/>
  <c r="Q1131" i="2" s="1"/>
  <c r="Q965" i="2" a="1"/>
  <c r="Q965" i="2" s="1"/>
  <c r="N5" i="4" a="1"/>
  <c r="N5" i="4" s="1"/>
  <c r="Q7" i="4"/>
  <c r="O4" i="4"/>
  <c r="P1436" i="2" l="1" a="1"/>
  <c r="P1436" i="2" s="1"/>
  <c r="P854" i="2" a="1"/>
  <c r="P854" i="2" s="1"/>
  <c r="P715" i="2" a="1"/>
  <c r="P715" i="2" s="1"/>
  <c r="P773" i="2" a="1"/>
  <c r="P773" i="2" s="1"/>
  <c r="R773" i="2" s="1"/>
  <c r="V773" i="2" s="1"/>
  <c r="W773" i="2" s="1"/>
  <c r="P358" i="2" a="1"/>
  <c r="P358" i="2" s="1"/>
  <c r="P397" i="2" a="1"/>
  <c r="P397" i="2" s="1"/>
  <c r="R397" i="2" s="1"/>
  <c r="V397" i="2" s="1"/>
  <c r="W397" i="2" s="1"/>
  <c r="P301" i="2" a="1"/>
  <c r="P301" i="2" s="1"/>
  <c r="R301" i="2" s="1"/>
  <c r="V301" i="2" s="1"/>
  <c r="W301" i="2" s="1"/>
  <c r="P723" i="2" a="1"/>
  <c r="P723" i="2" s="1"/>
  <c r="R723" i="2" s="1"/>
  <c r="V723" i="2" s="1"/>
  <c r="W723" i="2" s="1"/>
  <c r="P967" i="2" a="1"/>
  <c r="P967" i="2" s="1"/>
  <c r="R967" i="2" s="1"/>
  <c r="V967" i="2" s="1"/>
  <c r="W967" i="2" s="1"/>
  <c r="P791" i="2" a="1"/>
  <c r="P791" i="2" s="1"/>
  <c r="P6" i="2" a="1"/>
  <c r="P6" i="2" s="1"/>
  <c r="P314" i="2" a="1"/>
  <c r="P314" i="2" s="1"/>
  <c r="R314" i="2" s="1"/>
  <c r="V314" i="2" s="1"/>
  <c r="W314" i="2" s="1"/>
  <c r="P1395" i="2" a="1"/>
  <c r="P1395" i="2" s="1"/>
  <c r="R1395" i="2" s="1"/>
  <c r="V1395" i="2" s="1"/>
  <c r="W1395" i="2" s="1"/>
  <c r="P1401" i="2" a="1"/>
  <c r="P1401" i="2" s="1"/>
  <c r="R1401" i="2" s="1"/>
  <c r="V1401" i="2" s="1"/>
  <c r="W1401" i="2" s="1"/>
  <c r="P96" i="2" a="1"/>
  <c r="P96" i="2" s="1"/>
  <c r="R96" i="2" s="1"/>
  <c r="V96" i="2" s="1"/>
  <c r="W96" i="2" s="1"/>
  <c r="P1141" i="2" a="1"/>
  <c r="P1141" i="2" s="1"/>
  <c r="R1141" i="2" s="1"/>
  <c r="V1141" i="2" s="1"/>
  <c r="W1141" i="2" s="1"/>
  <c r="P1387" i="2" a="1"/>
  <c r="P1387" i="2" s="1"/>
  <c r="P1424" i="2" a="1"/>
  <c r="P1424" i="2" s="1"/>
  <c r="P895" i="2" a="1"/>
  <c r="P895" i="2" s="1"/>
  <c r="P1099" i="2" a="1"/>
  <c r="P1099" i="2" s="1"/>
  <c r="P1216" i="2" a="1"/>
  <c r="P1216" i="2" s="1"/>
  <c r="P492" i="2" a="1"/>
  <c r="P492" i="2" s="1"/>
  <c r="R492" i="2" s="1"/>
  <c r="V492" i="2" s="1"/>
  <c r="W492" i="2" s="1"/>
  <c r="P413" i="2" a="1"/>
  <c r="P413" i="2" s="1"/>
  <c r="R413" i="2" s="1"/>
  <c r="V413" i="2" s="1"/>
  <c r="W413" i="2" s="1"/>
  <c r="P61" i="2" a="1"/>
  <c r="P61" i="2" s="1"/>
  <c r="R61" i="2" s="1"/>
  <c r="V61" i="2" s="1"/>
  <c r="W61" i="2" s="1"/>
  <c r="P339" i="2" a="1"/>
  <c r="P339" i="2" s="1"/>
  <c r="R339" i="2" s="1"/>
  <c r="V339" i="2" s="1"/>
  <c r="W339" i="2" s="1"/>
  <c r="P1484" i="2" a="1"/>
  <c r="P1484" i="2" s="1"/>
  <c r="R1484" i="2" s="1"/>
  <c r="V1484" i="2" s="1"/>
  <c r="W1484" i="2" s="1"/>
  <c r="P1685" i="2" a="1"/>
  <c r="P1685" i="2" s="1"/>
  <c r="R1685" i="2" s="1"/>
  <c r="V1685" i="2" s="1"/>
  <c r="W1685" i="2" s="1"/>
  <c r="P891" i="2" a="1"/>
  <c r="P891" i="2" s="1"/>
  <c r="R891" i="2" s="1"/>
  <c r="V891" i="2" s="1"/>
  <c r="W891" i="2" s="1"/>
  <c r="P435" i="2" a="1"/>
  <c r="P435" i="2" s="1"/>
  <c r="R435" i="2" s="1"/>
  <c r="V435" i="2" s="1"/>
  <c r="W435" i="2" s="1"/>
  <c r="P1690" i="2" a="1"/>
  <c r="P1690" i="2" s="1"/>
  <c r="R1690" i="2" s="1"/>
  <c r="V1690" i="2" s="1"/>
  <c r="W1690" i="2" s="1"/>
  <c r="P1683" i="2" a="1"/>
  <c r="P1683" i="2" s="1"/>
  <c r="R1683" i="2" s="1"/>
  <c r="V1683" i="2" s="1"/>
  <c r="W1683" i="2" s="1"/>
  <c r="P809" i="2" a="1"/>
  <c r="P809" i="2" s="1"/>
  <c r="R809" i="2" s="1"/>
  <c r="V809" i="2" s="1"/>
  <c r="W809" i="2" s="1"/>
  <c r="P889" i="2" a="1"/>
  <c r="P889" i="2" s="1"/>
  <c r="P1426" i="2" a="1"/>
  <c r="P1426" i="2" s="1"/>
  <c r="P29" i="2" a="1"/>
  <c r="P29" i="2" s="1"/>
  <c r="P1151" i="2" a="1"/>
  <c r="P1151" i="2" s="1"/>
  <c r="P1366" i="2" a="1"/>
  <c r="P1366" i="2" s="1"/>
  <c r="P1732" i="2" a="1"/>
  <c r="P1732" i="2" s="1"/>
  <c r="R1732" i="2" s="1"/>
  <c r="V1732" i="2" s="1"/>
  <c r="W1732" i="2" s="1"/>
  <c r="P523" i="2" a="1"/>
  <c r="P523" i="2" s="1"/>
  <c r="R523" i="2" s="1"/>
  <c r="V523" i="2" s="1"/>
  <c r="W523" i="2" s="1"/>
  <c r="P1725" i="2" a="1"/>
  <c r="P1725" i="2" s="1"/>
  <c r="R1725" i="2" s="1"/>
  <c r="V1725" i="2" s="1"/>
  <c r="W1725" i="2" s="1"/>
  <c r="P1193" i="2" a="1"/>
  <c r="P1193" i="2" s="1"/>
  <c r="R1193" i="2" s="1"/>
  <c r="V1193" i="2" s="1"/>
  <c r="W1193" i="2" s="1"/>
  <c r="P617" i="2" a="1"/>
  <c r="P617" i="2" s="1"/>
  <c r="R617" i="2" s="1"/>
  <c r="V617" i="2" s="1"/>
  <c r="W617" i="2" s="1"/>
  <c r="P837" i="2" a="1"/>
  <c r="P837" i="2" s="1"/>
  <c r="R837" i="2" s="1"/>
  <c r="V837" i="2" s="1"/>
  <c r="W837" i="2" s="1"/>
  <c r="P1342" i="2" a="1"/>
  <c r="P1342" i="2" s="1"/>
  <c r="R1342" i="2" s="1"/>
  <c r="V1342" i="2" s="1"/>
  <c r="W1342" i="2" s="1"/>
  <c r="P729" i="2" a="1"/>
  <c r="P729" i="2" s="1"/>
  <c r="R729" i="2" s="1"/>
  <c r="V729" i="2" s="1"/>
  <c r="W729" i="2" s="1"/>
  <c r="P709" i="2" a="1"/>
  <c r="P709" i="2" s="1"/>
  <c r="R709" i="2" s="1"/>
  <c r="V709" i="2" s="1"/>
  <c r="W709" i="2" s="1"/>
  <c r="P1275" i="2" a="1"/>
  <c r="P1275" i="2" s="1"/>
  <c r="R1275" i="2" s="1"/>
  <c r="V1275" i="2" s="1"/>
  <c r="W1275" i="2" s="1"/>
  <c r="P495" i="2" a="1"/>
  <c r="P495" i="2" s="1"/>
  <c r="R495" i="2" s="1"/>
  <c r="V495" i="2" s="1"/>
  <c r="W495" i="2" s="1"/>
  <c r="P1209" i="2" a="1"/>
  <c r="P1209" i="2" s="1"/>
  <c r="P478" i="2" a="1"/>
  <c r="P478" i="2" s="1"/>
  <c r="P1676" i="2" a="1"/>
  <c r="P1676" i="2" s="1"/>
  <c r="P198" i="2" a="1"/>
  <c r="P198" i="2" s="1"/>
  <c r="R198" i="2" s="1"/>
  <c r="V198" i="2" s="1"/>
  <c r="W198" i="2" s="1"/>
  <c r="P4" i="2" a="1"/>
  <c r="P4" i="2" s="1"/>
  <c r="P1472" i="2" a="1"/>
  <c r="P1472" i="2" s="1"/>
  <c r="R1472" i="2" s="1"/>
  <c r="V1472" i="2" s="1"/>
  <c r="W1472" i="2" s="1"/>
  <c r="P756" i="2" a="1"/>
  <c r="P756" i="2" s="1"/>
  <c r="R756" i="2" s="1"/>
  <c r="V756" i="2" s="1"/>
  <c r="W756" i="2" s="1"/>
  <c r="P724" i="2" a="1"/>
  <c r="P724" i="2" s="1"/>
  <c r="R724" i="2" s="1"/>
  <c r="V724" i="2" s="1"/>
  <c r="W724" i="2" s="1"/>
  <c r="P408" i="2" a="1"/>
  <c r="P408" i="2" s="1"/>
  <c r="R408" i="2" s="1"/>
  <c r="V408" i="2" s="1"/>
  <c r="W408" i="2" s="1"/>
  <c r="P973" i="2" a="1"/>
  <c r="P973" i="2" s="1"/>
  <c r="R973" i="2" s="1"/>
  <c r="V973" i="2" s="1"/>
  <c r="W973" i="2" s="1"/>
  <c r="P1293" i="2" a="1"/>
  <c r="P1293" i="2" s="1"/>
  <c r="R1293" i="2" s="1"/>
  <c r="V1293" i="2" s="1"/>
  <c r="W1293" i="2" s="1"/>
  <c r="P917" i="2" a="1"/>
  <c r="P917" i="2" s="1"/>
  <c r="R917" i="2" s="1"/>
  <c r="V917" i="2" s="1"/>
  <c r="W917" i="2" s="1"/>
  <c r="P92" i="2" a="1"/>
  <c r="P92" i="2" s="1"/>
  <c r="R92" i="2" s="1"/>
  <c r="V92" i="2" s="1"/>
  <c r="W92" i="2" s="1"/>
  <c r="P567" i="2" a="1"/>
  <c r="P567" i="2" s="1"/>
  <c r="R567" i="2" s="1"/>
  <c r="V567" i="2" s="1"/>
  <c r="W567" i="2" s="1"/>
  <c r="P1678" i="2" a="1"/>
  <c r="P1678" i="2" s="1"/>
  <c r="R1678" i="2" s="1"/>
  <c r="V1678" i="2" s="1"/>
  <c r="W1678" i="2" s="1"/>
  <c r="P1412" i="2" a="1"/>
  <c r="P1412" i="2" s="1"/>
  <c r="R1412" i="2" s="1"/>
  <c r="V1412" i="2" s="1"/>
  <c r="W1412" i="2" s="1"/>
  <c r="P213" i="2" a="1"/>
  <c r="P213" i="2" s="1"/>
  <c r="P606" i="2" a="1"/>
  <c r="P606" i="2" s="1"/>
  <c r="P375" i="2" a="1"/>
  <c r="P375" i="2" s="1"/>
  <c r="P246" i="2" a="1"/>
  <c r="P246" i="2" s="1"/>
  <c r="P292" i="2" a="1"/>
  <c r="P292" i="2" s="1"/>
  <c r="P153" i="2" a="1"/>
  <c r="P153" i="2" s="1"/>
  <c r="P428" i="2" a="1"/>
  <c r="P428" i="2" s="1"/>
  <c r="P1376" i="2" a="1"/>
  <c r="P1376" i="2" s="1"/>
  <c r="R1376" i="2" s="1"/>
  <c r="V1376" i="2" s="1"/>
  <c r="W1376" i="2" s="1"/>
  <c r="P1039" i="2" a="1"/>
  <c r="P1039" i="2" s="1"/>
  <c r="R1039" i="2" s="1"/>
  <c r="V1039" i="2" s="1"/>
  <c r="W1039" i="2" s="1"/>
  <c r="P1065" i="2" a="1"/>
  <c r="P1065" i="2" s="1"/>
  <c r="R1065" i="2" s="1"/>
  <c r="V1065" i="2" s="1"/>
  <c r="W1065" i="2" s="1"/>
  <c r="P1317" i="2" a="1"/>
  <c r="P1317" i="2" s="1"/>
  <c r="R1317" i="2" s="1"/>
  <c r="V1317" i="2" s="1"/>
  <c r="W1317" i="2" s="1"/>
  <c r="P920" i="2" a="1"/>
  <c r="P920" i="2" s="1"/>
  <c r="R920" i="2" s="1"/>
  <c r="V920" i="2" s="1"/>
  <c r="W920" i="2" s="1"/>
  <c r="P351" i="2" a="1"/>
  <c r="P351" i="2" s="1"/>
  <c r="R351" i="2" s="1"/>
  <c r="V351" i="2" s="1"/>
  <c r="W351" i="2" s="1"/>
  <c r="P1460" i="2" a="1"/>
  <c r="P1460" i="2" s="1"/>
  <c r="R1460" i="2" s="1"/>
  <c r="V1460" i="2" s="1"/>
  <c r="W1460" i="2" s="1"/>
  <c r="P134" i="2" a="1"/>
  <c r="P134" i="2" s="1"/>
  <c r="R134" i="2" s="1"/>
  <c r="V134" i="2" s="1"/>
  <c r="W134" i="2" s="1"/>
  <c r="P1699" i="2" a="1"/>
  <c r="P1699" i="2" s="1"/>
  <c r="R1699" i="2" s="1"/>
  <c r="V1699" i="2" s="1"/>
  <c r="W1699" i="2" s="1"/>
  <c r="P216" i="2" a="1"/>
  <c r="P216" i="2" s="1"/>
  <c r="P549" i="2" a="1"/>
  <c r="P549" i="2" s="1"/>
  <c r="P392" i="2" a="1"/>
  <c r="P392" i="2" s="1"/>
  <c r="P847" i="2" a="1"/>
  <c r="P847" i="2" s="1"/>
  <c r="R847" i="2" s="1"/>
  <c r="V847" i="2" s="1"/>
  <c r="W847" i="2" s="1"/>
  <c r="P700" i="2" a="1"/>
  <c r="P700" i="2" s="1"/>
  <c r="P1327" i="2" a="1"/>
  <c r="P1327" i="2" s="1"/>
  <c r="R1327" i="2" s="1"/>
  <c r="V1327" i="2" s="1"/>
  <c r="W1327" i="2" s="1"/>
  <c r="P1737" i="2" a="1"/>
  <c r="P1737" i="2" s="1"/>
  <c r="R1737" i="2" s="1"/>
  <c r="V1737" i="2" s="1"/>
  <c r="W1737" i="2" s="1"/>
  <c r="P474" i="2" a="1"/>
  <c r="P474" i="2" s="1"/>
  <c r="R474" i="2" s="1"/>
  <c r="V474" i="2" s="1"/>
  <c r="W474" i="2" s="1"/>
  <c r="P356" i="2" a="1"/>
  <c r="P356" i="2" s="1"/>
  <c r="R356" i="2" s="1"/>
  <c r="V356" i="2" s="1"/>
  <c r="W356" i="2" s="1"/>
  <c r="P870" i="2" a="1"/>
  <c r="P870" i="2" s="1"/>
  <c r="R870" i="2" s="1"/>
  <c r="V870" i="2" s="1"/>
  <c r="W870" i="2" s="1"/>
  <c r="P812" i="2" a="1"/>
  <c r="P812" i="2" s="1"/>
  <c r="R812" i="2" s="1"/>
  <c r="V812" i="2" s="1"/>
  <c r="W812" i="2" s="1"/>
  <c r="P983" i="2" a="1"/>
  <c r="P983" i="2" s="1"/>
  <c r="R983" i="2" s="1"/>
  <c r="V983" i="2" s="1"/>
  <c r="W983" i="2" s="1"/>
  <c r="P792" i="2" a="1"/>
  <c r="P792" i="2" s="1"/>
  <c r="R792" i="2" s="1"/>
  <c r="V792" i="2" s="1"/>
  <c r="W792" i="2" s="1"/>
  <c r="P954" i="2" a="1"/>
  <c r="P954" i="2" s="1"/>
  <c r="R954" i="2" s="1"/>
  <c r="V954" i="2" s="1"/>
  <c r="W954" i="2" s="1"/>
  <c r="P81" i="2" a="1"/>
  <c r="P81" i="2" s="1"/>
  <c r="R81" i="2" s="1"/>
  <c r="V81" i="2" s="1"/>
  <c r="W81" i="2" s="1"/>
  <c r="R484" i="2"/>
  <c r="V484" i="2" s="1"/>
  <c r="W484" i="2" s="1"/>
  <c r="R1063" i="2"/>
  <c r="V1063" i="2" s="1"/>
  <c r="W1063" i="2" s="1"/>
  <c r="R178" i="2"/>
  <c r="V178" i="2" s="1"/>
  <c r="W178" i="2" s="1"/>
  <c r="R929" i="2"/>
  <c r="V929" i="2" s="1"/>
  <c r="W929" i="2" s="1"/>
  <c r="R814" i="2"/>
  <c r="V814" i="2" s="1"/>
  <c r="W814" i="2" s="1"/>
  <c r="R937" i="2"/>
  <c r="V937" i="2" s="1"/>
  <c r="W937" i="2" s="1"/>
  <c r="R1453" i="2"/>
  <c r="V1453" i="2" s="1"/>
  <c r="W1453" i="2" s="1"/>
  <c r="R711" i="2"/>
  <c r="V711" i="2" s="1"/>
  <c r="W711" i="2" s="1"/>
  <c r="R377" i="2"/>
  <c r="V377" i="2" s="1"/>
  <c r="W377" i="2" s="1"/>
  <c r="R1735" i="2"/>
  <c r="V1735" i="2" s="1"/>
  <c r="W1735" i="2" s="1"/>
  <c r="R928" i="2"/>
  <c r="V928" i="2" s="1"/>
  <c r="W928" i="2" s="1"/>
  <c r="R130" i="2"/>
  <c r="V130" i="2" s="1"/>
  <c r="W130" i="2" s="1"/>
  <c r="R1007" i="2"/>
  <c r="V1007" i="2" s="1"/>
  <c r="W1007" i="2" s="1"/>
  <c r="R106" i="2"/>
  <c r="V106" i="2" s="1"/>
  <c r="W106" i="2" s="1"/>
  <c r="R532" i="2"/>
  <c r="V532" i="2" s="1"/>
  <c r="W532" i="2" s="1"/>
  <c r="R1056" i="2"/>
  <c r="V1056" i="2" s="1"/>
  <c r="W1056" i="2" s="1"/>
  <c r="R450" i="2"/>
  <c r="V450" i="2" s="1"/>
  <c r="W450" i="2" s="1"/>
  <c r="R539" i="2"/>
  <c r="V539" i="2" s="1"/>
  <c r="W539" i="2" s="1"/>
  <c r="R18" i="2"/>
  <c r="V18" i="2" s="1"/>
  <c r="W18" i="2" s="1"/>
  <c r="R266" i="2"/>
  <c r="V266" i="2" s="1"/>
  <c r="W266" i="2" s="1"/>
  <c r="R1278" i="2"/>
  <c r="V1278" i="2" s="1"/>
  <c r="W1278" i="2" s="1"/>
  <c r="R536" i="2"/>
  <c r="V536" i="2" s="1"/>
  <c r="W536" i="2" s="1"/>
  <c r="R52" i="2"/>
  <c r="V52" i="2" s="1"/>
  <c r="W52" i="2" s="1"/>
  <c r="R1319" i="2"/>
  <c r="V1319" i="2" s="1"/>
  <c r="W1319" i="2" s="1"/>
  <c r="R1044" i="2"/>
  <c r="V1044" i="2" s="1"/>
  <c r="W1044" i="2" s="1"/>
  <c r="R115" i="2"/>
  <c r="V115" i="2" s="1"/>
  <c r="W115" i="2" s="1"/>
  <c r="R362" i="2"/>
  <c r="V362" i="2" s="1"/>
  <c r="W362" i="2" s="1"/>
  <c r="R820" i="2"/>
  <c r="V820" i="2" s="1"/>
  <c r="W820" i="2" s="1"/>
  <c r="R1220" i="2"/>
  <c r="V1220" i="2" s="1"/>
  <c r="W1220" i="2" s="1"/>
  <c r="R1714" i="2"/>
  <c r="V1714" i="2" s="1"/>
  <c r="W1714" i="2" s="1"/>
  <c r="R1323" i="2"/>
  <c r="V1323" i="2" s="1"/>
  <c r="W1323" i="2" s="1"/>
  <c r="R193" i="2"/>
  <c r="V193" i="2" s="1"/>
  <c r="W193" i="2" s="1"/>
  <c r="R511" i="2"/>
  <c r="V511" i="2" s="1"/>
  <c r="W511" i="2" s="1"/>
  <c r="R1192" i="2"/>
  <c r="V1192" i="2" s="1"/>
  <c r="W1192" i="2" s="1"/>
  <c r="R649" i="2"/>
  <c r="V649" i="2" s="1"/>
  <c r="W649" i="2" s="1"/>
  <c r="R1709" i="2"/>
  <c r="V1709" i="2" s="1"/>
  <c r="W1709" i="2" s="1"/>
  <c r="R42" i="2"/>
  <c r="V42" i="2" s="1"/>
  <c r="W42" i="2" s="1"/>
  <c r="R192" i="2"/>
  <c r="V192" i="2" s="1"/>
  <c r="W192" i="2" s="1"/>
  <c r="R211" i="2"/>
  <c r="V211" i="2" s="1"/>
  <c r="W211" i="2" s="1"/>
  <c r="R1362" i="2"/>
  <c r="V1362" i="2" s="1"/>
  <c r="W1362" i="2" s="1"/>
  <c r="R295" i="2"/>
  <c r="V295" i="2" s="1"/>
  <c r="W295" i="2" s="1"/>
  <c r="R842" i="2"/>
  <c r="V842" i="2" s="1"/>
  <c r="W842" i="2" s="1"/>
  <c r="R594" i="2"/>
  <c r="V594" i="2" s="1"/>
  <c r="W594" i="2" s="1"/>
  <c r="R1375" i="2"/>
  <c r="V1375" i="2" s="1"/>
  <c r="W1375" i="2" s="1"/>
  <c r="R1078" i="2"/>
  <c r="V1078" i="2" s="1"/>
  <c r="W1078" i="2" s="1"/>
  <c r="R1447" i="2"/>
  <c r="V1447" i="2" s="1"/>
  <c r="W1447" i="2" s="1"/>
  <c r="R391" i="2"/>
  <c r="V391" i="2" s="1"/>
  <c r="W391" i="2" s="1"/>
  <c r="R1374" i="2"/>
  <c r="V1374" i="2" s="1"/>
  <c r="W1374" i="2" s="1"/>
  <c r="R1144" i="2"/>
  <c r="V1144" i="2" s="1"/>
  <c r="W1144" i="2" s="1"/>
  <c r="R982" i="2"/>
  <c r="V982" i="2" s="1"/>
  <c r="W982" i="2" s="1"/>
  <c r="R313" i="2"/>
  <c r="V313" i="2" s="1"/>
  <c r="W313" i="2" s="1"/>
  <c r="R804" i="2"/>
  <c r="V804" i="2" s="1"/>
  <c r="W804" i="2" s="1"/>
  <c r="R1098" i="2"/>
  <c r="V1098" i="2" s="1"/>
  <c r="W1098" i="2" s="1"/>
  <c r="R1037" i="2"/>
  <c r="V1037" i="2" s="1"/>
  <c r="W1037" i="2" s="1"/>
  <c r="R1077" i="2"/>
  <c r="V1077" i="2" s="1"/>
  <c r="W1077" i="2" s="1"/>
  <c r="R1160" i="2"/>
  <c r="V1160" i="2" s="1"/>
  <c r="W1160" i="2" s="1"/>
  <c r="R124" i="2"/>
  <c r="V124" i="2" s="1"/>
  <c r="W124" i="2" s="1"/>
  <c r="R732" i="2"/>
  <c r="V732" i="2" s="1"/>
  <c r="W732" i="2" s="1"/>
  <c r="R1363" i="2"/>
  <c r="V1363" i="2" s="1"/>
  <c r="W1363" i="2" s="1"/>
  <c r="R813" i="2"/>
  <c r="V813" i="2" s="1"/>
  <c r="W813" i="2" s="1"/>
  <c r="R101" i="2"/>
  <c r="V101" i="2" s="1"/>
  <c r="W101" i="2" s="1"/>
  <c r="R393" i="2"/>
  <c r="V393" i="2" s="1"/>
  <c r="W393" i="2" s="1"/>
  <c r="R226" i="2"/>
  <c r="V226" i="2" s="1"/>
  <c r="W226" i="2" s="1"/>
  <c r="R1414" i="2"/>
  <c r="V1414" i="2" s="1"/>
  <c r="W1414" i="2" s="1"/>
  <c r="R119" i="2"/>
  <c r="V119" i="2" s="1"/>
  <c r="W119" i="2" s="1"/>
  <c r="R189" i="2"/>
  <c r="V189" i="2" s="1"/>
  <c r="W189" i="2" s="1"/>
  <c r="R1682" i="2"/>
  <c r="V1682" i="2" s="1"/>
  <c r="W1682" i="2" s="1"/>
  <c r="R1719" i="2"/>
  <c r="V1719" i="2" s="1"/>
  <c r="W1719" i="2" s="1"/>
  <c r="R1131" i="2"/>
  <c r="V1131" i="2" s="1"/>
  <c r="W1131" i="2" s="1"/>
  <c r="R1055" i="2"/>
  <c r="V1055" i="2" s="1"/>
  <c r="W1055" i="2" s="1"/>
  <c r="R338" i="2"/>
  <c r="V338" i="2" s="1"/>
  <c r="W338" i="2" s="1"/>
  <c r="R1444" i="2"/>
  <c r="V1444" i="2" s="1"/>
  <c r="W1444" i="2" s="1"/>
  <c r="R984" i="2"/>
  <c r="V984" i="2" s="1"/>
  <c r="W984" i="2" s="1"/>
  <c r="R446" i="2"/>
  <c r="V446" i="2" s="1"/>
  <c r="W446" i="2" s="1"/>
  <c r="R357" i="2"/>
  <c r="V357" i="2" s="1"/>
  <c r="W357" i="2" s="1"/>
  <c r="R627" i="2"/>
  <c r="V627" i="2" s="1"/>
  <c r="W627" i="2" s="1"/>
  <c r="R636" i="2"/>
  <c r="V636" i="2" s="1"/>
  <c r="W636" i="2" s="1"/>
  <c r="R1246" i="2"/>
  <c r="V1246" i="2" s="1"/>
  <c r="W1246" i="2" s="1"/>
  <c r="R1367" i="2"/>
  <c r="V1367" i="2" s="1"/>
  <c r="W1367" i="2" s="1"/>
  <c r="R808" i="2"/>
  <c r="V808" i="2" s="1"/>
  <c r="W808" i="2" s="1"/>
  <c r="R871" i="2"/>
  <c r="V871" i="2" s="1"/>
  <c r="W871" i="2" s="1"/>
  <c r="R726" i="2"/>
  <c r="V726" i="2" s="1"/>
  <c r="W726" i="2" s="1"/>
  <c r="R1167" i="2"/>
  <c r="V1167" i="2" s="1"/>
  <c r="W1167" i="2" s="1"/>
  <c r="R712" i="2"/>
  <c r="V712" i="2" s="1"/>
  <c r="W712" i="2" s="1"/>
  <c r="R93" i="2"/>
  <c r="V93" i="2" s="1"/>
  <c r="W93" i="2" s="1"/>
  <c r="R27" i="2"/>
  <c r="V27" i="2" s="1"/>
  <c r="W27" i="2" s="1"/>
  <c r="R7" i="2"/>
  <c r="V7" i="2" s="1"/>
  <c r="W7" i="2" s="1"/>
  <c r="R654" i="2"/>
  <c r="V654" i="2" s="1"/>
  <c r="W654" i="2" s="1"/>
  <c r="R308" i="2"/>
  <c r="V308" i="2" s="1"/>
  <c r="W308" i="2" s="1"/>
  <c r="R1137" i="2"/>
  <c r="V1137" i="2" s="1"/>
  <c r="W1137" i="2" s="1"/>
  <c r="R513" i="2"/>
  <c r="V513" i="2" s="1"/>
  <c r="W513" i="2" s="1"/>
  <c r="R525" i="2"/>
  <c r="V525" i="2" s="1"/>
  <c r="W525" i="2" s="1"/>
  <c r="R236" i="2"/>
  <c r="V236" i="2" s="1"/>
  <c r="W236" i="2" s="1"/>
  <c r="R987" i="2"/>
  <c r="V987" i="2" s="1"/>
  <c r="W987" i="2" s="1"/>
  <c r="R358" i="2"/>
  <c r="V358" i="2" s="1"/>
  <c r="W358" i="2" s="1"/>
  <c r="R1706" i="2"/>
  <c r="V1706" i="2" s="1"/>
  <c r="W1706" i="2" s="1"/>
  <c r="R1295" i="2"/>
  <c r="V1295" i="2" s="1"/>
  <c r="W1295" i="2" s="1"/>
  <c r="R676" i="2"/>
  <c r="V676" i="2" s="1"/>
  <c r="W676" i="2" s="1"/>
  <c r="R480" i="2"/>
  <c r="V480" i="2" s="1"/>
  <c r="W480" i="2" s="1"/>
  <c r="R899" i="2"/>
  <c r="V899" i="2" s="1"/>
  <c r="W899" i="2" s="1"/>
  <c r="R1691" i="2"/>
  <c r="V1691" i="2" s="1"/>
  <c r="W1691" i="2" s="1"/>
  <c r="R223" i="2"/>
  <c r="V223" i="2" s="1"/>
  <c r="W223" i="2" s="1"/>
  <c r="R326" i="2"/>
  <c r="V326" i="2" s="1"/>
  <c r="W326" i="2" s="1"/>
  <c r="R1196" i="2"/>
  <c r="V1196" i="2" s="1"/>
  <c r="W1196" i="2" s="1"/>
  <c r="R1717" i="2"/>
  <c r="V1717" i="2" s="1"/>
  <c r="W1717" i="2" s="1"/>
  <c r="R903" i="2"/>
  <c r="V903" i="2" s="1"/>
  <c r="W903" i="2" s="1"/>
  <c r="R680" i="2"/>
  <c r="V680" i="2" s="1"/>
  <c r="W680" i="2" s="1"/>
  <c r="R1384" i="2"/>
  <c r="V1384" i="2" s="1"/>
  <c r="W1384" i="2" s="1"/>
  <c r="R642" i="2"/>
  <c r="V642" i="2" s="1"/>
  <c r="W642" i="2" s="1"/>
  <c r="R1502" i="2"/>
  <c r="V1502" i="2" s="1"/>
  <c r="W1502" i="2" s="1"/>
  <c r="R465" i="2"/>
  <c r="V465" i="2" s="1"/>
  <c r="W465" i="2" s="1"/>
  <c r="R714" i="2"/>
  <c r="V714" i="2" s="1"/>
  <c r="W714" i="2" s="1"/>
  <c r="R845" i="2"/>
  <c r="V845" i="2" s="1"/>
  <c r="W845" i="2" s="1"/>
  <c r="R325" i="2"/>
  <c r="V325" i="2" s="1"/>
  <c r="W325" i="2" s="1"/>
  <c r="R265" i="2"/>
  <c r="V265" i="2" s="1"/>
  <c r="W265" i="2" s="1"/>
  <c r="R1006" i="2"/>
  <c r="V1006" i="2" s="1"/>
  <c r="W1006" i="2" s="1"/>
  <c r="R1264" i="2"/>
  <c r="V1264" i="2" s="1"/>
  <c r="W1264" i="2" s="1"/>
  <c r="R422" i="2"/>
  <c r="V422" i="2" s="1"/>
  <c r="W422" i="2" s="1"/>
  <c r="R1703" i="2"/>
  <c r="V1703" i="2" s="1"/>
  <c r="W1703" i="2" s="1"/>
  <c r="R1288" i="2"/>
  <c r="V1288" i="2" s="1"/>
  <c r="W1288" i="2" s="1"/>
  <c r="R789" i="2"/>
  <c r="V789" i="2" s="1"/>
  <c r="W789" i="2" s="1"/>
  <c r="R1358" i="2"/>
  <c r="V1358" i="2" s="1"/>
  <c r="W1358" i="2" s="1"/>
  <c r="R977" i="2"/>
  <c r="V977" i="2" s="1"/>
  <c r="W977" i="2" s="1"/>
  <c r="R1258" i="2"/>
  <c r="V1258" i="2" s="1"/>
  <c r="W1258" i="2" s="1"/>
  <c r="R165" i="2"/>
  <c r="V165" i="2" s="1"/>
  <c r="W165" i="2" s="1"/>
  <c r="R640" i="2"/>
  <c r="V640" i="2" s="1"/>
  <c r="W640" i="2" s="1"/>
  <c r="R1180" i="2"/>
  <c r="V1180" i="2" s="1"/>
  <c r="W1180" i="2" s="1"/>
  <c r="R1183" i="2"/>
  <c r="V1183" i="2" s="1"/>
  <c r="W1183" i="2" s="1"/>
  <c r="R985" i="2"/>
  <c r="V985" i="2" s="1"/>
  <c r="W985" i="2" s="1"/>
  <c r="R1406" i="2"/>
  <c r="V1406" i="2" s="1"/>
  <c r="W1406" i="2" s="1"/>
  <c r="R454" i="2"/>
  <c r="V454" i="2" s="1"/>
  <c r="W454" i="2" s="1"/>
  <c r="R1143" i="2"/>
  <c r="V1143" i="2" s="1"/>
  <c r="W1143" i="2" s="1"/>
  <c r="R10" i="2"/>
  <c r="V10" i="2" s="1"/>
  <c r="W10" i="2" s="1"/>
  <c r="R941" i="2"/>
  <c r="V941" i="2" s="1"/>
  <c r="W941" i="2" s="1"/>
  <c r="R1300" i="2"/>
  <c r="V1300" i="2" s="1"/>
  <c r="W1300" i="2" s="1"/>
  <c r="R652" i="2"/>
  <c r="V652" i="2" s="1"/>
  <c r="W652" i="2" s="1"/>
  <c r="R996" i="2"/>
  <c r="V996" i="2" s="1"/>
  <c r="W996" i="2" s="1"/>
  <c r="R1084" i="2"/>
  <c r="V1084" i="2" s="1"/>
  <c r="W1084" i="2" s="1"/>
  <c r="R1337" i="2"/>
  <c r="V1337" i="2" s="1"/>
  <c r="W1337" i="2" s="1"/>
  <c r="R1308" i="2"/>
  <c r="V1308" i="2" s="1"/>
  <c r="W1308" i="2" s="1"/>
  <c r="R880" i="2"/>
  <c r="V880" i="2" s="1"/>
  <c r="W880" i="2" s="1"/>
  <c r="R405" i="2"/>
  <c r="V405" i="2" s="1"/>
  <c r="W405" i="2" s="1"/>
  <c r="R826" i="2"/>
  <c r="V826" i="2" s="1"/>
  <c r="W826" i="2" s="1"/>
  <c r="R176" i="2"/>
  <c r="V176" i="2" s="1"/>
  <c r="W176" i="2" s="1"/>
  <c r="R1329" i="2"/>
  <c r="V1329" i="2" s="1"/>
  <c r="W1329" i="2" s="1"/>
  <c r="R1494" i="2"/>
  <c r="V1494" i="2" s="1"/>
  <c r="W1494" i="2" s="1"/>
  <c r="R385" i="2"/>
  <c r="V385" i="2" s="1"/>
  <c r="W385" i="2" s="1"/>
  <c r="R376" i="2"/>
  <c r="V376" i="2" s="1"/>
  <c r="W376" i="2" s="1"/>
  <c r="R943" i="2"/>
  <c r="V943" i="2" s="1"/>
  <c r="W943" i="2" s="1"/>
  <c r="R555" i="2"/>
  <c r="V555" i="2" s="1"/>
  <c r="W555" i="2" s="1"/>
  <c r="R248" i="2"/>
  <c r="V248" i="2" s="1"/>
  <c r="W248" i="2" s="1"/>
  <c r="R852" i="2"/>
  <c r="V852" i="2" s="1"/>
  <c r="W852" i="2" s="1"/>
  <c r="R262" i="2"/>
  <c r="V262" i="2" s="1"/>
  <c r="W262" i="2" s="1"/>
  <c r="R541" i="2"/>
  <c r="V541" i="2" s="1"/>
  <c r="W541" i="2" s="1"/>
  <c r="R1389" i="2"/>
  <c r="V1389" i="2" s="1"/>
  <c r="W1389" i="2" s="1"/>
  <c r="R940" i="2"/>
  <c r="V940" i="2" s="1"/>
  <c r="W940" i="2" s="1"/>
  <c r="R1356" i="2"/>
  <c r="V1356" i="2" s="1"/>
  <c r="W1356" i="2" s="1"/>
  <c r="R1043" i="2"/>
  <c r="V1043" i="2" s="1"/>
  <c r="W1043" i="2" s="1"/>
  <c r="R1338" i="2"/>
  <c r="V1338" i="2" s="1"/>
  <c r="W1338" i="2" s="1"/>
  <c r="R1501" i="2"/>
  <c r="V1501" i="2" s="1"/>
  <c r="W1501" i="2" s="1"/>
  <c r="R1491" i="2"/>
  <c r="V1491" i="2" s="1"/>
  <c r="W1491" i="2" s="1"/>
  <c r="R432" i="2"/>
  <c r="V432" i="2" s="1"/>
  <c r="W432" i="2" s="1"/>
  <c r="R497" i="2"/>
  <c r="V497" i="2" s="1"/>
  <c r="W497" i="2" s="1"/>
  <c r="R1090" i="2"/>
  <c r="V1090" i="2" s="1"/>
  <c r="W1090" i="2" s="1"/>
  <c r="R976" i="2"/>
  <c r="V976" i="2" s="1"/>
  <c r="W976" i="2" s="1"/>
  <c r="R1385" i="2"/>
  <c r="V1385" i="2" s="1"/>
  <c r="W1385" i="2" s="1"/>
  <c r="R841" i="2"/>
  <c r="V841" i="2" s="1"/>
  <c r="W841" i="2" s="1"/>
  <c r="R109" i="2"/>
  <c r="V109" i="2" s="1"/>
  <c r="W109" i="2" s="1"/>
  <c r="R57" i="2"/>
  <c r="V57" i="2" s="1"/>
  <c r="W57" i="2" s="1"/>
  <c r="R858" i="2"/>
  <c r="V858" i="2" s="1"/>
  <c r="W858" i="2" s="1"/>
  <c r="R1147" i="2"/>
  <c r="V1147" i="2" s="1"/>
  <c r="W1147" i="2" s="1"/>
  <c r="R564" i="2"/>
  <c r="V564" i="2" s="1"/>
  <c r="W564" i="2" s="1"/>
  <c r="R810" i="2"/>
  <c r="V810" i="2" s="1"/>
  <c r="W810" i="2" s="1"/>
  <c r="R548" i="2"/>
  <c r="V548" i="2" s="1"/>
  <c r="W548" i="2" s="1"/>
  <c r="R1060" i="2"/>
  <c r="V1060" i="2" s="1"/>
  <c r="W1060" i="2" s="1"/>
  <c r="R856" i="2"/>
  <c r="V856" i="2" s="1"/>
  <c r="W856" i="2" s="1"/>
  <c r="R705" i="2"/>
  <c r="V705" i="2" s="1"/>
  <c r="W705" i="2" s="1"/>
  <c r="R1102" i="2"/>
  <c r="V1102" i="2" s="1"/>
  <c r="W1102" i="2" s="1"/>
  <c r="R486" i="2"/>
  <c r="V486" i="2" s="1"/>
  <c r="W486" i="2" s="1"/>
  <c r="R968" i="2"/>
  <c r="V968" i="2" s="1"/>
  <c r="W968" i="2" s="1"/>
  <c r="R1031" i="2"/>
  <c r="V1031" i="2" s="1"/>
  <c r="W1031" i="2" s="1"/>
  <c r="R235" i="2"/>
  <c r="V235" i="2" s="1"/>
  <c r="W235" i="2" s="1"/>
  <c r="R463" i="2"/>
  <c r="V463" i="2" s="1"/>
  <c r="W463" i="2" s="1"/>
  <c r="R151" i="2"/>
  <c r="V151" i="2" s="1"/>
  <c r="W151" i="2" s="1"/>
  <c r="R1339" i="2"/>
  <c r="V1339" i="2" s="1"/>
  <c r="W1339" i="2" s="1"/>
  <c r="R1036" i="2"/>
  <c r="V1036" i="2" s="1"/>
  <c r="W1036" i="2" s="1"/>
  <c r="R688" i="2"/>
  <c r="V688" i="2" s="1"/>
  <c r="W688" i="2" s="1"/>
  <c r="R1243" i="2"/>
  <c r="V1243" i="2" s="1"/>
  <c r="W1243" i="2" s="1"/>
  <c r="R120" i="2"/>
  <c r="V120" i="2" s="1"/>
  <c r="W120" i="2" s="1"/>
  <c r="R939" i="2"/>
  <c r="V939" i="2" s="1"/>
  <c r="W939" i="2" s="1"/>
  <c r="R848" i="2"/>
  <c r="V848" i="2" s="1"/>
  <c r="W848" i="2" s="1"/>
  <c r="R1081" i="2"/>
  <c r="V1081" i="2" s="1"/>
  <c r="W1081" i="2" s="1"/>
  <c r="R757" i="2"/>
  <c r="V757" i="2" s="1"/>
  <c r="W757" i="2" s="1"/>
  <c r="R1723" i="2"/>
  <c r="V1723" i="2" s="1"/>
  <c r="W1723" i="2" s="1"/>
  <c r="R535" i="2"/>
  <c r="V535" i="2" s="1"/>
  <c r="W535" i="2" s="1"/>
  <c r="R1343" i="2"/>
  <c r="V1343" i="2" s="1"/>
  <c r="W1343" i="2" s="1"/>
  <c r="R1206" i="2"/>
  <c r="V1206" i="2" s="1"/>
  <c r="W1206" i="2" s="1"/>
  <c r="R1704" i="2"/>
  <c r="V1704" i="2" s="1"/>
  <c r="W1704" i="2" s="1"/>
  <c r="R363" i="2"/>
  <c r="V363" i="2" s="1"/>
  <c r="W363" i="2" s="1"/>
  <c r="R802" i="2"/>
  <c r="V802" i="2" s="1"/>
  <c r="W802" i="2" s="1"/>
  <c r="R346" i="2"/>
  <c r="V346" i="2" s="1"/>
  <c r="W346" i="2" s="1"/>
  <c r="R261" i="2"/>
  <c r="V261" i="2" s="1"/>
  <c r="W261" i="2" s="1"/>
  <c r="R1023" i="2"/>
  <c r="V1023" i="2" s="1"/>
  <c r="W1023" i="2" s="1"/>
  <c r="R972" i="2"/>
  <c r="V972" i="2" s="1"/>
  <c r="W972" i="2" s="1"/>
  <c r="R1684" i="2"/>
  <c r="V1684" i="2" s="1"/>
  <c r="W1684" i="2" s="1"/>
  <c r="R667" i="2"/>
  <c r="V667" i="2" s="1"/>
  <c r="W667" i="2" s="1"/>
  <c r="R335" i="2"/>
  <c r="V335" i="2" s="1"/>
  <c r="W335" i="2" s="1"/>
  <c r="R1067" i="2"/>
  <c r="V1067" i="2" s="1"/>
  <c r="W1067" i="2" s="1"/>
  <c r="R1148" i="2"/>
  <c r="V1148" i="2" s="1"/>
  <c r="W1148" i="2" s="1"/>
  <c r="R267" i="2"/>
  <c r="V267" i="2" s="1"/>
  <c r="W267" i="2" s="1"/>
  <c r="R597" i="2"/>
  <c r="V597" i="2" s="1"/>
  <c r="W597" i="2" s="1"/>
  <c r="R456" i="2"/>
  <c r="V456" i="2" s="1"/>
  <c r="W456" i="2" s="1"/>
  <c r="R389" i="2"/>
  <c r="V389" i="2" s="1"/>
  <c r="W389" i="2" s="1"/>
  <c r="R462" i="2"/>
  <c r="V462" i="2" s="1"/>
  <c r="W462" i="2" s="1"/>
  <c r="R162" i="2"/>
  <c r="V162" i="2" s="1"/>
  <c r="W162" i="2" s="1"/>
  <c r="R1283" i="2"/>
  <c r="V1283" i="2" s="1"/>
  <c r="W1283" i="2" s="1"/>
  <c r="R175" i="2"/>
  <c r="V175" i="2" s="1"/>
  <c r="W175" i="2" s="1"/>
  <c r="R62" i="2"/>
  <c r="V62" i="2" s="1"/>
  <c r="W62" i="2" s="1"/>
  <c r="R1195" i="2"/>
  <c r="V1195" i="2" s="1"/>
  <c r="W1195" i="2" s="1"/>
  <c r="R1427" i="2"/>
  <c r="V1427" i="2" s="1"/>
  <c r="W1427" i="2" s="1"/>
  <c r="R1344" i="2"/>
  <c r="V1344" i="2" s="1"/>
  <c r="W1344" i="2" s="1"/>
  <c r="R1479" i="2"/>
  <c r="V1479" i="2" s="1"/>
  <c r="W1479" i="2" s="1"/>
  <c r="R95" i="2"/>
  <c r="V95" i="2" s="1"/>
  <c r="W95" i="2" s="1"/>
  <c r="R645" i="2"/>
  <c r="V645" i="2" s="1"/>
  <c r="W645" i="2" s="1"/>
  <c r="R207" i="2"/>
  <c r="V207" i="2" s="1"/>
  <c r="W207" i="2" s="1"/>
  <c r="R1497" i="2"/>
  <c r="V1497" i="2" s="1"/>
  <c r="W1497" i="2" s="1"/>
  <c r="R66" i="2"/>
  <c r="V66" i="2" s="1"/>
  <c r="W66" i="2" s="1"/>
  <c r="R1021" i="2"/>
  <c r="V1021" i="2" s="1"/>
  <c r="W1021" i="2" s="1"/>
  <c r="R374" i="2"/>
  <c r="V374" i="2" s="1"/>
  <c r="W374" i="2" s="1"/>
  <c r="R1061" i="2"/>
  <c r="V1061" i="2" s="1"/>
  <c r="W1061" i="2" s="1"/>
  <c r="R685" i="2"/>
  <c r="V685" i="2" s="1"/>
  <c r="W685" i="2" s="1"/>
  <c r="R1232" i="2"/>
  <c r="V1232" i="2" s="1"/>
  <c r="W1232" i="2" s="1"/>
  <c r="R1152" i="2"/>
  <c r="V1152" i="2" s="1"/>
  <c r="W1152" i="2" s="1"/>
  <c r="R629" i="2"/>
  <c r="V629" i="2" s="1"/>
  <c r="W629" i="2" s="1"/>
  <c r="R118" i="2"/>
  <c r="V118" i="2" s="1"/>
  <c r="W118" i="2" s="1"/>
  <c r="R100" i="2"/>
  <c r="V100" i="2" s="1"/>
  <c r="W100" i="2" s="1"/>
  <c r="R648" i="2"/>
  <c r="V648" i="2" s="1"/>
  <c r="W648" i="2" s="1"/>
  <c r="R294" i="2"/>
  <c r="V294" i="2" s="1"/>
  <c r="W294" i="2" s="1"/>
  <c r="R1677" i="2"/>
  <c r="V1677" i="2" s="1"/>
  <c r="W1677" i="2" s="1"/>
  <c r="R994" i="2"/>
  <c r="V994" i="2" s="1"/>
  <c r="W994" i="2" s="1"/>
  <c r="R1314" i="2"/>
  <c r="V1314" i="2" s="1"/>
  <c r="W1314" i="2" s="1"/>
  <c r="R886" i="2"/>
  <c r="V886" i="2" s="1"/>
  <c r="W886" i="2" s="1"/>
  <c r="R1445" i="2"/>
  <c r="V1445" i="2" s="1"/>
  <c r="W1445" i="2" s="1"/>
  <c r="R687" i="2"/>
  <c r="V687" i="2" s="1"/>
  <c r="W687" i="2" s="1"/>
  <c r="R1062" i="2"/>
  <c r="V1062" i="2" s="1"/>
  <c r="W1062" i="2" s="1"/>
  <c r="R1100" i="2"/>
  <c r="V1100" i="2" s="1"/>
  <c r="W1100" i="2" s="1"/>
  <c r="R1233" i="2"/>
  <c r="V1233" i="2" s="1"/>
  <c r="W1233" i="2" s="1"/>
  <c r="R28" i="2"/>
  <c r="V28" i="2" s="1"/>
  <c r="W28" i="2" s="1"/>
  <c r="R201" i="2"/>
  <c r="V201" i="2" s="1"/>
  <c r="W201" i="2" s="1"/>
  <c r="R647" i="2"/>
  <c r="V647" i="2" s="1"/>
  <c r="W647" i="2" s="1"/>
  <c r="R587" i="2"/>
  <c r="V587" i="2" s="1"/>
  <c r="W587" i="2" s="1"/>
  <c r="R123" i="2"/>
  <c r="V123" i="2" s="1"/>
  <c r="W123" i="2" s="1"/>
  <c r="R839" i="2"/>
  <c r="V839" i="2" s="1"/>
  <c r="W839" i="2" s="1"/>
  <c r="R890" i="2"/>
  <c r="V890" i="2" s="1"/>
  <c r="W890" i="2" s="1"/>
  <c r="R666" i="2"/>
  <c r="V666" i="2" s="1"/>
  <c r="W666" i="2" s="1"/>
  <c r="R1355" i="2"/>
  <c r="V1355" i="2" s="1"/>
  <c r="W1355" i="2" s="1"/>
  <c r="R990" i="2"/>
  <c r="V990" i="2" s="1"/>
  <c r="W990" i="2" s="1"/>
  <c r="R1237" i="2"/>
  <c r="V1237" i="2" s="1"/>
  <c r="W1237" i="2" s="1"/>
  <c r="R1480" i="2"/>
  <c r="V1480" i="2" s="1"/>
  <c r="W1480" i="2" s="1"/>
  <c r="R186" i="2"/>
  <c r="V186" i="2" s="1"/>
  <c r="W186" i="2" s="1"/>
  <c r="R758" i="2"/>
  <c r="V758" i="2" s="1"/>
  <c r="W758" i="2" s="1"/>
  <c r="R255" i="2"/>
  <c r="V255" i="2" s="1"/>
  <c r="W255" i="2" s="1"/>
  <c r="R544" i="2"/>
  <c r="V544" i="2" s="1"/>
  <c r="W544" i="2" s="1"/>
  <c r="R1290" i="2"/>
  <c r="V1290" i="2" s="1"/>
  <c r="W1290" i="2" s="1"/>
  <c r="R790" i="2"/>
  <c r="V790" i="2" s="1"/>
  <c r="W790" i="2" s="1"/>
  <c r="R616" i="2"/>
  <c r="V616" i="2" s="1"/>
  <c r="W616" i="2" s="1"/>
  <c r="R859" i="2"/>
  <c r="V859" i="2" s="1"/>
  <c r="W859" i="2" s="1"/>
  <c r="R831" i="2"/>
  <c r="V831" i="2" s="1"/>
  <c r="W831" i="2" s="1"/>
  <c r="R1223" i="2"/>
  <c r="V1223" i="2" s="1"/>
  <c r="W1223" i="2" s="1"/>
  <c r="R60" i="2"/>
  <c r="V60" i="2" s="1"/>
  <c r="W60" i="2" s="1"/>
  <c r="R1439" i="2"/>
  <c r="V1439" i="2" s="1"/>
  <c r="W1439" i="2" s="1"/>
  <c r="R1316" i="2"/>
  <c r="V1316" i="2" s="1"/>
  <c r="W1316" i="2" s="1"/>
  <c r="R641" i="2"/>
  <c r="V641" i="2" s="1"/>
  <c r="W641" i="2" s="1"/>
  <c r="R1097" i="2"/>
  <c r="V1097" i="2" s="1"/>
  <c r="W1097" i="2" s="1"/>
  <c r="R349" i="2"/>
  <c r="V349" i="2" s="1"/>
  <c r="W349" i="2" s="1"/>
  <c r="R316" i="2"/>
  <c r="V316" i="2" s="1"/>
  <c r="W316" i="2" s="1"/>
  <c r="R1296" i="2"/>
  <c r="V1296" i="2" s="1"/>
  <c r="W1296" i="2" s="1"/>
  <c r="R716" i="2"/>
  <c r="V716" i="2" s="1"/>
  <c r="W716" i="2" s="1"/>
  <c r="R819" i="2"/>
  <c r="V819" i="2" s="1"/>
  <c r="W819" i="2" s="1"/>
  <c r="R1035" i="2"/>
  <c r="V1035" i="2" s="1"/>
  <c r="W1035" i="2" s="1"/>
  <c r="R552" i="2"/>
  <c r="V552" i="2" s="1"/>
  <c r="W552" i="2" s="1"/>
  <c r="R951" i="2"/>
  <c r="V951" i="2" s="1"/>
  <c r="W951" i="2" s="1"/>
  <c r="R1421" i="2"/>
  <c r="V1421" i="2" s="1"/>
  <c r="W1421" i="2" s="1"/>
  <c r="R370" i="2"/>
  <c r="V370" i="2" s="1"/>
  <c r="W370" i="2" s="1"/>
  <c r="R333" i="2"/>
  <c r="V333" i="2" s="1"/>
  <c r="W333" i="2" s="1"/>
  <c r="R126" i="2"/>
  <c r="V126" i="2" s="1"/>
  <c r="W126" i="2" s="1"/>
  <c r="R795" i="2"/>
  <c r="V795" i="2" s="1"/>
  <c r="W795" i="2" s="1"/>
  <c r="R843" i="2"/>
  <c r="V843" i="2" s="1"/>
  <c r="W843" i="2" s="1"/>
  <c r="R1474" i="2"/>
  <c r="V1474" i="2" s="1"/>
  <c r="W1474" i="2" s="1"/>
  <c r="R960" i="2"/>
  <c r="V960" i="2" s="1"/>
  <c r="W960" i="2" s="1"/>
  <c r="R1176" i="2"/>
  <c r="V1176" i="2" s="1"/>
  <c r="W1176" i="2" s="1"/>
  <c r="R1178" i="2"/>
  <c r="V1178" i="2" s="1"/>
  <c r="W1178" i="2" s="1"/>
  <c r="R173" i="2"/>
  <c r="V173" i="2" s="1"/>
  <c r="W173" i="2" s="1"/>
  <c r="R1251" i="2"/>
  <c r="V1251" i="2" s="1"/>
  <c r="W1251" i="2" s="1"/>
  <c r="R980" i="2"/>
  <c r="V980" i="2" s="1"/>
  <c r="W980" i="2" s="1"/>
  <c r="R1373" i="2"/>
  <c r="V1373" i="2" s="1"/>
  <c r="W1373" i="2" s="1"/>
  <c r="R1352" i="2"/>
  <c r="V1352" i="2" s="1"/>
  <c r="W1352" i="2" s="1"/>
  <c r="R622" i="2"/>
  <c r="V622" i="2" s="1"/>
  <c r="W622" i="2" s="1"/>
  <c r="R589" i="2"/>
  <c r="V589" i="2" s="1"/>
  <c r="W589" i="2" s="1"/>
  <c r="R596" i="2"/>
  <c r="V596" i="2" s="1"/>
  <c r="W596" i="2" s="1"/>
  <c r="R1182" i="2"/>
  <c r="V1182" i="2" s="1"/>
  <c r="W1182" i="2" s="1"/>
  <c r="R897" i="2"/>
  <c r="V897" i="2" s="1"/>
  <c r="W897" i="2" s="1"/>
  <c r="R331" i="2"/>
  <c r="V331" i="2" s="1"/>
  <c r="W331" i="2" s="1"/>
  <c r="R185" i="2"/>
  <c r="V185" i="2" s="1"/>
  <c r="W185" i="2" s="1"/>
  <c r="R1203" i="2"/>
  <c r="V1203" i="2" s="1"/>
  <c r="W1203" i="2" s="1"/>
  <c r="R1245" i="2"/>
  <c r="V1245" i="2" s="1"/>
  <c r="W1245" i="2" s="1"/>
  <c r="R1442" i="2"/>
  <c r="V1442" i="2" s="1"/>
  <c r="W1442" i="2" s="1"/>
  <c r="R205" i="2"/>
  <c r="V205" i="2" s="1"/>
  <c r="W205" i="2" s="1"/>
  <c r="R651" i="2"/>
  <c r="V651" i="2" s="1"/>
  <c r="W651" i="2" s="1"/>
  <c r="R1181" i="2"/>
  <c r="V1181" i="2" s="1"/>
  <c r="W1181" i="2" s="1"/>
  <c r="R771" i="2"/>
  <c r="V771" i="2" s="1"/>
  <c r="W771" i="2" s="1"/>
  <c r="R817" i="2"/>
  <c r="V817" i="2" s="1"/>
  <c r="W817" i="2" s="1"/>
  <c r="R1462" i="2"/>
  <c r="V1462" i="2" s="1"/>
  <c r="W1462" i="2" s="1"/>
  <c r="R369" i="2"/>
  <c r="V369" i="2" s="1"/>
  <c r="W369" i="2" s="1"/>
  <c r="R298" i="2"/>
  <c r="V298" i="2" s="1"/>
  <c r="W298" i="2" s="1"/>
  <c r="R345" i="2"/>
  <c r="V345" i="2" s="1"/>
  <c r="W345" i="2" s="1"/>
  <c r="R689" i="2"/>
  <c r="V689" i="2" s="1"/>
  <c r="W689" i="2" s="1"/>
  <c r="R344" i="2"/>
  <c r="V344" i="2" s="1"/>
  <c r="W344" i="2" s="1"/>
  <c r="R1451" i="2"/>
  <c r="V1451" i="2" s="1"/>
  <c r="W1451" i="2" s="1"/>
  <c r="R1087" i="2"/>
  <c r="V1087" i="2" s="1"/>
  <c r="W1087" i="2" s="1"/>
  <c r="R527" i="2"/>
  <c r="V527" i="2" s="1"/>
  <c r="W527" i="2" s="1"/>
  <c r="R1086" i="2"/>
  <c r="V1086" i="2" s="1"/>
  <c r="W1086" i="2" s="1"/>
  <c r="R608" i="2"/>
  <c r="V608" i="2" s="1"/>
  <c r="W608" i="2" s="1"/>
  <c r="R785" i="2"/>
  <c r="V785" i="2" s="1"/>
  <c r="W785" i="2" s="1"/>
  <c r="R927" i="2"/>
  <c r="V927" i="2" s="1"/>
  <c r="W927" i="2" s="1"/>
  <c r="R50" i="2"/>
  <c r="V50" i="2" s="1"/>
  <c r="W50" i="2" s="1"/>
  <c r="R1334" i="2"/>
  <c r="V1334" i="2" s="1"/>
  <c r="W1334" i="2" s="1"/>
  <c r="R833" i="2"/>
  <c r="V833" i="2" s="1"/>
  <c r="W833" i="2" s="1"/>
  <c r="R420" i="2"/>
  <c r="V420" i="2" s="1"/>
  <c r="W420" i="2" s="1"/>
  <c r="R307" i="2"/>
  <c r="V307" i="2" s="1"/>
  <c r="W307" i="2" s="1"/>
  <c r="R23" i="2"/>
  <c r="V23" i="2" s="1"/>
  <c r="W23" i="2" s="1"/>
  <c r="R957" i="2"/>
  <c r="V957" i="2" s="1"/>
  <c r="W957" i="2" s="1"/>
  <c r="R593" i="2"/>
  <c r="V593" i="2" s="1"/>
  <c r="W593" i="2" s="1"/>
  <c r="R857" i="2"/>
  <c r="V857" i="2" s="1"/>
  <c r="W857" i="2" s="1"/>
  <c r="R287" i="2"/>
  <c r="V287" i="2" s="1"/>
  <c r="W287" i="2" s="1"/>
  <c r="R571" i="2"/>
  <c r="V571" i="2" s="1"/>
  <c r="W571" i="2" s="1"/>
  <c r="R519" i="2"/>
  <c r="V519" i="2" s="1"/>
  <c r="W519" i="2" s="1"/>
  <c r="R279" i="2"/>
  <c r="V279" i="2" s="1"/>
  <c r="W279" i="2" s="1"/>
  <c r="R509" i="2"/>
  <c r="V509" i="2" s="1"/>
  <c r="W509" i="2" s="1"/>
  <c r="R586" i="2"/>
  <c r="V586" i="2" s="1"/>
  <c r="W586" i="2" s="1"/>
  <c r="R1423" i="2"/>
  <c r="V1423" i="2" s="1"/>
  <c r="W1423" i="2" s="1"/>
  <c r="R277" i="2"/>
  <c r="V277" i="2" s="1"/>
  <c r="W277" i="2" s="1"/>
  <c r="R1679" i="2"/>
  <c r="V1679" i="2" s="1"/>
  <c r="W1679" i="2" s="1"/>
  <c r="R394" i="2"/>
  <c r="V394" i="2" s="1"/>
  <c r="W394" i="2" s="1"/>
  <c r="R938" i="2"/>
  <c r="V938" i="2" s="1"/>
  <c r="W938" i="2" s="1"/>
  <c r="R274" i="2"/>
  <c r="V274" i="2" s="1"/>
  <c r="W274" i="2" s="1"/>
  <c r="R1734" i="2"/>
  <c r="V1734" i="2" s="1"/>
  <c r="W1734" i="2" s="1"/>
  <c r="R1198" i="2"/>
  <c r="V1198" i="2" s="1"/>
  <c r="W1198" i="2" s="1"/>
  <c r="R577" i="2"/>
  <c r="V577" i="2" s="1"/>
  <c r="W577" i="2" s="1"/>
  <c r="R1273" i="2"/>
  <c r="V1273" i="2" s="1"/>
  <c r="W1273" i="2" s="1"/>
  <c r="R615" i="2"/>
  <c r="V615" i="2" s="1"/>
  <c r="W615" i="2" s="1"/>
  <c r="R35" i="2"/>
  <c r="V35" i="2" s="1"/>
  <c r="W35" i="2" s="1"/>
  <c r="R1428" i="2"/>
  <c r="V1428" i="2" s="1"/>
  <c r="W1428" i="2" s="1"/>
  <c r="R672" i="2"/>
  <c r="V672" i="2" s="1"/>
  <c r="W672" i="2" s="1"/>
  <c r="R1054" i="2"/>
  <c r="V1054" i="2" s="1"/>
  <c r="W1054" i="2" s="1"/>
  <c r="R533" i="2"/>
  <c r="V533" i="2" s="1"/>
  <c r="W533" i="2" s="1"/>
  <c r="R470" i="2"/>
  <c r="V470" i="2" s="1"/>
  <c r="W470" i="2" s="1"/>
  <c r="R872" i="2"/>
  <c r="V872" i="2" s="1"/>
  <c r="W872" i="2" s="1"/>
  <c r="R1443" i="2"/>
  <c r="V1443" i="2" s="1"/>
  <c r="W1443" i="2" s="1"/>
  <c r="R1095" i="2"/>
  <c r="V1095" i="2" s="1"/>
  <c r="W1095" i="2" s="1"/>
  <c r="R1250" i="2"/>
  <c r="V1250" i="2" s="1"/>
  <c r="W1250" i="2" s="1"/>
  <c r="R228" i="2"/>
  <c r="V228" i="2" s="1"/>
  <c r="W228" i="2" s="1"/>
  <c r="R1482" i="2"/>
  <c r="V1482" i="2" s="1"/>
  <c r="W1482" i="2" s="1"/>
  <c r="R619" i="2"/>
  <c r="V619" i="2" s="1"/>
  <c r="W619" i="2" s="1"/>
  <c r="R89" i="2"/>
  <c r="V89" i="2" s="1"/>
  <c r="W89" i="2" s="1"/>
  <c r="R321" i="2"/>
  <c r="V321" i="2" s="1"/>
  <c r="W321" i="2" s="1"/>
  <c r="R558" i="2"/>
  <c r="V558" i="2" s="1"/>
  <c r="W558" i="2" s="1"/>
  <c r="R1450" i="2"/>
  <c r="V1450" i="2" s="1"/>
  <c r="W1450" i="2" s="1"/>
  <c r="R623" i="2"/>
  <c r="V623" i="2" s="1"/>
  <c r="W623" i="2" s="1"/>
  <c r="R249" i="2"/>
  <c r="V249" i="2" s="1"/>
  <c r="W249" i="2" s="1"/>
  <c r="R561" i="2"/>
  <c r="V561" i="2" s="1"/>
  <c r="W561" i="2" s="1"/>
  <c r="R580" i="2"/>
  <c r="V580" i="2" s="1"/>
  <c r="W580" i="2" s="1"/>
  <c r="R862" i="2"/>
  <c r="V862" i="2" s="1"/>
  <c r="W862" i="2" s="1"/>
  <c r="R1168" i="2"/>
  <c r="V1168" i="2" s="1"/>
  <c r="W1168" i="2" s="1"/>
  <c r="R429" i="2"/>
  <c r="V429" i="2" s="1"/>
  <c r="W429" i="2" s="1"/>
  <c r="R417" i="2"/>
  <c r="V417" i="2" s="1"/>
  <c r="W417" i="2" s="1"/>
  <c r="R145" i="2"/>
  <c r="V145" i="2" s="1"/>
  <c r="W145" i="2" s="1"/>
  <c r="R132" i="2"/>
  <c r="V132" i="2" s="1"/>
  <c r="W132" i="2" s="1"/>
  <c r="R160" i="2"/>
  <c r="V160" i="2" s="1"/>
  <c r="W160" i="2" s="1"/>
  <c r="R191" i="2"/>
  <c r="V191" i="2" s="1"/>
  <c r="W191" i="2" s="1"/>
  <c r="R1127" i="2"/>
  <c r="V1127" i="2" s="1"/>
  <c r="W1127" i="2" s="1"/>
  <c r="R811" i="2"/>
  <c r="V811" i="2" s="1"/>
  <c r="W811" i="2" s="1"/>
  <c r="R1431" i="2"/>
  <c r="V1431" i="2" s="1"/>
  <c r="W1431" i="2" s="1"/>
  <c r="R1040" i="2"/>
  <c r="V1040" i="2" s="1"/>
  <c r="W1040" i="2" s="1"/>
  <c r="R1171" i="2"/>
  <c r="V1171" i="2" s="1"/>
  <c r="W1171" i="2" s="1"/>
  <c r="R582" i="2"/>
  <c r="V582" i="2" s="1"/>
  <c r="W582" i="2" s="1"/>
  <c r="R55" i="2"/>
  <c r="V55" i="2" s="1"/>
  <c r="W55" i="2" s="1"/>
  <c r="R382" i="2"/>
  <c r="V382" i="2" s="1"/>
  <c r="W382" i="2" s="1"/>
  <c r="R328" i="2"/>
  <c r="V328" i="2" s="1"/>
  <c r="W328" i="2" s="1"/>
  <c r="R284" i="2"/>
  <c r="V284" i="2" s="1"/>
  <c r="W284" i="2" s="1"/>
  <c r="R419" i="2"/>
  <c r="V419" i="2" s="1"/>
  <c r="W419" i="2" s="1"/>
  <c r="R908" i="2"/>
  <c r="V908" i="2" s="1"/>
  <c r="W908" i="2" s="1"/>
  <c r="R584" i="2"/>
  <c r="V584" i="2" s="1"/>
  <c r="W584" i="2" s="1"/>
  <c r="R5" i="2"/>
  <c r="V5" i="2" s="1"/>
  <c r="W5" i="2" s="1"/>
  <c r="R490" i="2"/>
  <c r="V490" i="2" s="1"/>
  <c r="W490" i="2" s="1"/>
  <c r="R481" i="2"/>
  <c r="V481" i="2" s="1"/>
  <c r="W481" i="2" s="1"/>
  <c r="R834" i="2"/>
  <c r="V834" i="2" s="1"/>
  <c r="W834" i="2" s="1"/>
  <c r="R40" i="2"/>
  <c r="V40" i="2" s="1"/>
  <c r="W40" i="2" s="1"/>
  <c r="R202" i="2"/>
  <c r="V202" i="2" s="1"/>
  <c r="W202" i="2" s="1"/>
  <c r="R424" i="2"/>
  <c r="V424" i="2" s="1"/>
  <c r="W424" i="2" s="1"/>
  <c r="R1211" i="2"/>
  <c r="V1211" i="2" s="1"/>
  <c r="W1211" i="2" s="1"/>
  <c r="R877" i="2"/>
  <c r="V877" i="2" s="1"/>
  <c r="W877" i="2" s="1"/>
  <c r="R570" i="2"/>
  <c r="V570" i="2" s="1"/>
  <c r="W570" i="2" s="1"/>
  <c r="R32" i="2"/>
  <c r="V32" i="2" s="1"/>
  <c r="W32" i="2" s="1"/>
  <c r="R183" i="2"/>
  <c r="V183" i="2" s="1"/>
  <c r="W183" i="2" s="1"/>
  <c r="R482" i="2"/>
  <c r="V482" i="2" s="1"/>
  <c r="W482" i="2" s="1"/>
  <c r="R37" i="2"/>
  <c r="V37" i="2" s="1"/>
  <c r="W37" i="2" s="1"/>
  <c r="R537" i="2"/>
  <c r="V537" i="2" s="1"/>
  <c r="W537" i="2" s="1"/>
  <c r="R1229" i="2"/>
  <c r="V1229" i="2" s="1"/>
  <c r="W1229" i="2" s="1"/>
  <c r="R1227" i="2"/>
  <c r="V1227" i="2" s="1"/>
  <c r="W1227" i="2" s="1"/>
  <c r="R14" i="2"/>
  <c r="V14" i="2" s="1"/>
  <c r="W14" i="2" s="1"/>
  <c r="R467" i="2"/>
  <c r="V467" i="2" s="1"/>
  <c r="W467" i="2" s="1"/>
  <c r="R505" i="2"/>
  <c r="V505" i="2" s="1"/>
  <c r="W505" i="2" s="1"/>
  <c r="R204" i="2"/>
  <c r="V204" i="2" s="1"/>
  <c r="W204" i="2" s="1"/>
  <c r="R1157" i="2"/>
  <c r="V1157" i="2" s="1"/>
  <c r="W1157" i="2" s="1"/>
  <c r="R775" i="2"/>
  <c r="V775" i="2" s="1"/>
  <c r="W775" i="2" s="1"/>
  <c r="R337" i="2"/>
  <c r="V337" i="2" s="1"/>
  <c r="W337" i="2" s="1"/>
  <c r="R498" i="2"/>
  <c r="V498" i="2" s="1"/>
  <c r="W498" i="2" s="1"/>
  <c r="R710" i="2"/>
  <c r="V710" i="2" s="1"/>
  <c r="W710" i="2" s="1"/>
  <c r="R764" i="2"/>
  <c r="V764" i="2" s="1"/>
  <c r="W764" i="2" s="1"/>
  <c r="R1397" i="2"/>
  <c r="V1397" i="2" s="1"/>
  <c r="W1397" i="2" s="1"/>
  <c r="R1200" i="2"/>
  <c r="V1200" i="2" s="1"/>
  <c r="W1200" i="2" s="1"/>
  <c r="R547" i="2"/>
  <c r="V547" i="2" s="1"/>
  <c r="W547" i="2" s="1"/>
  <c r="R1238" i="2"/>
  <c r="V1238" i="2" s="1"/>
  <c r="W1238" i="2" s="1"/>
  <c r="R218" i="2"/>
  <c r="V218" i="2" s="1"/>
  <c r="W218" i="2" s="1"/>
  <c r="R74" i="2"/>
  <c r="V74" i="2" s="1"/>
  <c r="W74" i="2" s="1"/>
  <c r="R701" i="2"/>
  <c r="V701" i="2" s="1"/>
  <c r="W701" i="2" s="1"/>
  <c r="R68" i="2"/>
  <c r="V68" i="2" s="1"/>
  <c r="W68" i="2" s="1"/>
  <c r="R260" i="2"/>
  <c r="V260" i="2" s="1"/>
  <c r="W260" i="2" s="1"/>
  <c r="R719" i="2"/>
  <c r="V719" i="2" s="1"/>
  <c r="W719" i="2" s="1"/>
  <c r="R88" i="2"/>
  <c r="V88" i="2" s="1"/>
  <c r="W88" i="2" s="1"/>
  <c r="R882" i="2"/>
  <c r="V882" i="2" s="1"/>
  <c r="W882" i="2" s="1"/>
  <c r="R355" i="2"/>
  <c r="V355" i="2" s="1"/>
  <c r="W355" i="2" s="1"/>
  <c r="R542" i="2"/>
  <c r="V542" i="2" s="1"/>
  <c r="W542" i="2" s="1"/>
  <c r="R430" i="2"/>
  <c r="V430" i="2" s="1"/>
  <c r="W430" i="2" s="1"/>
  <c r="R670" i="2"/>
  <c r="V670" i="2" s="1"/>
  <c r="W670" i="2" s="1"/>
  <c r="R41" i="2"/>
  <c r="V41" i="2" s="1"/>
  <c r="W41" i="2" s="1"/>
  <c r="R1029" i="2"/>
  <c r="V1029" i="2" s="1"/>
  <c r="W1029" i="2" s="1"/>
  <c r="R1234" i="2"/>
  <c r="V1234" i="2" s="1"/>
  <c r="W1234" i="2" s="1"/>
  <c r="R112" i="2"/>
  <c r="V112" i="2" s="1"/>
  <c r="W112" i="2" s="1"/>
  <c r="R759" i="2"/>
  <c r="V759" i="2" s="1"/>
  <c r="W759" i="2" s="1"/>
  <c r="R1336" i="2"/>
  <c r="V1336" i="2" s="1"/>
  <c r="W1336" i="2" s="1"/>
  <c r="R1299" i="2"/>
  <c r="V1299" i="2" s="1"/>
  <c r="W1299" i="2" s="1"/>
  <c r="R543" i="2"/>
  <c r="V543" i="2" s="1"/>
  <c r="W543" i="2" s="1"/>
  <c r="R869" i="2"/>
  <c r="V869" i="2" s="1"/>
  <c r="W869" i="2" s="1"/>
  <c r="R590" i="2"/>
  <c r="V590" i="2" s="1"/>
  <c r="W590" i="2" s="1"/>
  <c r="R371" i="2"/>
  <c r="V371" i="2" s="1"/>
  <c r="W371" i="2" s="1"/>
  <c r="R137" i="2"/>
  <c r="V137" i="2" s="1"/>
  <c r="W137" i="2" s="1"/>
  <c r="R624" i="2"/>
  <c r="V624" i="2" s="1"/>
  <c r="W624" i="2" s="1"/>
  <c r="R460" i="2"/>
  <c r="V460" i="2" s="1"/>
  <c r="W460" i="2" s="1"/>
  <c r="R572" i="2"/>
  <c r="V572" i="2" s="1"/>
  <c r="W572" i="2" s="1"/>
  <c r="R605" i="2"/>
  <c r="V605" i="2" s="1"/>
  <c r="W605" i="2" s="1"/>
  <c r="R365" i="2"/>
  <c r="V365" i="2" s="1"/>
  <c r="W365" i="2" s="1"/>
  <c r="R214" i="2"/>
  <c r="V214" i="2" s="1"/>
  <c r="W214" i="2" s="1"/>
  <c r="R415" i="2"/>
  <c r="V415" i="2" s="1"/>
  <c r="W415" i="2" s="1"/>
  <c r="R1688" i="2"/>
  <c r="V1688" i="2" s="1"/>
  <c r="W1688" i="2" s="1"/>
  <c r="R646" i="2"/>
  <c r="V646" i="2" s="1"/>
  <c r="W646" i="2" s="1"/>
  <c r="R1432" i="2"/>
  <c r="V1432" i="2" s="1"/>
  <c r="W1432" i="2" s="1"/>
  <c r="R791" i="2"/>
  <c r="V791" i="2" s="1"/>
  <c r="W791" i="2" s="1"/>
  <c r="R6" i="2"/>
  <c r="V6" i="2" s="1"/>
  <c r="W6" i="2" s="1"/>
  <c r="R1387" i="2"/>
  <c r="V1387" i="2" s="1"/>
  <c r="W1387" i="2" s="1"/>
  <c r="R1424" i="2"/>
  <c r="V1424" i="2" s="1"/>
  <c r="W1424" i="2" s="1"/>
  <c r="R895" i="2"/>
  <c r="V895" i="2" s="1"/>
  <c r="W895" i="2" s="1"/>
  <c r="R1099" i="2"/>
  <c r="V1099" i="2" s="1"/>
  <c r="W1099" i="2" s="1"/>
  <c r="R1216" i="2"/>
  <c r="V1216" i="2" s="1"/>
  <c r="W1216" i="2" s="1"/>
  <c r="R1083" i="2"/>
  <c r="V1083" i="2" s="1"/>
  <c r="W1083" i="2" s="1"/>
  <c r="R1383" i="2"/>
  <c r="V1383" i="2" s="1"/>
  <c r="W1383" i="2" s="1"/>
  <c r="R44" i="2"/>
  <c r="V44" i="2" s="1"/>
  <c r="W44" i="2" s="1"/>
  <c r="R1681" i="2"/>
  <c r="V1681" i="2" s="1"/>
  <c r="W1681" i="2" s="1"/>
  <c r="R70" i="2"/>
  <c r="V70" i="2" s="1"/>
  <c r="W70" i="2" s="1"/>
  <c r="R1175" i="2"/>
  <c r="V1175" i="2" s="1"/>
  <c r="W1175" i="2" s="1"/>
  <c r="R1705" i="2"/>
  <c r="V1705" i="2" s="1"/>
  <c r="W1705" i="2" s="1"/>
  <c r="R568" i="2"/>
  <c r="V568" i="2" s="1"/>
  <c r="W568" i="2" s="1"/>
  <c r="R332" i="2"/>
  <c r="V332" i="2" s="1"/>
  <c r="W332" i="2" s="1"/>
  <c r="R904" i="2"/>
  <c r="V904" i="2" s="1"/>
  <c r="W904" i="2" s="1"/>
  <c r="R878" i="2"/>
  <c r="V878" i="2" s="1"/>
  <c r="W878" i="2" s="1"/>
  <c r="R1458" i="2"/>
  <c r="V1458" i="2" s="1"/>
  <c r="W1458" i="2" s="1"/>
  <c r="R607" i="2"/>
  <c r="V607" i="2" s="1"/>
  <c r="W607" i="2" s="1"/>
  <c r="R1162" i="2"/>
  <c r="V1162" i="2" s="1"/>
  <c r="W1162" i="2" s="1"/>
  <c r="R1113" i="2"/>
  <c r="V1113" i="2" s="1"/>
  <c r="W1113" i="2" s="1"/>
  <c r="R1441" i="2"/>
  <c r="V1441" i="2" s="1"/>
  <c r="W1441" i="2" s="1"/>
  <c r="R233" i="2"/>
  <c r="V233" i="2" s="1"/>
  <c r="W233" i="2" s="1"/>
  <c r="R433" i="2"/>
  <c r="V433" i="2" s="1"/>
  <c r="W433" i="2" s="1"/>
  <c r="R1184" i="2"/>
  <c r="V1184" i="2" s="1"/>
  <c r="W1184" i="2" s="1"/>
  <c r="R379" i="2"/>
  <c r="V379" i="2" s="1"/>
  <c r="W379" i="2" s="1"/>
  <c r="R19" i="2"/>
  <c r="V19" i="2" s="1"/>
  <c r="W19" i="2" s="1"/>
  <c r="R39" i="2"/>
  <c r="V39" i="2" s="1"/>
  <c r="W39" i="2" s="1"/>
  <c r="R190" i="2"/>
  <c r="V190" i="2" s="1"/>
  <c r="W190" i="2" s="1"/>
  <c r="R128" i="2"/>
  <c r="V128" i="2" s="1"/>
  <c r="W128" i="2" s="1"/>
  <c r="R390" i="2"/>
  <c r="V390" i="2" s="1"/>
  <c r="W390" i="2" s="1"/>
  <c r="R237" i="2"/>
  <c r="V237" i="2" s="1"/>
  <c r="W237" i="2" s="1"/>
  <c r="R281" i="2"/>
  <c r="V281" i="2" s="1"/>
  <c r="W281" i="2" s="1"/>
  <c r="R1712" i="2"/>
  <c r="V1712" i="2" s="1"/>
  <c r="W1712" i="2" s="1"/>
  <c r="R90" i="2"/>
  <c r="V90" i="2" s="1"/>
  <c r="W90" i="2" s="1"/>
  <c r="R992" i="2"/>
  <c r="V992" i="2" s="1"/>
  <c r="W992" i="2" s="1"/>
  <c r="R485" i="2"/>
  <c r="V485" i="2" s="1"/>
  <c r="W485" i="2" s="1"/>
  <c r="R22" i="2"/>
  <c r="V22" i="2" s="1"/>
  <c r="W22" i="2" s="1"/>
  <c r="R781" i="2"/>
  <c r="V781" i="2" s="1"/>
  <c r="W781" i="2" s="1"/>
  <c r="R1213" i="2"/>
  <c r="V1213" i="2" s="1"/>
  <c r="W1213" i="2" s="1"/>
  <c r="R1130" i="2"/>
  <c r="V1130" i="2" s="1"/>
  <c r="W1130" i="2" s="1"/>
  <c r="R1003" i="2"/>
  <c r="V1003" i="2" s="1"/>
  <c r="W1003" i="2" s="1"/>
  <c r="R1708" i="2"/>
  <c r="V1708" i="2" s="1"/>
  <c r="W1708" i="2" s="1"/>
  <c r="R821" i="2"/>
  <c r="V821" i="2" s="1"/>
  <c r="W821" i="2" s="1"/>
  <c r="R1335" i="2"/>
  <c r="V1335" i="2" s="1"/>
  <c r="W1335" i="2" s="1"/>
  <c r="R832" i="2"/>
  <c r="V832" i="2" s="1"/>
  <c r="W832" i="2" s="1"/>
  <c r="R923" i="2"/>
  <c r="V923" i="2" s="1"/>
  <c r="W923" i="2" s="1"/>
  <c r="R691" i="2"/>
  <c r="V691" i="2" s="1"/>
  <c r="W691" i="2" s="1"/>
  <c r="R256" i="2"/>
  <c r="V256" i="2" s="1"/>
  <c r="W256" i="2" s="1"/>
  <c r="R752" i="2"/>
  <c r="V752" i="2" s="1"/>
  <c r="W752" i="2" s="1"/>
  <c r="R546" i="2"/>
  <c r="V546" i="2" s="1"/>
  <c r="W546" i="2" s="1"/>
  <c r="R268" i="2"/>
  <c r="V268" i="2" s="1"/>
  <c r="W268" i="2" s="1"/>
  <c r="R563" i="2"/>
  <c r="V563" i="2" s="1"/>
  <c r="W563" i="2" s="1"/>
  <c r="R644" i="2"/>
  <c r="V644" i="2" s="1"/>
  <c r="W644" i="2" s="1"/>
  <c r="R1089" i="2"/>
  <c r="V1089" i="2" s="1"/>
  <c r="W1089" i="2" s="1"/>
  <c r="R603" i="2"/>
  <c r="V603" i="2" s="1"/>
  <c r="W603" i="2" s="1"/>
  <c r="R883" i="2"/>
  <c r="V883" i="2" s="1"/>
  <c r="W883" i="2" s="1"/>
  <c r="R161" i="2"/>
  <c r="V161" i="2" s="1"/>
  <c r="W161" i="2" s="1"/>
  <c r="R171" i="2"/>
  <c r="V171" i="2" s="1"/>
  <c r="W171" i="2" s="1"/>
  <c r="R1476" i="2"/>
  <c r="V1476" i="2" s="1"/>
  <c r="W1476" i="2" s="1"/>
  <c r="R1105" i="2"/>
  <c r="V1105" i="2" s="1"/>
  <c r="W1105" i="2" s="1"/>
  <c r="R934" i="2"/>
  <c r="V934" i="2" s="1"/>
  <c r="W934" i="2" s="1"/>
  <c r="R36" i="2"/>
  <c r="V36" i="2" s="1"/>
  <c r="W36" i="2" s="1"/>
  <c r="R149" i="2"/>
  <c r="V149" i="2" s="1"/>
  <c r="W149" i="2" s="1"/>
  <c r="R305" i="2"/>
  <c r="V305" i="2" s="1"/>
  <c r="W305" i="2" s="1"/>
  <c r="R840" i="2"/>
  <c r="V840" i="2" s="1"/>
  <c r="W840" i="2" s="1"/>
  <c r="R1221" i="2"/>
  <c r="V1221" i="2" s="1"/>
  <c r="W1221" i="2" s="1"/>
  <c r="R853" i="2"/>
  <c r="V853" i="2" s="1"/>
  <c r="W853" i="2" s="1"/>
  <c r="R935" i="2"/>
  <c r="V935" i="2" s="1"/>
  <c r="W935" i="2" s="1"/>
  <c r="R1005" i="2"/>
  <c r="V1005" i="2" s="1"/>
  <c r="W1005" i="2" s="1"/>
  <c r="R638" i="2"/>
  <c r="V638" i="2" s="1"/>
  <c r="W638" i="2" s="1"/>
  <c r="R1117" i="2"/>
  <c r="V1117" i="2" s="1"/>
  <c r="W1117" i="2" s="1"/>
  <c r="R888" i="2"/>
  <c r="V888" i="2" s="1"/>
  <c r="W888" i="2" s="1"/>
  <c r="R1396" i="2"/>
  <c r="V1396" i="2" s="1"/>
  <c r="W1396" i="2" s="1"/>
  <c r="R76" i="2"/>
  <c r="V76" i="2" s="1"/>
  <c r="W76" i="2" s="1"/>
  <c r="R34" i="2"/>
  <c r="V34" i="2" s="1"/>
  <c r="W34" i="2" s="1"/>
  <c r="R1420" i="2"/>
  <c r="V1420" i="2" s="1"/>
  <c r="W1420" i="2" s="1"/>
  <c r="R634" i="2"/>
  <c r="V634" i="2" s="1"/>
  <c r="W634" i="2" s="1"/>
  <c r="R919" i="2"/>
  <c r="V919" i="2" s="1"/>
  <c r="W919" i="2" s="1"/>
  <c r="R1051" i="2"/>
  <c r="V1051" i="2" s="1"/>
  <c r="W1051" i="2" s="1"/>
  <c r="R395" i="2"/>
  <c r="V395" i="2" s="1"/>
  <c r="W395" i="2" s="1"/>
  <c r="R1333" i="2"/>
  <c r="V1333" i="2" s="1"/>
  <c r="W1333" i="2" s="1"/>
  <c r="R1014" i="2"/>
  <c r="V1014" i="2" s="1"/>
  <c r="W1014" i="2" s="1"/>
  <c r="R1284" i="2"/>
  <c r="V1284" i="2" s="1"/>
  <c r="W1284" i="2" s="1"/>
  <c r="R1079" i="2"/>
  <c r="V1079" i="2" s="1"/>
  <c r="W1079" i="2" s="1"/>
  <c r="R788" i="2"/>
  <c r="V788" i="2" s="1"/>
  <c r="W788" i="2" s="1"/>
  <c r="R122" i="2"/>
  <c r="V122" i="2" s="1"/>
  <c r="W122" i="2" s="1"/>
  <c r="R148" i="2"/>
  <c r="V148" i="2" s="1"/>
  <c r="W148" i="2" s="1"/>
  <c r="R1177" i="2"/>
  <c r="V1177" i="2" s="1"/>
  <c r="W1177" i="2" s="1"/>
  <c r="R438" i="2"/>
  <c r="V438" i="2" s="1"/>
  <c r="W438" i="2" s="1"/>
  <c r="R776" i="2"/>
  <c r="V776" i="2" s="1"/>
  <c r="W776" i="2" s="1"/>
  <c r="R1718" i="2"/>
  <c r="V1718" i="2" s="1"/>
  <c r="W1718" i="2" s="1"/>
  <c r="R1165" i="2"/>
  <c r="V1165" i="2" s="1"/>
  <c r="W1165" i="2" s="1"/>
  <c r="R82" i="2"/>
  <c r="V82" i="2" s="1"/>
  <c r="W82" i="2" s="1"/>
  <c r="R282" i="2"/>
  <c r="V282" i="2" s="1"/>
  <c r="W282" i="2" s="1"/>
  <c r="R1402" i="2"/>
  <c r="V1402" i="2" s="1"/>
  <c r="W1402" i="2" s="1"/>
  <c r="R760" i="2"/>
  <c r="V760" i="2" s="1"/>
  <c r="W760" i="2" s="1"/>
  <c r="R735" i="2"/>
  <c r="V735" i="2" s="1"/>
  <c r="W735" i="2" s="1"/>
  <c r="R1315" i="2"/>
  <c r="V1315" i="2" s="1"/>
  <c r="W1315" i="2" s="1"/>
  <c r="R559" i="2"/>
  <c r="V559" i="2" s="1"/>
  <c r="W559" i="2" s="1"/>
  <c r="R1741" i="2"/>
  <c r="V1741" i="2" s="1"/>
  <c r="W1741" i="2" s="1"/>
  <c r="R1692" i="2"/>
  <c r="V1692" i="2" s="1"/>
  <c r="W1692" i="2" s="1"/>
  <c r="R1140" i="2"/>
  <c r="V1140" i="2" s="1"/>
  <c r="W1140" i="2" s="1"/>
  <c r="R155" i="2"/>
  <c r="V155" i="2" s="1"/>
  <c r="W155" i="2" s="1"/>
  <c r="R1493" i="2"/>
  <c r="V1493" i="2" s="1"/>
  <c r="W1493" i="2" s="1"/>
  <c r="R140" i="2"/>
  <c r="V140" i="2" s="1"/>
  <c r="W140" i="2" s="1"/>
  <c r="R916" i="2"/>
  <c r="V916" i="2" s="1"/>
  <c r="W916" i="2" s="1"/>
  <c r="R708" i="2"/>
  <c r="V708" i="2" s="1"/>
  <c r="W708" i="2" s="1"/>
  <c r="R212" i="2"/>
  <c r="V212" i="2" s="1"/>
  <c r="W212" i="2" s="1"/>
  <c r="R1134" i="2"/>
  <c r="V1134" i="2" s="1"/>
  <c r="W1134" i="2" s="1"/>
  <c r="R1671" i="2"/>
  <c r="V1671" i="2" s="1"/>
  <c r="W1671" i="2" s="1"/>
  <c r="R187" i="2"/>
  <c r="V187" i="2" s="1"/>
  <c r="W187" i="2" s="1"/>
  <c r="R252" i="2"/>
  <c r="V252" i="2" s="1"/>
  <c r="W252" i="2" s="1"/>
  <c r="R327" i="2"/>
  <c r="V327" i="2" s="1"/>
  <c r="W327" i="2" s="1"/>
  <c r="R1416" i="2"/>
  <c r="V1416" i="2" s="1"/>
  <c r="W1416" i="2" s="1"/>
  <c r="R426" i="2"/>
  <c r="V426" i="2" s="1"/>
  <c r="W426" i="2" s="1"/>
  <c r="R1252" i="2"/>
  <c r="V1252" i="2" s="1"/>
  <c r="W1252" i="2" s="1"/>
  <c r="R1244" i="2"/>
  <c r="V1244" i="2" s="1"/>
  <c r="W1244" i="2" s="1"/>
  <c r="R273" i="2"/>
  <c r="V273" i="2" s="1"/>
  <c r="W273" i="2" s="1"/>
  <c r="R783" i="2"/>
  <c r="V783" i="2" s="1"/>
  <c r="W783" i="2" s="1"/>
  <c r="R905" i="2"/>
  <c r="V905" i="2" s="1"/>
  <c r="W905" i="2" s="1"/>
  <c r="R1190" i="2"/>
  <c r="V1190" i="2" s="1"/>
  <c r="W1190" i="2" s="1"/>
  <c r="R1701" i="2"/>
  <c r="V1701" i="2" s="1"/>
  <c r="W1701" i="2" s="1"/>
  <c r="R1720" i="2"/>
  <c r="V1720" i="2" s="1"/>
  <c r="W1720" i="2" s="1"/>
  <c r="R632" i="2"/>
  <c r="V632" i="2" s="1"/>
  <c r="W632" i="2" s="1"/>
  <c r="R275" i="2"/>
  <c r="V275" i="2" s="1"/>
  <c r="W275" i="2" s="1"/>
  <c r="R534" i="2"/>
  <c r="V534" i="2" s="1"/>
  <c r="W534" i="2" s="1"/>
  <c r="R997" i="2"/>
  <c r="V997" i="2" s="1"/>
  <c r="W997" i="2" s="1"/>
  <c r="R48" i="2"/>
  <c r="V48" i="2" s="1"/>
  <c r="W48" i="2" s="1"/>
  <c r="R660" i="2"/>
  <c r="V660" i="2" s="1"/>
  <c r="W660" i="2" s="1"/>
  <c r="R686" i="2"/>
  <c r="V686" i="2" s="1"/>
  <c r="W686" i="2" s="1"/>
  <c r="R1235" i="2"/>
  <c r="V1235" i="2" s="1"/>
  <c r="W1235" i="2" s="1"/>
  <c r="R388" i="2"/>
  <c r="V388" i="2" s="1"/>
  <c r="W388" i="2" s="1"/>
  <c r="R131" i="2"/>
  <c r="V131" i="2" s="1"/>
  <c r="W131" i="2" s="1"/>
  <c r="R1730" i="2"/>
  <c r="V1730" i="2" s="1"/>
  <c r="W1730" i="2" s="1"/>
  <c r="R932" i="2"/>
  <c r="V932" i="2" s="1"/>
  <c r="W932" i="2" s="1"/>
  <c r="R259" i="2"/>
  <c r="V259" i="2" s="1"/>
  <c r="W259" i="2" s="1"/>
  <c r="R1218" i="2"/>
  <c r="V1218" i="2" s="1"/>
  <c r="W1218" i="2" s="1"/>
  <c r="R49" i="2"/>
  <c r="V49" i="2" s="1"/>
  <c r="W49" i="2" s="1"/>
  <c r="R830" i="2"/>
  <c r="V830" i="2" s="1"/>
  <c r="W830" i="2" s="1"/>
  <c r="R1046" i="2"/>
  <c r="V1046" i="2" s="1"/>
  <c r="W1046" i="2" s="1"/>
  <c r="R1069" i="2"/>
  <c r="V1069" i="2" s="1"/>
  <c r="W1069" i="2" s="1"/>
  <c r="R1410" i="2"/>
  <c r="V1410" i="2" s="1"/>
  <c r="W1410" i="2" s="1"/>
  <c r="R1004" i="2"/>
  <c r="V1004" i="2" s="1"/>
  <c r="W1004" i="2" s="1"/>
  <c r="R197" i="2"/>
  <c r="V197" i="2" s="1"/>
  <c r="W197" i="2" s="1"/>
  <c r="R825" i="2"/>
  <c r="V825" i="2" s="1"/>
  <c r="W825" i="2" s="1"/>
  <c r="R717" i="2"/>
  <c r="V717" i="2" s="1"/>
  <c r="W717" i="2" s="1"/>
  <c r="R784" i="2"/>
  <c r="V784" i="2" s="1"/>
  <c r="W784" i="2" s="1"/>
  <c r="R1202" i="2"/>
  <c r="V1202" i="2" s="1"/>
  <c r="W1202" i="2" s="1"/>
  <c r="R865" i="2"/>
  <c r="V865" i="2" s="1"/>
  <c r="W865" i="2" s="1"/>
  <c r="R404" i="2"/>
  <c r="V404" i="2" s="1"/>
  <c r="W404" i="2" s="1"/>
  <c r="R411" i="2"/>
  <c r="V411" i="2" s="1"/>
  <c r="W411" i="2" s="1"/>
  <c r="R208" i="2"/>
  <c r="V208" i="2" s="1"/>
  <c r="W208" i="2" s="1"/>
  <c r="R250" i="2"/>
  <c r="V250" i="2" s="1"/>
  <c r="W250" i="2" s="1"/>
  <c r="R164" i="2"/>
  <c r="V164" i="2" s="1"/>
  <c r="W164" i="2" s="1"/>
  <c r="R528" i="2"/>
  <c r="V528" i="2" s="1"/>
  <c r="W528" i="2" s="1"/>
  <c r="R414" i="2"/>
  <c r="V414" i="2" s="1"/>
  <c r="W414" i="2" s="1"/>
  <c r="R1345" i="2"/>
  <c r="V1345" i="2" s="1"/>
  <c r="W1345" i="2" s="1"/>
  <c r="R892" i="2"/>
  <c r="V892" i="2" s="1"/>
  <c r="W892" i="2" s="1"/>
  <c r="R1013" i="2"/>
  <c r="V1013" i="2" s="1"/>
  <c r="W1013" i="2" s="1"/>
  <c r="R286" i="2"/>
  <c r="V286" i="2" s="1"/>
  <c r="W286" i="2" s="1"/>
  <c r="R1347" i="2"/>
  <c r="V1347" i="2" s="1"/>
  <c r="W1347" i="2" s="1"/>
  <c r="R310" i="2"/>
  <c r="V310" i="2" s="1"/>
  <c r="W310" i="2" s="1"/>
  <c r="R1292" i="2"/>
  <c r="V1292" i="2" s="1"/>
  <c r="W1292" i="2" s="1"/>
  <c r="R526" i="2"/>
  <c r="V526" i="2" s="1"/>
  <c r="W526" i="2" s="1"/>
  <c r="R1668" i="2"/>
  <c r="V1668" i="2" s="1"/>
  <c r="W1668" i="2" s="1"/>
  <c r="R1047" i="2"/>
  <c r="V1047" i="2" s="1"/>
  <c r="W1047" i="2" s="1"/>
  <c r="R936" i="2"/>
  <c r="V936" i="2" s="1"/>
  <c r="W936" i="2" s="1"/>
  <c r="R1320" i="2"/>
  <c r="V1320" i="2" s="1"/>
  <c r="W1320" i="2" s="1"/>
  <c r="R956" i="2"/>
  <c r="V956" i="2" s="1"/>
  <c r="W956" i="2" s="1"/>
  <c r="R1277" i="2"/>
  <c r="V1277" i="2" s="1"/>
  <c r="W1277" i="2" s="1"/>
  <c r="R471" i="2"/>
  <c r="V471" i="2" s="1"/>
  <c r="W471" i="2" s="1"/>
  <c r="R347" i="2"/>
  <c r="V347" i="2" s="1"/>
  <c r="W347" i="2" s="1"/>
  <c r="R516" i="2"/>
  <c r="V516" i="2" s="1"/>
  <c r="W516" i="2" s="1"/>
  <c r="R449" i="2"/>
  <c r="V449" i="2" s="1"/>
  <c r="W449" i="2" s="1"/>
  <c r="R487" i="2"/>
  <c r="V487" i="2" s="1"/>
  <c r="W487" i="2" s="1"/>
  <c r="R1291" i="2"/>
  <c r="V1291" i="2" s="1"/>
  <c r="W1291" i="2" s="1"/>
  <c r="R655" i="2"/>
  <c r="V655" i="2" s="1"/>
  <c r="W655" i="2" s="1"/>
  <c r="R367" i="2"/>
  <c r="V367" i="2" s="1"/>
  <c r="W367" i="2" s="1"/>
  <c r="R1217" i="2"/>
  <c r="V1217" i="2" s="1"/>
  <c r="W1217" i="2" s="1"/>
  <c r="R1011" i="2"/>
  <c r="V1011" i="2" s="1"/>
  <c r="W1011" i="2" s="1"/>
  <c r="R1123" i="2"/>
  <c r="V1123" i="2" s="1"/>
  <c r="W1123" i="2" s="1"/>
  <c r="R368" i="2"/>
  <c r="V368" i="2" s="1"/>
  <c r="W368" i="2" s="1"/>
  <c r="R443" i="2"/>
  <c r="V443" i="2" s="1"/>
  <c r="W443" i="2" s="1"/>
  <c r="R1294" i="2"/>
  <c r="V1294" i="2" s="1"/>
  <c r="W1294" i="2" s="1"/>
  <c r="R889" i="2"/>
  <c r="V889" i="2" s="1"/>
  <c r="W889" i="2" s="1"/>
  <c r="R1426" i="2"/>
  <c r="V1426" i="2" s="1"/>
  <c r="W1426" i="2" s="1"/>
  <c r="R29" i="2"/>
  <c r="V29" i="2" s="1"/>
  <c r="W29" i="2" s="1"/>
  <c r="R1151" i="2"/>
  <c r="V1151" i="2" s="1"/>
  <c r="W1151" i="2" s="1"/>
  <c r="R722" i="2"/>
  <c r="V722" i="2" s="1"/>
  <c r="W722" i="2" s="1"/>
  <c r="R1241" i="2"/>
  <c r="V1241" i="2" s="1"/>
  <c r="W1241" i="2" s="1"/>
  <c r="R86" i="2"/>
  <c r="V86" i="2" s="1"/>
  <c r="W86" i="2" s="1"/>
  <c r="R108" i="2"/>
  <c r="V108" i="2" s="1"/>
  <c r="W108" i="2" s="1"/>
  <c r="R1189" i="2"/>
  <c r="V1189" i="2" s="1"/>
  <c r="W1189" i="2" s="1"/>
  <c r="R1483" i="2"/>
  <c r="V1483" i="2" s="1"/>
  <c r="W1483" i="2" s="1"/>
  <c r="R682" i="2"/>
  <c r="V682" i="2" s="1"/>
  <c r="W682" i="2" s="1"/>
  <c r="R12" i="2"/>
  <c r="V12" i="2" s="1"/>
  <c r="W12" i="2" s="1"/>
  <c r="R1068" i="2"/>
  <c r="V1068" i="2" s="1"/>
  <c r="W1068" i="2" s="1"/>
  <c r="R1194" i="2"/>
  <c r="V1194" i="2" s="1"/>
  <c r="W1194" i="2" s="1"/>
  <c r="R621" i="2"/>
  <c r="V621" i="2" s="1"/>
  <c r="W621" i="2" s="1"/>
  <c r="R520" i="2"/>
  <c r="V520" i="2" s="1"/>
  <c r="W520" i="2" s="1"/>
  <c r="R1256" i="2"/>
  <c r="V1256" i="2" s="1"/>
  <c r="W1256" i="2" s="1"/>
  <c r="R675" i="2"/>
  <c r="V675" i="2" s="1"/>
  <c r="W675" i="2" s="1"/>
  <c r="R45" i="2"/>
  <c r="V45" i="2" s="1"/>
  <c r="W45" i="2" s="1"/>
  <c r="R399" i="2"/>
  <c r="V399" i="2" s="1"/>
  <c r="W399" i="2" s="1"/>
  <c r="R744" i="2"/>
  <c r="V744" i="2" s="1"/>
  <c r="W744" i="2" s="1"/>
  <c r="R150" i="2"/>
  <c r="V150" i="2" s="1"/>
  <c r="W150" i="2" s="1"/>
  <c r="R1132" i="2"/>
  <c r="V1132" i="2" s="1"/>
  <c r="W1132" i="2" s="1"/>
  <c r="R1248" i="2"/>
  <c r="V1248" i="2" s="1"/>
  <c r="W1248" i="2" s="1"/>
  <c r="R396" i="2"/>
  <c r="V396" i="2" s="1"/>
  <c r="W396" i="2" s="1"/>
  <c r="R508" i="2"/>
  <c r="V508" i="2" s="1"/>
  <c r="W508" i="2" s="1"/>
  <c r="R560" i="2"/>
  <c r="V560" i="2" s="1"/>
  <c r="W560" i="2" s="1"/>
  <c r="R1369" i="2"/>
  <c r="V1369" i="2" s="1"/>
  <c r="W1369" i="2" s="1"/>
  <c r="R1713" i="2"/>
  <c r="V1713" i="2" s="1"/>
  <c r="W1713" i="2" s="1"/>
  <c r="R1156" i="2"/>
  <c r="V1156" i="2" s="1"/>
  <c r="W1156" i="2" s="1"/>
  <c r="R777" i="2"/>
  <c r="V777" i="2" s="1"/>
  <c r="W777" i="2" s="1"/>
  <c r="R816" i="2"/>
  <c r="V816" i="2" s="1"/>
  <c r="W816" i="2" s="1"/>
  <c r="R1042" i="2"/>
  <c r="V1042" i="2" s="1"/>
  <c r="W1042" i="2" s="1"/>
  <c r="R401" i="2"/>
  <c r="V401" i="2" s="1"/>
  <c r="W401" i="2" s="1"/>
  <c r="R1710" i="2"/>
  <c r="V1710" i="2" s="1"/>
  <c r="W1710" i="2" s="1"/>
  <c r="R1133" i="2"/>
  <c r="V1133" i="2" s="1"/>
  <c r="W1133" i="2" s="1"/>
  <c r="R1191" i="2"/>
  <c r="V1191" i="2" s="1"/>
  <c r="W1191" i="2" s="1"/>
  <c r="R521" i="2"/>
  <c r="V521" i="2" s="1"/>
  <c r="W521" i="2" s="1"/>
  <c r="R1354" i="2"/>
  <c r="V1354" i="2" s="1"/>
  <c r="W1354" i="2" s="1"/>
  <c r="R209" i="2"/>
  <c r="V209" i="2" s="1"/>
  <c r="W209" i="2" s="1"/>
  <c r="R453" i="2"/>
  <c r="V453" i="2" s="1"/>
  <c r="W453" i="2" s="1"/>
  <c r="R312" i="2"/>
  <c r="V312" i="2" s="1"/>
  <c r="W312" i="2" s="1"/>
  <c r="R373" i="2"/>
  <c r="V373" i="2" s="1"/>
  <c r="W373" i="2" s="1"/>
  <c r="R545" i="2"/>
  <c r="V545" i="2" s="1"/>
  <c r="W545" i="2" s="1"/>
  <c r="R1236" i="2"/>
  <c r="V1236" i="2" s="1"/>
  <c r="W1236" i="2" s="1"/>
  <c r="R531" i="2"/>
  <c r="V531" i="2" s="1"/>
  <c r="W531" i="2" s="1"/>
  <c r="R1269" i="2"/>
  <c r="V1269" i="2" s="1"/>
  <c r="W1269" i="2" s="1"/>
  <c r="R1015" i="2"/>
  <c r="V1015" i="2" s="1"/>
  <c r="W1015" i="2" s="1"/>
  <c r="R1139" i="2"/>
  <c r="V1139" i="2" s="1"/>
  <c r="W1139" i="2" s="1"/>
  <c r="R1478" i="2"/>
  <c r="V1478" i="2" s="1"/>
  <c r="W1478" i="2" s="1"/>
  <c r="R210" i="2"/>
  <c r="V210" i="2" s="1"/>
  <c r="W210" i="2" s="1"/>
  <c r="R1240" i="2"/>
  <c r="V1240" i="2" s="1"/>
  <c r="W1240" i="2" s="1"/>
  <c r="R442" i="2"/>
  <c r="V442" i="2" s="1"/>
  <c r="W442" i="2" s="1"/>
  <c r="R604" i="2"/>
  <c r="V604" i="2" s="1"/>
  <c r="W604" i="2" s="1"/>
  <c r="R1738" i="2"/>
  <c r="V1738" i="2" s="1"/>
  <c r="W1738" i="2" s="1"/>
  <c r="R900" i="2"/>
  <c r="V900" i="2" s="1"/>
  <c r="W900" i="2" s="1"/>
  <c r="R245" i="2"/>
  <c r="V245" i="2" s="1"/>
  <c r="W245" i="2" s="1"/>
  <c r="R1268" i="2"/>
  <c r="V1268" i="2" s="1"/>
  <c r="W1268" i="2" s="1"/>
  <c r="R1407" i="2"/>
  <c r="V1407" i="2" s="1"/>
  <c r="W1407" i="2" s="1"/>
  <c r="R1174" i="2"/>
  <c r="V1174" i="2" s="1"/>
  <c r="W1174" i="2" s="1"/>
  <c r="R477" i="2"/>
  <c r="V477" i="2" s="1"/>
  <c r="W477" i="2" s="1"/>
  <c r="R1388" i="2"/>
  <c r="V1388" i="2" s="1"/>
  <c r="W1388" i="2" s="1"/>
  <c r="R975" i="2"/>
  <c r="V975" i="2" s="1"/>
  <c r="W975" i="2" s="1"/>
  <c r="R678" i="2"/>
  <c r="V678" i="2" s="1"/>
  <c r="W678" i="2" s="1"/>
  <c r="R127" i="2"/>
  <c r="V127" i="2" s="1"/>
  <c r="W127" i="2" s="1"/>
  <c r="R1225" i="2"/>
  <c r="V1225" i="2" s="1"/>
  <c r="W1225" i="2" s="1"/>
  <c r="R1694" i="2"/>
  <c r="V1694" i="2" s="1"/>
  <c r="W1694" i="2" s="1"/>
  <c r="R1297" i="2"/>
  <c r="V1297" i="2" s="1"/>
  <c r="W1297" i="2" s="1"/>
  <c r="R1693" i="2"/>
  <c r="V1693" i="2" s="1"/>
  <c r="W1693" i="2" s="1"/>
  <c r="R372" i="2"/>
  <c r="V372" i="2" s="1"/>
  <c r="W372" i="2" s="1"/>
  <c r="R861" i="2"/>
  <c r="V861" i="2" s="1"/>
  <c r="W861" i="2" s="1"/>
  <c r="R601" i="2"/>
  <c r="V601" i="2" s="1"/>
  <c r="W601" i="2" s="1"/>
  <c r="R1477" i="2"/>
  <c r="V1477" i="2" s="1"/>
  <c r="W1477" i="2" s="1"/>
  <c r="R488" i="2"/>
  <c r="V488" i="2" s="1"/>
  <c r="W488" i="2" s="1"/>
  <c r="R1465" i="2"/>
  <c r="V1465" i="2" s="1"/>
  <c r="W1465" i="2" s="1"/>
  <c r="R966" i="2"/>
  <c r="V966" i="2" s="1"/>
  <c r="W966" i="2" s="1"/>
  <c r="R1365" i="2"/>
  <c r="V1365" i="2" s="1"/>
  <c r="W1365" i="2" s="1"/>
  <c r="R1468" i="2"/>
  <c r="V1468" i="2" s="1"/>
  <c r="W1468" i="2" s="1"/>
  <c r="R1672" i="2"/>
  <c r="V1672" i="2" s="1"/>
  <c r="W1672" i="2" s="1"/>
  <c r="R1094" i="2"/>
  <c r="V1094" i="2" s="1"/>
  <c r="W1094" i="2" s="1"/>
  <c r="R733" i="2"/>
  <c r="V733" i="2" s="1"/>
  <c r="W733" i="2" s="1"/>
  <c r="R141" i="2"/>
  <c r="V141" i="2" s="1"/>
  <c r="W141" i="2" s="1"/>
  <c r="R195" i="2"/>
  <c r="V195" i="2" s="1"/>
  <c r="W195" i="2" s="1"/>
  <c r="R844" i="2"/>
  <c r="V844" i="2" s="1"/>
  <c r="W844" i="2" s="1"/>
  <c r="R1353" i="2"/>
  <c r="V1353" i="2" s="1"/>
  <c r="W1353" i="2" s="1"/>
  <c r="R613" i="2"/>
  <c r="V613" i="2" s="1"/>
  <c r="W613" i="2" s="1"/>
  <c r="R293" i="2"/>
  <c r="V293" i="2" s="1"/>
  <c r="W293" i="2" s="1"/>
  <c r="R1289" i="2"/>
  <c r="V1289" i="2" s="1"/>
  <c r="W1289" i="2" s="1"/>
  <c r="R138" i="2"/>
  <c r="V138" i="2" s="1"/>
  <c r="W138" i="2" s="1"/>
  <c r="R550" i="2"/>
  <c r="V550" i="2" s="1"/>
  <c r="W550" i="2" s="1"/>
  <c r="R1455" i="2"/>
  <c r="V1455" i="2" s="1"/>
  <c r="W1455" i="2" s="1"/>
  <c r="R637" i="2"/>
  <c r="V637" i="2" s="1"/>
  <c r="W637" i="2" s="1"/>
  <c r="R1121" i="2"/>
  <c r="V1121" i="2" s="1"/>
  <c r="W1121" i="2" s="1"/>
  <c r="R1010" i="2"/>
  <c r="V1010" i="2" s="1"/>
  <c r="W1010" i="2" s="1"/>
  <c r="R989" i="2"/>
  <c r="V989" i="2" s="1"/>
  <c r="W989" i="2" s="1"/>
  <c r="R163" i="2"/>
  <c r="V163" i="2" s="1"/>
  <c r="W163" i="2" s="1"/>
  <c r="R964" i="2"/>
  <c r="V964" i="2" s="1"/>
  <c r="W964" i="2" s="1"/>
  <c r="R540" i="2"/>
  <c r="V540" i="2" s="1"/>
  <c r="W540" i="2" s="1"/>
  <c r="R1025" i="2"/>
  <c r="V1025" i="2" s="1"/>
  <c r="W1025" i="2" s="1"/>
  <c r="R1366" i="2"/>
  <c r="V1366" i="2" s="1"/>
  <c r="W1366" i="2" s="1"/>
  <c r="R907" i="2"/>
  <c r="V907" i="2" s="1"/>
  <c r="W907" i="2" s="1"/>
  <c r="R1145" i="2"/>
  <c r="V1145" i="2" s="1"/>
  <c r="W1145" i="2" s="1"/>
  <c r="R1680" i="2"/>
  <c r="V1680" i="2" s="1"/>
  <c r="W1680" i="2" s="1"/>
  <c r="R991" i="2"/>
  <c r="V991" i="2" s="1"/>
  <c r="W991" i="2" s="1"/>
  <c r="R798" i="2"/>
  <c r="V798" i="2" s="1"/>
  <c r="W798" i="2" s="1"/>
  <c r="R425" i="2"/>
  <c r="V425" i="2" s="1"/>
  <c r="W425" i="2" s="1"/>
  <c r="R720" i="2"/>
  <c r="V720" i="2" s="1"/>
  <c r="W720" i="2" s="1"/>
  <c r="R1669" i="2"/>
  <c r="V1669" i="2" s="1"/>
  <c r="W1669" i="2" s="1"/>
  <c r="R884" i="2"/>
  <c r="V884" i="2" s="1"/>
  <c r="W884" i="2" s="1"/>
  <c r="R455" i="2"/>
  <c r="V455" i="2" s="1"/>
  <c r="W455" i="2" s="1"/>
  <c r="R769" i="2"/>
  <c r="V769" i="2" s="1"/>
  <c r="W769" i="2" s="1"/>
  <c r="R734" i="2"/>
  <c r="V734" i="2" s="1"/>
  <c r="W734" i="2" s="1"/>
  <c r="R659" i="2"/>
  <c r="V659" i="2" s="1"/>
  <c r="W659" i="2" s="1"/>
  <c r="R699" i="2"/>
  <c r="V699" i="2" s="1"/>
  <c r="W699" i="2" s="1"/>
  <c r="R1170" i="2"/>
  <c r="V1170" i="2" s="1"/>
  <c r="W1170" i="2" s="1"/>
  <c r="R353" i="2"/>
  <c r="V353" i="2" s="1"/>
  <c r="W353" i="2" s="1"/>
  <c r="R683" i="2"/>
  <c r="V683" i="2" s="1"/>
  <c r="W683" i="2" s="1"/>
  <c r="R1707" i="2"/>
  <c r="V1707" i="2" s="1"/>
  <c r="W1707" i="2" s="1"/>
  <c r="R1111" i="2"/>
  <c r="V1111" i="2" s="1"/>
  <c r="W1111" i="2" s="1"/>
  <c r="R1034" i="2"/>
  <c r="V1034" i="2" s="1"/>
  <c r="W1034" i="2" s="1"/>
  <c r="R1500" i="2"/>
  <c r="V1500" i="2" s="1"/>
  <c r="W1500" i="2" s="1"/>
  <c r="R87" i="2"/>
  <c r="V87" i="2" s="1"/>
  <c r="W87" i="2" s="1"/>
  <c r="R1116" i="2"/>
  <c r="V1116" i="2" s="1"/>
  <c r="W1116" i="2" s="1"/>
  <c r="R1048" i="2"/>
  <c r="V1048" i="2" s="1"/>
  <c r="W1048" i="2" s="1"/>
  <c r="R946" i="2"/>
  <c r="V946" i="2" s="1"/>
  <c r="W946" i="2" s="1"/>
  <c r="R403" i="2"/>
  <c r="V403" i="2" s="1"/>
  <c r="W403" i="2" s="1"/>
  <c r="R692" i="2"/>
  <c r="V692" i="2" s="1"/>
  <c r="W692" i="2" s="1"/>
  <c r="R251" i="2"/>
  <c r="V251" i="2" s="1"/>
  <c r="W251" i="2" s="1"/>
  <c r="R46" i="2"/>
  <c r="V46" i="2" s="1"/>
  <c r="W46" i="2" s="1"/>
  <c r="R1027" i="2"/>
  <c r="V1027" i="2" s="1"/>
  <c r="W1027" i="2" s="1"/>
  <c r="R930" i="2"/>
  <c r="V930" i="2" s="1"/>
  <c r="W930" i="2" s="1"/>
  <c r="R85" i="2"/>
  <c r="V85" i="2" s="1"/>
  <c r="W85" i="2" s="1"/>
  <c r="R219" i="2"/>
  <c r="V219" i="2" s="1"/>
  <c r="W219" i="2" s="1"/>
  <c r="R483" i="2"/>
  <c r="V483" i="2" s="1"/>
  <c r="W483" i="2" s="1"/>
  <c r="R43" i="2"/>
  <c r="V43" i="2" s="1"/>
  <c r="W43" i="2" s="1"/>
  <c r="R1392" i="2"/>
  <c r="V1392" i="2" s="1"/>
  <c r="W1392" i="2" s="1"/>
  <c r="R324" i="2"/>
  <c r="V324" i="2" s="1"/>
  <c r="W324" i="2" s="1"/>
  <c r="R1270" i="2"/>
  <c r="V1270" i="2" s="1"/>
  <c r="W1270" i="2" s="1"/>
  <c r="R172" i="2"/>
  <c r="V172" i="2" s="1"/>
  <c r="W172" i="2" s="1"/>
  <c r="R876" i="2"/>
  <c r="V876" i="2" s="1"/>
  <c r="W876" i="2" s="1"/>
  <c r="R981" i="2"/>
  <c r="V981" i="2" s="1"/>
  <c r="W981" i="2" s="1"/>
  <c r="R217" i="2"/>
  <c r="V217" i="2" s="1"/>
  <c r="W217" i="2" s="1"/>
  <c r="R1736" i="2"/>
  <c r="V1736" i="2" s="1"/>
  <c r="W1736" i="2" s="1"/>
  <c r="R169" i="2"/>
  <c r="V169" i="2" s="1"/>
  <c r="W169" i="2" s="1"/>
  <c r="R105" i="2"/>
  <c r="V105" i="2" s="1"/>
  <c r="W105" i="2" s="1"/>
  <c r="R1422" i="2"/>
  <c r="V1422" i="2" s="1"/>
  <c r="W1422" i="2" s="1"/>
  <c r="R931" i="2"/>
  <c r="V931" i="2" s="1"/>
  <c r="W931" i="2" s="1"/>
  <c r="R1463" i="2"/>
  <c r="V1463" i="2" s="1"/>
  <c r="W1463" i="2" s="1"/>
  <c r="R588" i="2"/>
  <c r="V588" i="2" s="1"/>
  <c r="W588" i="2" s="1"/>
  <c r="R600" i="2"/>
  <c r="V600" i="2" s="1"/>
  <c r="W600" i="2" s="1"/>
  <c r="R1080" i="2"/>
  <c r="V1080" i="2" s="1"/>
  <c r="W1080" i="2" s="1"/>
  <c r="R762" i="2"/>
  <c r="V762" i="2" s="1"/>
  <c r="W762" i="2" s="1"/>
  <c r="R631" i="2"/>
  <c r="V631" i="2" s="1"/>
  <c r="W631" i="2" s="1"/>
  <c r="R874" i="2"/>
  <c r="V874" i="2" s="1"/>
  <c r="W874" i="2" s="1"/>
  <c r="R1487" i="2"/>
  <c r="V1487" i="2" s="1"/>
  <c r="W1487" i="2" s="1"/>
  <c r="R322" i="2"/>
  <c r="V322" i="2" s="1"/>
  <c r="W322" i="2" s="1"/>
  <c r="R180" i="2"/>
  <c r="V180" i="2" s="1"/>
  <c r="W180" i="2" s="1"/>
  <c r="R318" i="2"/>
  <c r="V318" i="2" s="1"/>
  <c r="W318" i="2" s="1"/>
  <c r="R1186" i="2"/>
  <c r="V1186" i="2" s="1"/>
  <c r="W1186" i="2" s="1"/>
  <c r="R91" i="2"/>
  <c r="V91" i="2" s="1"/>
  <c r="W91" i="2" s="1"/>
  <c r="R1349" i="2"/>
  <c r="V1349" i="2" s="1"/>
  <c r="W1349" i="2" s="1"/>
  <c r="R1050" i="2"/>
  <c r="V1050" i="2" s="1"/>
  <c r="W1050" i="2" s="1"/>
  <c r="R1285" i="2"/>
  <c r="V1285" i="2" s="1"/>
  <c r="W1285" i="2" s="1"/>
  <c r="R970" i="2"/>
  <c r="V970" i="2" s="1"/>
  <c r="W970" i="2" s="1"/>
  <c r="R1413" i="2"/>
  <c r="V1413" i="2" s="1"/>
  <c r="W1413" i="2" s="1"/>
  <c r="R441" i="2"/>
  <c r="V441" i="2" s="1"/>
  <c r="W441" i="2" s="1"/>
  <c r="R270" i="2"/>
  <c r="V270" i="2" s="1"/>
  <c r="W270" i="2" s="1"/>
  <c r="R1228" i="2"/>
  <c r="V1228" i="2" s="1"/>
  <c r="W1228" i="2" s="1"/>
  <c r="R592" i="2"/>
  <c r="V592" i="2" s="1"/>
  <c r="W592" i="2" s="1"/>
  <c r="R1082" i="2"/>
  <c r="V1082" i="2" s="1"/>
  <c r="W1082" i="2" s="1"/>
  <c r="R340" i="2"/>
  <c r="V340" i="2" s="1"/>
  <c r="W340" i="2" s="1"/>
  <c r="R1408" i="2"/>
  <c r="V1408" i="2" s="1"/>
  <c r="W1408" i="2" s="1"/>
  <c r="R1325" i="2"/>
  <c r="V1325" i="2" s="1"/>
  <c r="W1325" i="2" s="1"/>
  <c r="R447" i="2"/>
  <c r="V447" i="2" s="1"/>
  <c r="W447" i="2" s="1"/>
  <c r="R20" i="2"/>
  <c r="V20" i="2" s="1"/>
  <c r="W20" i="2" s="1"/>
  <c r="R289" i="2"/>
  <c r="V289" i="2" s="1"/>
  <c r="W289" i="2" s="1"/>
  <c r="R620" i="2"/>
  <c r="V620" i="2" s="1"/>
  <c r="W620" i="2" s="1"/>
  <c r="R774" i="2"/>
  <c r="V774" i="2" s="1"/>
  <c r="W774" i="2" s="1"/>
  <c r="R445" i="2"/>
  <c r="V445" i="2" s="1"/>
  <c r="W445" i="2" s="1"/>
  <c r="R1017" i="2"/>
  <c r="V1017" i="2" s="1"/>
  <c r="W1017" i="2" s="1"/>
  <c r="R300" i="2"/>
  <c r="V300" i="2" s="1"/>
  <c r="W300" i="2" s="1"/>
  <c r="R1279" i="2"/>
  <c r="V1279" i="2" s="1"/>
  <c r="W1279" i="2" s="1"/>
  <c r="R1209" i="2"/>
  <c r="V1209" i="2" s="1"/>
  <c r="W1209" i="2" s="1"/>
  <c r="R478" i="2"/>
  <c r="V478" i="2" s="1"/>
  <c r="W478" i="2" s="1"/>
  <c r="R1676" i="2"/>
  <c r="V1676" i="2" s="1"/>
  <c r="W1676" i="2" s="1"/>
  <c r="R1207" i="2"/>
  <c r="V1207" i="2" s="1"/>
  <c r="W1207" i="2" s="1"/>
  <c r="R1166" i="2"/>
  <c r="V1166" i="2" s="1"/>
  <c r="W1166" i="2" s="1"/>
  <c r="R503" i="2"/>
  <c r="V503" i="2" s="1"/>
  <c r="W503" i="2" s="1"/>
  <c r="R1066" i="2"/>
  <c r="V1066" i="2" s="1"/>
  <c r="W1066" i="2" s="1"/>
  <c r="R1114" i="2"/>
  <c r="V1114" i="2" s="1"/>
  <c r="W1114" i="2" s="1"/>
  <c r="R418" i="2"/>
  <c r="V418" i="2" s="1"/>
  <c r="W418" i="2" s="1"/>
  <c r="R1440" i="2"/>
  <c r="V1440" i="2" s="1"/>
  <c r="W1440" i="2" s="1"/>
  <c r="R1012" i="2"/>
  <c r="V1012" i="2" s="1"/>
  <c r="W1012" i="2" s="1"/>
  <c r="R1731" i="2"/>
  <c r="V1731" i="2" s="1"/>
  <c r="W1731" i="2" s="1"/>
  <c r="R506" i="2"/>
  <c r="V506" i="2" s="1"/>
  <c r="W506" i="2" s="1"/>
  <c r="R1129" i="2"/>
  <c r="V1129" i="2" s="1"/>
  <c r="W1129" i="2" s="1"/>
  <c r="R291" i="2"/>
  <c r="V291" i="2" s="1"/>
  <c r="W291" i="2" s="1"/>
  <c r="R1002" i="2"/>
  <c r="V1002" i="2" s="1"/>
  <c r="W1002" i="2" s="1"/>
  <c r="R451" i="2"/>
  <c r="V451" i="2" s="1"/>
  <c r="W451" i="2" s="1"/>
  <c r="R815" i="2"/>
  <c r="V815" i="2" s="1"/>
  <c r="W815" i="2" s="1"/>
  <c r="R177" i="2"/>
  <c r="V177" i="2" s="1"/>
  <c r="W177" i="2" s="1"/>
  <c r="R1687" i="2"/>
  <c r="V1687" i="2" s="1"/>
  <c r="W1687" i="2" s="1"/>
  <c r="R1115" i="2"/>
  <c r="V1115" i="2" s="1"/>
  <c r="W1115" i="2" s="1"/>
  <c r="R1488" i="2"/>
  <c r="V1488" i="2" s="1"/>
  <c r="W1488" i="2" s="1"/>
  <c r="R479" i="2"/>
  <c r="V479" i="2" s="1"/>
  <c r="W479" i="2" s="1"/>
  <c r="R583" i="2"/>
  <c r="V583" i="2" s="1"/>
  <c r="W583" i="2" s="1"/>
  <c r="R241" i="2"/>
  <c r="V241" i="2" s="1"/>
  <c r="W241" i="2" s="1"/>
  <c r="R961" i="2"/>
  <c r="V961" i="2" s="1"/>
  <c r="W961" i="2" s="1"/>
  <c r="R1689" i="2"/>
  <c r="V1689" i="2" s="1"/>
  <c r="W1689" i="2" s="1"/>
  <c r="R1053" i="2"/>
  <c r="V1053" i="2" s="1"/>
  <c r="W1053" i="2" s="1"/>
  <c r="R1212" i="2"/>
  <c r="V1212" i="2" s="1"/>
  <c r="W1212" i="2" s="1"/>
  <c r="R924" i="2"/>
  <c r="V924" i="2" s="1"/>
  <c r="W924" i="2" s="1"/>
  <c r="R129" i="2"/>
  <c r="V129" i="2" s="1"/>
  <c r="W129" i="2" s="1"/>
  <c r="R64" i="2"/>
  <c r="V64" i="2" s="1"/>
  <c r="W64" i="2" s="1"/>
  <c r="R1393" i="2"/>
  <c r="V1393" i="2" s="1"/>
  <c r="W1393" i="2" s="1"/>
  <c r="R296" i="2"/>
  <c r="V296" i="2" s="1"/>
  <c r="W296" i="2" s="1"/>
  <c r="R556" i="2"/>
  <c r="V556" i="2" s="1"/>
  <c r="W556" i="2" s="1"/>
  <c r="R240" i="2"/>
  <c r="V240" i="2" s="1"/>
  <c r="W240" i="2" s="1"/>
  <c r="R491" i="2"/>
  <c r="V491" i="2" s="1"/>
  <c r="W491" i="2" s="1"/>
  <c r="R1272" i="2"/>
  <c r="V1272" i="2" s="1"/>
  <c r="W1272" i="2" s="1"/>
  <c r="R653" i="2"/>
  <c r="V653" i="2" s="1"/>
  <c r="W653" i="2" s="1"/>
  <c r="R1674" i="2"/>
  <c r="V1674" i="2" s="1"/>
  <c r="W1674" i="2" s="1"/>
  <c r="R518" i="2"/>
  <c r="V518" i="2" s="1"/>
  <c r="W518" i="2" s="1"/>
  <c r="R80" i="2"/>
  <c r="V80" i="2" s="1"/>
  <c r="W80" i="2" s="1"/>
  <c r="R953" i="2"/>
  <c r="V953" i="2" s="1"/>
  <c r="W953" i="2" s="1"/>
  <c r="R1419" i="2"/>
  <c r="V1419" i="2" s="1"/>
  <c r="W1419" i="2" s="1"/>
  <c r="R1126" i="2"/>
  <c r="V1126" i="2" s="1"/>
  <c r="W1126" i="2" s="1"/>
  <c r="R673" i="2"/>
  <c r="V673" i="2" s="1"/>
  <c r="W673" i="2" s="1"/>
  <c r="R9" i="2"/>
  <c r="V9" i="2" s="1"/>
  <c r="W9" i="2" s="1"/>
  <c r="R402" i="2"/>
  <c r="V402" i="2" s="1"/>
  <c r="W402" i="2" s="1"/>
  <c r="R799" i="2"/>
  <c r="V799" i="2" s="1"/>
  <c r="W799" i="2" s="1"/>
  <c r="R713" i="2"/>
  <c r="V713" i="2" s="1"/>
  <c r="W713" i="2" s="1"/>
  <c r="R1411" i="2"/>
  <c r="V1411" i="2" s="1"/>
  <c r="W1411" i="2" s="1"/>
  <c r="R1222" i="2"/>
  <c r="V1222" i="2" s="1"/>
  <c r="W1222" i="2" s="1"/>
  <c r="R436" i="2"/>
  <c r="V436" i="2" s="1"/>
  <c r="W436" i="2" s="1"/>
  <c r="R618" i="2"/>
  <c r="V618" i="2" s="1"/>
  <c r="W618" i="2" s="1"/>
  <c r="R738" i="2"/>
  <c r="V738" i="2" s="1"/>
  <c r="W738" i="2" s="1"/>
  <c r="R21" i="2"/>
  <c r="V21" i="2" s="1"/>
  <c r="W21" i="2" s="1"/>
  <c r="R947" i="2"/>
  <c r="V947" i="2" s="1"/>
  <c r="W947" i="2" s="1"/>
  <c r="R782" i="2"/>
  <c r="V782" i="2" s="1"/>
  <c r="W782" i="2" s="1"/>
  <c r="R99" i="2"/>
  <c r="V99" i="2" s="1"/>
  <c r="W99" i="2" s="1"/>
  <c r="R334" i="2"/>
  <c r="V334" i="2" s="1"/>
  <c r="W334" i="2" s="1"/>
  <c r="R1226" i="2"/>
  <c r="V1226" i="2" s="1"/>
  <c r="W1226" i="2" s="1"/>
  <c r="R1019" i="2"/>
  <c r="V1019" i="2" s="1"/>
  <c r="W1019" i="2" s="1"/>
  <c r="R1107" i="2"/>
  <c r="V1107" i="2" s="1"/>
  <c r="W1107" i="2" s="1"/>
  <c r="R611" i="2"/>
  <c r="V611" i="2" s="1"/>
  <c r="W611" i="2" s="1"/>
  <c r="R278" i="2"/>
  <c r="V278" i="2" s="1"/>
  <c r="W278" i="2" s="1"/>
  <c r="R1070" i="2"/>
  <c r="V1070" i="2" s="1"/>
  <c r="W1070" i="2" s="1"/>
  <c r="R1321" i="2"/>
  <c r="V1321" i="2" s="1"/>
  <c r="W1321" i="2" s="1"/>
  <c r="R311" i="2"/>
  <c r="V311" i="2" s="1"/>
  <c r="W311" i="2" s="1"/>
  <c r="R610" i="2"/>
  <c r="V610" i="2" s="1"/>
  <c r="W610" i="2" s="1"/>
  <c r="R522" i="2"/>
  <c r="V522" i="2" s="1"/>
  <c r="W522" i="2" s="1"/>
  <c r="R167" i="2"/>
  <c r="V167" i="2" s="1"/>
  <c r="W167" i="2" s="1"/>
  <c r="R69" i="2"/>
  <c r="V69" i="2" s="1"/>
  <c r="W69" i="2" s="1"/>
  <c r="R1404" i="2"/>
  <c r="V1404" i="2" s="1"/>
  <c r="W1404" i="2" s="1"/>
  <c r="R200" i="2"/>
  <c r="V200" i="2" s="1"/>
  <c r="W200" i="2" s="1"/>
  <c r="R1276" i="2"/>
  <c r="V1276" i="2" s="1"/>
  <c r="W1276" i="2" s="1"/>
  <c r="R299" i="2"/>
  <c r="V299" i="2" s="1"/>
  <c r="W299" i="2" s="1"/>
  <c r="R829" i="2"/>
  <c r="V829" i="2" s="1"/>
  <c r="W829" i="2" s="1"/>
  <c r="R329" i="2"/>
  <c r="V329" i="2" s="1"/>
  <c r="W329" i="2" s="1"/>
  <c r="R234" i="2"/>
  <c r="V234" i="2" s="1"/>
  <c r="W234" i="2" s="1"/>
  <c r="R302" i="2"/>
  <c r="V302" i="2" s="1"/>
  <c r="W302" i="2" s="1"/>
  <c r="R978" i="2"/>
  <c r="V978" i="2" s="1"/>
  <c r="W978" i="2" s="1"/>
  <c r="R1085" i="2"/>
  <c r="V1085" i="2" s="1"/>
  <c r="W1085" i="2" s="1"/>
  <c r="R472" i="2"/>
  <c r="V472" i="2" s="1"/>
  <c r="W472" i="2" s="1"/>
  <c r="R222" i="2"/>
  <c r="V222" i="2" s="1"/>
  <c r="W222" i="2" s="1"/>
  <c r="R562" i="2"/>
  <c r="V562" i="2" s="1"/>
  <c r="W562" i="2" s="1"/>
  <c r="R4" i="2"/>
  <c r="V4" i="2" s="1"/>
  <c r="W4" i="2" s="1"/>
  <c r="R213" i="2"/>
  <c r="V213" i="2" s="1"/>
  <c r="W213" i="2" s="1"/>
  <c r="R184" i="2"/>
  <c r="V184" i="2" s="1"/>
  <c r="W184" i="2" s="1"/>
  <c r="R517" i="2"/>
  <c r="V517" i="2" s="1"/>
  <c r="W517" i="2" s="1"/>
  <c r="R1274" i="2"/>
  <c r="V1274" i="2" s="1"/>
  <c r="W1274" i="2" s="1"/>
  <c r="R694" i="2"/>
  <c r="V694" i="2" s="1"/>
  <c r="W694" i="2" s="1"/>
  <c r="R13" i="2"/>
  <c r="V13" i="2" s="1"/>
  <c r="W13" i="2" s="1"/>
  <c r="R1391" i="2"/>
  <c r="V1391" i="2" s="1"/>
  <c r="W1391" i="2" s="1"/>
  <c r="R740" i="2"/>
  <c r="V740" i="2" s="1"/>
  <c r="W740" i="2" s="1"/>
  <c r="R1009" i="2"/>
  <c r="V1009" i="2" s="1"/>
  <c r="W1009" i="2" s="1"/>
  <c r="R406" i="2"/>
  <c r="V406" i="2" s="1"/>
  <c r="W406" i="2" s="1"/>
  <c r="R1346" i="2"/>
  <c r="V1346" i="2" s="1"/>
  <c r="W1346" i="2" s="1"/>
  <c r="R1118" i="2"/>
  <c r="V1118" i="2" s="1"/>
  <c r="W1118" i="2" s="1"/>
  <c r="R753" i="2"/>
  <c r="V753" i="2" s="1"/>
  <c r="W753" i="2" s="1"/>
  <c r="R1092" i="2"/>
  <c r="V1092" i="2" s="1"/>
  <c r="W1092" i="2" s="1"/>
  <c r="R662" i="2"/>
  <c r="V662" i="2" s="1"/>
  <c r="W662" i="2" s="1"/>
  <c r="R1260" i="2"/>
  <c r="V1260" i="2" s="1"/>
  <c r="W1260" i="2" s="1"/>
  <c r="R384" i="2"/>
  <c r="V384" i="2" s="1"/>
  <c r="W384" i="2" s="1"/>
  <c r="R674" i="2"/>
  <c r="V674" i="2" s="1"/>
  <c r="W674" i="2" s="1"/>
  <c r="R461" i="2"/>
  <c r="V461" i="2" s="1"/>
  <c r="W461" i="2" s="1"/>
  <c r="R1715" i="2"/>
  <c r="V1715" i="2" s="1"/>
  <c r="W1715" i="2" s="1"/>
  <c r="R1700" i="2"/>
  <c r="V1700" i="2" s="1"/>
  <c r="W1700" i="2" s="1"/>
  <c r="R434" i="2"/>
  <c r="V434" i="2" s="1"/>
  <c r="W434" i="2" s="1"/>
  <c r="R47" i="2"/>
  <c r="V47" i="2" s="1"/>
  <c r="W47" i="2" s="1"/>
  <c r="R524" i="2"/>
  <c r="V524" i="2" s="1"/>
  <c r="W524" i="2" s="1"/>
  <c r="R264" i="2"/>
  <c r="V264" i="2" s="1"/>
  <c r="W264" i="2" s="1"/>
  <c r="R348" i="2"/>
  <c r="V348" i="2" s="1"/>
  <c r="W348" i="2" s="1"/>
  <c r="R933" i="2"/>
  <c r="V933" i="2" s="1"/>
  <c r="W933" i="2" s="1"/>
  <c r="R464" i="2"/>
  <c r="V464" i="2" s="1"/>
  <c r="W464" i="2" s="1"/>
  <c r="R909" i="2"/>
  <c r="V909" i="2" s="1"/>
  <c r="W909" i="2" s="1"/>
  <c r="R828" i="2"/>
  <c r="V828" i="2" s="1"/>
  <c r="W828" i="2" s="1"/>
  <c r="R144" i="2"/>
  <c r="V144" i="2" s="1"/>
  <c r="W144" i="2" s="1"/>
  <c r="R1302" i="2"/>
  <c r="V1302" i="2" s="1"/>
  <c r="W1302" i="2" s="1"/>
  <c r="R227" i="2"/>
  <c r="V227" i="2" s="1"/>
  <c r="W227" i="2" s="1"/>
  <c r="R1108" i="2"/>
  <c r="V1108" i="2" s="1"/>
  <c r="W1108" i="2" s="1"/>
  <c r="R581" i="2"/>
  <c r="V581" i="2" s="1"/>
  <c r="W581" i="2" s="1"/>
  <c r="R836" i="2"/>
  <c r="V836" i="2" s="1"/>
  <c r="W836" i="2" s="1"/>
  <c r="R679" i="2"/>
  <c r="V679" i="2" s="1"/>
  <c r="W679" i="2" s="1"/>
  <c r="R1350" i="2"/>
  <c r="V1350" i="2" s="1"/>
  <c r="W1350" i="2" s="1"/>
  <c r="R410" i="2"/>
  <c r="V410" i="2" s="1"/>
  <c r="W410" i="2" s="1"/>
  <c r="R1281" i="2"/>
  <c r="V1281" i="2" s="1"/>
  <c r="W1281" i="2" s="1"/>
  <c r="R103" i="2"/>
  <c r="V103" i="2" s="1"/>
  <c r="W103" i="2" s="1"/>
  <c r="R239" i="2"/>
  <c r="V239" i="2" s="1"/>
  <c r="W239" i="2" s="1"/>
  <c r="R650" i="2"/>
  <c r="V650" i="2" s="1"/>
  <c r="W650" i="2" s="1"/>
  <c r="R1263" i="2"/>
  <c r="V1263" i="2" s="1"/>
  <c r="W1263" i="2" s="1"/>
  <c r="R778" i="2"/>
  <c r="V778" i="2" s="1"/>
  <c r="W778" i="2" s="1"/>
  <c r="R1733" i="2"/>
  <c r="V1733" i="2" s="1"/>
  <c r="W1733" i="2" s="1"/>
  <c r="R658" i="2"/>
  <c r="V658" i="2" s="1"/>
  <c r="W658" i="2" s="1"/>
  <c r="R468" i="2"/>
  <c r="V468" i="2" s="1"/>
  <c r="W468" i="2" s="1"/>
  <c r="R1125" i="2"/>
  <c r="V1125" i="2" s="1"/>
  <c r="W1125" i="2" s="1"/>
  <c r="R1364" i="2"/>
  <c r="V1364" i="2" s="1"/>
  <c r="W1364" i="2" s="1"/>
  <c r="R718" i="2"/>
  <c r="V718" i="2" s="1"/>
  <c r="W718" i="2" s="1"/>
  <c r="R1361" i="2"/>
  <c r="V1361" i="2" s="1"/>
  <c r="W1361" i="2" s="1"/>
  <c r="R77" i="2"/>
  <c r="V77" i="2" s="1"/>
  <c r="W77" i="2" s="1"/>
  <c r="R1303" i="2"/>
  <c r="V1303" i="2" s="1"/>
  <c r="W1303" i="2" s="1"/>
  <c r="R1425" i="2"/>
  <c r="V1425" i="2" s="1"/>
  <c r="W1425" i="2" s="1"/>
  <c r="R263" i="2"/>
  <c r="V263" i="2" s="1"/>
  <c r="W263" i="2" s="1"/>
  <c r="R111" i="2"/>
  <c r="V111" i="2" s="1"/>
  <c r="W111" i="2" s="1"/>
  <c r="R199" i="2"/>
  <c r="V199" i="2" s="1"/>
  <c r="W199" i="2" s="1"/>
  <c r="R974" i="2"/>
  <c r="V974" i="2" s="1"/>
  <c r="W974" i="2" s="1"/>
  <c r="R502" i="2"/>
  <c r="V502" i="2" s="1"/>
  <c r="W502" i="2" s="1"/>
  <c r="R1340" i="2"/>
  <c r="V1340" i="2" s="1"/>
  <c r="W1340" i="2" s="1"/>
  <c r="R749" i="2"/>
  <c r="V749" i="2" s="1"/>
  <c r="W749" i="2" s="1"/>
  <c r="R1322" i="2"/>
  <c r="V1322" i="2" s="1"/>
  <c r="W1322" i="2" s="1"/>
  <c r="R121" i="2"/>
  <c r="V121" i="2" s="1"/>
  <c r="W121" i="2" s="1"/>
  <c r="R1231" i="2"/>
  <c r="V1231" i="2" s="1"/>
  <c r="W1231" i="2" s="1"/>
  <c r="R746" i="2"/>
  <c r="V746" i="2" s="1"/>
  <c r="W746" i="2" s="1"/>
  <c r="R860" i="2"/>
  <c r="V860" i="2" s="1"/>
  <c r="W860" i="2" s="1"/>
  <c r="R1454" i="2"/>
  <c r="V1454" i="2" s="1"/>
  <c r="W1454" i="2" s="1"/>
  <c r="R1698" i="2"/>
  <c r="V1698" i="2" s="1"/>
  <c r="W1698" i="2" s="1"/>
  <c r="R72" i="2"/>
  <c r="V72" i="2" s="1"/>
  <c r="W72" i="2" s="1"/>
  <c r="R1400" i="2"/>
  <c r="V1400" i="2" s="1"/>
  <c r="W1400" i="2" s="1"/>
  <c r="R806" i="2"/>
  <c r="V806" i="2" s="1"/>
  <c r="W806" i="2" s="1"/>
  <c r="R530" i="2"/>
  <c r="V530" i="2" s="1"/>
  <c r="W530" i="2" s="1"/>
  <c r="R922" i="2"/>
  <c r="V922" i="2" s="1"/>
  <c r="W922" i="2" s="1"/>
  <c r="R1457" i="2"/>
  <c r="V1457" i="2" s="1"/>
  <c r="W1457" i="2" s="1"/>
  <c r="R380" i="2"/>
  <c r="V380" i="2" s="1"/>
  <c r="W380" i="2" s="1"/>
  <c r="R1368" i="2"/>
  <c r="V1368" i="2" s="1"/>
  <c r="W1368" i="2" s="1"/>
  <c r="R84" i="2"/>
  <c r="V84" i="2" s="1"/>
  <c r="W84" i="2" s="1"/>
  <c r="R1437" i="2"/>
  <c r="V1437" i="2" s="1"/>
  <c r="W1437" i="2" s="1"/>
  <c r="R779" i="2"/>
  <c r="V779" i="2" s="1"/>
  <c r="W779" i="2" s="1"/>
  <c r="R730" i="2"/>
  <c r="V730" i="2" s="1"/>
  <c r="W730" i="2" s="1"/>
  <c r="R598" i="2"/>
  <c r="V598" i="2" s="1"/>
  <c r="W598" i="2" s="1"/>
  <c r="R1024" i="2"/>
  <c r="V1024" i="2" s="1"/>
  <c r="W1024" i="2" s="1"/>
  <c r="R1185" i="2"/>
  <c r="V1185" i="2" s="1"/>
  <c r="W1185" i="2" s="1"/>
  <c r="R606" i="2"/>
  <c r="V606" i="2" s="1"/>
  <c r="W606" i="2" s="1"/>
  <c r="R375" i="2"/>
  <c r="V375" i="2" s="1"/>
  <c r="W375" i="2" s="1"/>
  <c r="R246" i="2"/>
  <c r="V246" i="2" s="1"/>
  <c r="W246" i="2" s="1"/>
  <c r="R292" i="2"/>
  <c r="V292" i="2" s="1"/>
  <c r="W292" i="2" s="1"/>
  <c r="R153" i="2"/>
  <c r="V153" i="2" s="1"/>
  <c r="W153" i="2" s="1"/>
  <c r="R428" i="2"/>
  <c r="V428" i="2" s="1"/>
  <c r="W428" i="2" s="1"/>
  <c r="R766" i="2"/>
  <c r="V766" i="2" s="1"/>
  <c r="W766" i="2" s="1"/>
  <c r="R748" i="2"/>
  <c r="V748" i="2" s="1"/>
  <c r="W748" i="2" s="1"/>
  <c r="R1215" i="2"/>
  <c r="V1215" i="2" s="1"/>
  <c r="W1215" i="2" s="1"/>
  <c r="R1670" i="2"/>
  <c r="V1670" i="2" s="1"/>
  <c r="W1670" i="2" s="1"/>
  <c r="R1390" i="2"/>
  <c r="V1390" i="2" s="1"/>
  <c r="W1390" i="2" s="1"/>
  <c r="R1357" i="2"/>
  <c r="V1357" i="2" s="1"/>
  <c r="W1357" i="2" s="1"/>
  <c r="R696" i="2"/>
  <c r="V696" i="2" s="1"/>
  <c r="W696" i="2" s="1"/>
  <c r="R614" i="2"/>
  <c r="V614" i="2" s="1"/>
  <c r="W614" i="2" s="1"/>
  <c r="R206" i="2"/>
  <c r="V206" i="2" s="1"/>
  <c r="W206" i="2" s="1"/>
  <c r="R515" i="2"/>
  <c r="V515" i="2" s="1"/>
  <c r="W515" i="2" s="1"/>
  <c r="R731" i="2"/>
  <c r="V731" i="2" s="1"/>
  <c r="W731" i="2" s="1"/>
  <c r="R448" i="2"/>
  <c r="V448" i="2" s="1"/>
  <c r="W448" i="2" s="1"/>
  <c r="R159" i="2"/>
  <c r="V159" i="2" s="1"/>
  <c r="W159" i="2" s="1"/>
  <c r="R244" i="2"/>
  <c r="V244" i="2" s="1"/>
  <c r="W244" i="2" s="1"/>
  <c r="R912" i="2"/>
  <c r="V912" i="2" s="1"/>
  <c r="W912" i="2" s="1"/>
  <c r="R950" i="2"/>
  <c r="V950" i="2" s="1"/>
  <c r="W950" i="2" s="1"/>
  <c r="R224" i="2"/>
  <c r="V224" i="2" s="1"/>
  <c r="W224" i="2" s="1"/>
  <c r="R500" i="2"/>
  <c r="V500" i="2" s="1"/>
  <c r="W500" i="2" s="1"/>
  <c r="R1398" i="2"/>
  <c r="V1398" i="2" s="1"/>
  <c r="W1398" i="2" s="1"/>
  <c r="R1208" i="2"/>
  <c r="V1208" i="2" s="1"/>
  <c r="W1208" i="2" s="1"/>
  <c r="R253" i="2"/>
  <c r="V253" i="2" s="1"/>
  <c r="W253" i="2" s="1"/>
  <c r="R787" i="2"/>
  <c r="V787" i="2" s="1"/>
  <c r="W787" i="2" s="1"/>
  <c r="R1415" i="2"/>
  <c r="V1415" i="2" s="1"/>
  <c r="W1415" i="2" s="1"/>
  <c r="R1106" i="2"/>
  <c r="V1106" i="2" s="1"/>
  <c r="W1106" i="2" s="1"/>
  <c r="R501" i="2"/>
  <c r="V501" i="2" s="1"/>
  <c r="W501" i="2" s="1"/>
  <c r="R1471" i="2"/>
  <c r="V1471" i="2" s="1"/>
  <c r="W1471" i="2" s="1"/>
  <c r="R1026" i="2"/>
  <c r="V1026" i="2" s="1"/>
  <c r="W1026" i="2" s="1"/>
  <c r="R1032" i="2"/>
  <c r="V1032" i="2" s="1"/>
  <c r="W1032" i="2" s="1"/>
  <c r="R797" i="2"/>
  <c r="V797" i="2" s="1"/>
  <c r="W797" i="2" s="1"/>
  <c r="R378" i="2"/>
  <c r="V378" i="2" s="1"/>
  <c r="W378" i="2" s="1"/>
  <c r="R681" i="2"/>
  <c r="V681" i="2" s="1"/>
  <c r="W681" i="2" s="1"/>
  <c r="R1261" i="2"/>
  <c r="V1261" i="2" s="1"/>
  <c r="W1261" i="2" s="1"/>
  <c r="R1280" i="2"/>
  <c r="V1280" i="2" s="1"/>
  <c r="W1280" i="2" s="1"/>
  <c r="R1074" i="2"/>
  <c r="V1074" i="2" s="1"/>
  <c r="W1074" i="2" s="1"/>
  <c r="R863" i="2"/>
  <c r="V863" i="2" s="1"/>
  <c r="W863" i="2" s="1"/>
  <c r="R1318" i="2"/>
  <c r="V1318" i="2" s="1"/>
  <c r="W1318" i="2" s="1"/>
  <c r="R1001" i="2"/>
  <c r="V1001" i="2" s="1"/>
  <c r="W1001" i="2" s="1"/>
  <c r="R1351" i="2"/>
  <c r="V1351" i="2" s="1"/>
  <c r="W1351" i="2" s="1"/>
  <c r="R942" i="2"/>
  <c r="V942" i="2" s="1"/>
  <c r="W942" i="2" s="1"/>
  <c r="R801" i="2"/>
  <c r="V801" i="2" s="1"/>
  <c r="W801" i="2" s="1"/>
  <c r="R1142" i="2"/>
  <c r="V1142" i="2" s="1"/>
  <c r="W1142" i="2" s="1"/>
  <c r="R1331" i="2"/>
  <c r="V1331" i="2" s="1"/>
  <c r="W1331" i="2" s="1"/>
  <c r="R1153" i="2"/>
  <c r="V1153" i="2" s="1"/>
  <c r="W1153" i="2" s="1"/>
  <c r="R1187" i="2"/>
  <c r="V1187" i="2" s="1"/>
  <c r="W1187" i="2" s="1"/>
  <c r="R476" i="2"/>
  <c r="V476" i="2" s="1"/>
  <c r="W476" i="2" s="1"/>
  <c r="R2" i="2"/>
  <c r="V2" i="2" s="1"/>
  <c r="W2" i="2" s="1"/>
  <c r="R739" i="2"/>
  <c r="V739" i="2" s="1"/>
  <c r="W739" i="2" s="1"/>
  <c r="R489" i="2"/>
  <c r="V489" i="2" s="1"/>
  <c r="W489" i="2" s="1"/>
  <c r="R1742" i="2"/>
  <c r="V1742" i="2" s="1"/>
  <c r="W1742" i="2" s="1"/>
  <c r="R1257" i="2"/>
  <c r="V1257" i="2" s="1"/>
  <c r="W1257" i="2" s="1"/>
  <c r="R706" i="2"/>
  <c r="V706" i="2" s="1"/>
  <c r="W706" i="2" s="1"/>
  <c r="R665" i="2"/>
  <c r="V665" i="2" s="1"/>
  <c r="W665" i="2" s="1"/>
  <c r="R1049" i="2"/>
  <c r="V1049" i="2" s="1"/>
  <c r="W1049" i="2" s="1"/>
  <c r="R1172" i="2"/>
  <c r="V1172" i="2" s="1"/>
  <c r="W1172" i="2" s="1"/>
  <c r="R285" i="2"/>
  <c r="V285" i="2" s="1"/>
  <c r="W285" i="2" s="1"/>
  <c r="R761" i="2"/>
  <c r="V761" i="2" s="1"/>
  <c r="W761" i="2" s="1"/>
  <c r="R803" i="2"/>
  <c r="V803" i="2" s="1"/>
  <c r="W803" i="2" s="1"/>
  <c r="R1728" i="2"/>
  <c r="V1728" i="2" s="1"/>
  <c r="W1728" i="2" s="1"/>
  <c r="R1372" i="2"/>
  <c r="V1372" i="2" s="1"/>
  <c r="W1372" i="2" s="1"/>
  <c r="R1219" i="2"/>
  <c r="V1219" i="2" s="1"/>
  <c r="W1219" i="2" s="1"/>
  <c r="R767" i="2"/>
  <c r="V767" i="2" s="1"/>
  <c r="W767" i="2" s="1"/>
  <c r="R585" i="2"/>
  <c r="V585" i="2" s="1"/>
  <c r="W585" i="2" s="1"/>
  <c r="R427" i="2"/>
  <c r="V427" i="2" s="1"/>
  <c r="W427" i="2" s="1"/>
  <c r="R1469" i="2"/>
  <c r="V1469" i="2" s="1"/>
  <c r="W1469" i="2" s="1"/>
  <c r="R1164" i="2"/>
  <c r="V1164" i="2" s="1"/>
  <c r="W1164" i="2" s="1"/>
  <c r="R94" i="2"/>
  <c r="V94" i="2" s="1"/>
  <c r="W94" i="2" s="1"/>
  <c r="R1057" i="2"/>
  <c r="V1057" i="2" s="1"/>
  <c r="W1057" i="2" s="1"/>
  <c r="R1377" i="2"/>
  <c r="V1377" i="2" s="1"/>
  <c r="W1377" i="2" s="1"/>
  <c r="R254" i="2"/>
  <c r="V254" i="2" s="1"/>
  <c r="W254" i="2" s="1"/>
  <c r="R1743" i="2"/>
  <c r="V1743" i="2" s="1"/>
  <c r="W1743" i="2" s="1"/>
  <c r="R553" i="2"/>
  <c r="V553" i="2" s="1"/>
  <c r="W553" i="2" s="1"/>
  <c r="R835" i="2"/>
  <c r="V835" i="2" s="1"/>
  <c r="W835" i="2" s="1"/>
  <c r="R794" i="2"/>
  <c r="V794" i="2" s="1"/>
  <c r="W794" i="2" s="1"/>
  <c r="R1041" i="2"/>
  <c r="V1041" i="2" s="1"/>
  <c r="W1041" i="2" s="1"/>
  <c r="R1307" i="2"/>
  <c r="V1307" i="2" s="1"/>
  <c r="W1307" i="2" s="1"/>
  <c r="R221" i="2"/>
  <c r="V221" i="2" s="1"/>
  <c r="W221" i="2" s="1"/>
  <c r="R1124" i="2"/>
  <c r="V1124" i="2" s="1"/>
  <c r="W1124" i="2" s="1"/>
  <c r="R1448" i="2"/>
  <c r="V1448" i="2" s="1"/>
  <c r="W1448" i="2" s="1"/>
  <c r="R963" i="2"/>
  <c r="V963" i="2" s="1"/>
  <c r="W963" i="2" s="1"/>
  <c r="R514" i="2"/>
  <c r="V514" i="2" s="1"/>
  <c r="W514" i="2" s="1"/>
  <c r="R242" i="2"/>
  <c r="V242" i="2" s="1"/>
  <c r="W242" i="2" s="1"/>
  <c r="R677" i="2"/>
  <c r="V677" i="2" s="1"/>
  <c r="W677" i="2" s="1"/>
  <c r="R216" i="2"/>
  <c r="V216" i="2" s="1"/>
  <c r="W216" i="2" s="1"/>
  <c r="R549" i="2"/>
  <c r="V549" i="2" s="1"/>
  <c r="W549" i="2" s="1"/>
  <c r="R392" i="2"/>
  <c r="V392" i="2" s="1"/>
  <c r="W392" i="2" s="1"/>
  <c r="R700" i="2"/>
  <c r="V700" i="2" s="1"/>
  <c r="W700" i="2" s="1"/>
  <c r="R763" i="2"/>
  <c r="V763" i="2" s="1"/>
  <c r="W763" i="2" s="1"/>
  <c r="R387" i="2"/>
  <c r="V387" i="2" s="1"/>
  <c r="W387" i="2" s="1"/>
  <c r="R948" i="2"/>
  <c r="V948" i="2" s="1"/>
  <c r="W948" i="2" s="1"/>
  <c r="R1399" i="2"/>
  <c r="V1399" i="2" s="1"/>
  <c r="W1399" i="2" s="1"/>
  <c r="R174" i="2"/>
  <c r="V174" i="2" s="1"/>
  <c r="W174" i="2" s="1"/>
  <c r="R232" i="2"/>
  <c r="V232" i="2" s="1"/>
  <c r="W232" i="2" s="1"/>
  <c r="R1394" i="2"/>
  <c r="V1394" i="2" s="1"/>
  <c r="W1394" i="2" s="1"/>
  <c r="R945" i="2"/>
  <c r="V945" i="2" s="1"/>
  <c r="W945" i="2" s="1"/>
  <c r="R1370" i="2"/>
  <c r="V1370" i="2" s="1"/>
  <c r="W1370" i="2" s="1"/>
  <c r="R276" i="2"/>
  <c r="V276" i="2" s="1"/>
  <c r="W276" i="2" s="1"/>
  <c r="R538" i="2"/>
  <c r="V538" i="2" s="1"/>
  <c r="W538" i="2" s="1"/>
  <c r="R855" i="2"/>
  <c r="V855" i="2" s="1"/>
  <c r="W855" i="2" s="1"/>
  <c r="R1489" i="2"/>
  <c r="V1489" i="2" s="1"/>
  <c r="W1489" i="2" s="1"/>
  <c r="R258" i="2"/>
  <c r="V258" i="2" s="1"/>
  <c r="W258" i="2" s="1"/>
  <c r="R133" i="2"/>
  <c r="V133" i="2" s="1"/>
  <c r="W133" i="2" s="1"/>
  <c r="R910" i="2"/>
  <c r="V910" i="2" s="1"/>
  <c r="W910" i="2" s="1"/>
  <c r="R633" i="2"/>
  <c r="V633" i="2" s="1"/>
  <c r="W633" i="2" s="1"/>
  <c r="R17" i="2"/>
  <c r="V17" i="2" s="1"/>
  <c r="W17" i="2" s="1"/>
  <c r="R707" i="2"/>
  <c r="V707" i="2" s="1"/>
  <c r="W707" i="2" s="1"/>
  <c r="R1675" i="2"/>
  <c r="V1675" i="2" s="1"/>
  <c r="W1675" i="2" s="1"/>
  <c r="R400" i="2"/>
  <c r="V400" i="2" s="1"/>
  <c r="W400" i="2" s="1"/>
  <c r="R1071" i="2"/>
  <c r="V1071" i="2" s="1"/>
  <c r="W1071" i="2" s="1"/>
  <c r="R612" i="2"/>
  <c r="V612" i="2" s="1"/>
  <c r="W612" i="2" s="1"/>
  <c r="R1430" i="2"/>
  <c r="V1430" i="2" s="1"/>
  <c r="W1430" i="2" s="1"/>
  <c r="R1038" i="2"/>
  <c r="V1038" i="2" s="1"/>
  <c r="W1038" i="2" s="1"/>
  <c r="R65" i="2"/>
  <c r="V65" i="2" s="1"/>
  <c r="W65" i="2" s="1"/>
  <c r="R1093" i="2"/>
  <c r="V1093" i="2" s="1"/>
  <c r="W1093" i="2" s="1"/>
  <c r="R1088" i="2"/>
  <c r="V1088" i="2" s="1"/>
  <c r="W1088" i="2" s="1"/>
  <c r="R1020" i="2"/>
  <c r="V1020" i="2" s="1"/>
  <c r="W1020" i="2" s="1"/>
  <c r="R578" i="2"/>
  <c r="V578" i="2" s="1"/>
  <c r="W578" i="2" s="1"/>
  <c r="R846" i="2"/>
  <c r="V846" i="2" s="1"/>
  <c r="W846" i="2" s="1"/>
  <c r="R31" i="2"/>
  <c r="V31" i="2" s="1"/>
  <c r="W31" i="2" s="1"/>
  <c r="R1403" i="2"/>
  <c r="V1403" i="2" s="1"/>
  <c r="W1403" i="2" s="1"/>
  <c r="R386" i="2"/>
  <c r="V386" i="2" s="1"/>
  <c r="W386" i="2" s="1"/>
  <c r="R1103" i="2"/>
  <c r="V1103" i="2" s="1"/>
  <c r="W1103" i="2" s="1"/>
  <c r="R1486" i="2"/>
  <c r="V1486" i="2" s="1"/>
  <c r="W1486" i="2" s="1"/>
  <c r="R1064" i="2"/>
  <c r="V1064" i="2" s="1"/>
  <c r="W1064" i="2" s="1"/>
  <c r="R625" i="2"/>
  <c r="V625" i="2" s="1"/>
  <c r="W625" i="2" s="1"/>
  <c r="R867" i="2"/>
  <c r="V867" i="2" s="1"/>
  <c r="W867" i="2" s="1"/>
  <c r="R444" i="2"/>
  <c r="V444" i="2" s="1"/>
  <c r="W444" i="2" s="1"/>
  <c r="R1119" i="2"/>
  <c r="V1119" i="2" s="1"/>
  <c r="W1119" i="2" s="1"/>
  <c r="R457" i="2"/>
  <c r="V457" i="2" s="1"/>
  <c r="W457" i="2" s="1"/>
  <c r="R83" i="2"/>
  <c r="V83" i="2" s="1"/>
  <c r="W83" i="2" s="1"/>
  <c r="R898" i="2"/>
  <c r="V898" i="2" s="1"/>
  <c r="W898" i="2" s="1"/>
  <c r="R352" i="2"/>
  <c r="V352" i="2" s="1"/>
  <c r="W352" i="2" s="1"/>
  <c r="R166" i="2"/>
  <c r="V166" i="2" s="1"/>
  <c r="W166" i="2" s="1"/>
  <c r="R868" i="2"/>
  <c r="V868" i="2" s="1"/>
  <c r="W868" i="2" s="1"/>
  <c r="R1739" i="2"/>
  <c r="V1739" i="2" s="1"/>
  <c r="W1739" i="2" s="1"/>
  <c r="R110" i="2"/>
  <c r="V110" i="2" s="1"/>
  <c r="W110" i="2" s="1"/>
  <c r="R986" i="2"/>
  <c r="V986" i="2" s="1"/>
  <c r="W986" i="2" s="1"/>
  <c r="R1326" i="2"/>
  <c r="V1326" i="2" s="1"/>
  <c r="W1326" i="2" s="1"/>
  <c r="R1466" i="2"/>
  <c r="V1466" i="2" s="1"/>
  <c r="W1466" i="2" s="1"/>
  <c r="R737" i="2"/>
  <c r="V737" i="2" s="1"/>
  <c r="W737" i="2" s="1"/>
  <c r="R306" i="2"/>
  <c r="V306" i="2" s="1"/>
  <c r="W306" i="2" s="1"/>
  <c r="R1173" i="2"/>
  <c r="V1173" i="2" s="1"/>
  <c r="W1173" i="2" s="1"/>
  <c r="R504" i="2"/>
  <c r="V504" i="2" s="1"/>
  <c r="W504" i="2" s="1"/>
  <c r="R866" i="2"/>
  <c r="V866" i="2" s="1"/>
  <c r="W866" i="2" s="1"/>
  <c r="R728" i="2"/>
  <c r="V728" i="2" s="1"/>
  <c r="W728" i="2" s="1"/>
  <c r="R1438" i="2"/>
  <c r="V1438" i="2" s="1"/>
  <c r="W1438" i="2" s="1"/>
  <c r="R113" i="2"/>
  <c r="V113" i="2" s="1"/>
  <c r="W113" i="2" s="1"/>
  <c r="R1286" i="2"/>
  <c r="V1286" i="2" s="1"/>
  <c r="W1286" i="2" s="1"/>
  <c r="R569" i="2"/>
  <c r="V569" i="2" s="1"/>
  <c r="W569" i="2" s="1"/>
  <c r="R1030" i="2"/>
  <c r="V1030" i="2" s="1"/>
  <c r="W1030" i="2" s="1"/>
  <c r="R1249" i="2"/>
  <c r="V1249" i="2" s="1"/>
  <c r="W1249" i="2" s="1"/>
  <c r="R911" i="2"/>
  <c r="V911" i="2" s="1"/>
  <c r="W911" i="2" s="1"/>
  <c r="R288" i="2"/>
  <c r="V288" i="2" s="1"/>
  <c r="W288" i="2" s="1"/>
  <c r="R459" i="2"/>
  <c r="V459" i="2" s="1"/>
  <c r="W459" i="2" s="1"/>
  <c r="R1073" i="2"/>
  <c r="V1073" i="2" s="1"/>
  <c r="W1073" i="2" s="1"/>
  <c r="R993" i="2"/>
  <c r="V993" i="2" s="1"/>
  <c r="W993" i="2" s="1"/>
  <c r="R1052" i="2"/>
  <c r="V1052" i="2" s="1"/>
  <c r="W1052" i="2" s="1"/>
  <c r="R1744" i="2"/>
  <c r="V1744" i="2" s="1"/>
  <c r="W1744" i="2" s="1"/>
  <c r="R1146" i="2"/>
  <c r="V1146" i="2" s="1"/>
  <c r="W1146" i="2" s="1"/>
  <c r="R741" i="2"/>
  <c r="V741" i="2" s="1"/>
  <c r="W741" i="2" s="1"/>
  <c r="R416" i="2"/>
  <c r="V416" i="2" s="1"/>
  <c r="W416" i="2" s="1"/>
  <c r="R875" i="2"/>
  <c r="V875" i="2" s="1"/>
  <c r="W875" i="2" s="1"/>
  <c r="R1096" i="2"/>
  <c r="V1096" i="2" s="1"/>
  <c r="W1096" i="2" s="1"/>
  <c r="R107" i="2"/>
  <c r="V107" i="2" s="1"/>
  <c r="W107" i="2" s="1"/>
  <c r="R341" i="2"/>
  <c r="V341" i="2" s="1"/>
  <c r="W341" i="2" s="1"/>
  <c r="R566" i="2"/>
  <c r="V566" i="2" s="1"/>
  <c r="W566" i="2" s="1"/>
  <c r="R3" i="2"/>
  <c r="V3" i="2" s="1"/>
  <c r="W3" i="2" s="1"/>
  <c r="R698" i="2"/>
  <c r="V698" i="2" s="1"/>
  <c r="W698" i="2" s="1"/>
  <c r="R1224" i="2"/>
  <c r="V1224" i="2" s="1"/>
  <c r="W1224" i="2" s="1"/>
  <c r="R800" i="2"/>
  <c r="V800" i="2" s="1"/>
  <c r="W800" i="2" s="1"/>
  <c r="R573" i="2"/>
  <c r="V573" i="2" s="1"/>
  <c r="W573" i="2" s="1"/>
  <c r="R565" i="2"/>
  <c r="V565" i="2" s="1"/>
  <c r="W565" i="2" s="1"/>
  <c r="R383" i="2"/>
  <c r="V383" i="2" s="1"/>
  <c r="W383" i="2" s="1"/>
  <c r="R179" i="2"/>
  <c r="V179" i="2" s="1"/>
  <c r="W179" i="2" s="1"/>
  <c r="R317" i="2"/>
  <c r="V317" i="2" s="1"/>
  <c r="W317" i="2" s="1"/>
  <c r="R1104" i="2"/>
  <c r="V1104" i="2" s="1"/>
  <c r="W1104" i="2" s="1"/>
  <c r="R881" i="2"/>
  <c r="V881" i="2" s="1"/>
  <c r="W881" i="2" s="1"/>
  <c r="R725" i="2"/>
  <c r="V725" i="2" s="1"/>
  <c r="W725" i="2" s="1"/>
  <c r="R1301" i="2"/>
  <c r="V1301" i="2" s="1"/>
  <c r="W1301" i="2" s="1"/>
  <c r="R697" i="2"/>
  <c r="V697" i="2" s="1"/>
  <c r="W697" i="2" s="1"/>
  <c r="R97" i="2"/>
  <c r="V97" i="2" s="1"/>
  <c r="W97" i="2" s="1"/>
  <c r="R1449" i="2"/>
  <c r="V1449" i="2" s="1"/>
  <c r="W1449" i="2" s="1"/>
  <c r="R1673" i="2"/>
  <c r="V1673" i="2" s="1"/>
  <c r="W1673" i="2" s="1"/>
  <c r="R1417" i="2"/>
  <c r="V1417" i="2" s="1"/>
  <c r="W1417" i="2" s="1"/>
  <c r="R1255" i="2"/>
  <c r="V1255" i="2" s="1"/>
  <c r="W1255" i="2" s="1"/>
  <c r="R1382" i="2"/>
  <c r="V1382" i="2" s="1"/>
  <c r="W1382" i="2" s="1"/>
  <c r="R838" i="2"/>
  <c r="V838" i="2" s="1"/>
  <c r="W838" i="2" s="1"/>
  <c r="R664" i="2"/>
  <c r="V664" i="2" s="1"/>
  <c r="W664" i="2" s="1"/>
  <c r="R1724" i="2"/>
  <c r="V1724" i="2" s="1"/>
  <c r="W1724" i="2" s="1"/>
  <c r="R1259" i="2"/>
  <c r="V1259" i="2" s="1"/>
  <c r="W1259" i="2" s="1"/>
  <c r="R958" i="2"/>
  <c r="V958" i="2" s="1"/>
  <c r="W958" i="2" s="1"/>
  <c r="R879" i="2"/>
  <c r="V879" i="2" s="1"/>
  <c r="W879" i="2" s="1"/>
  <c r="R181" i="2"/>
  <c r="V181" i="2" s="1"/>
  <c r="W181" i="2" s="1"/>
  <c r="R979" i="2"/>
  <c r="V979" i="2" s="1"/>
  <c r="W979" i="2" s="1"/>
  <c r="R354" i="2"/>
  <c r="V354" i="2" s="1"/>
  <c r="W354" i="2" s="1"/>
  <c r="R1159" i="2"/>
  <c r="V1159" i="2" s="1"/>
  <c r="W1159" i="2" s="1"/>
  <c r="R1711" i="2"/>
  <c r="V1711" i="2" s="1"/>
  <c r="W1711" i="2" s="1"/>
  <c r="R742" i="2"/>
  <c r="V742" i="2" s="1"/>
  <c r="W742" i="2" s="1"/>
  <c r="R343" i="2"/>
  <c r="V343" i="2" s="1"/>
  <c r="W343" i="2" s="1"/>
  <c r="R693" i="2"/>
  <c r="V693" i="2" s="1"/>
  <c r="W693" i="2" s="1"/>
  <c r="R959" i="2"/>
  <c r="V959" i="2" s="1"/>
  <c r="W959" i="2" s="1"/>
  <c r="R283" i="2"/>
  <c r="V283" i="2" s="1"/>
  <c r="W283" i="2" s="1"/>
  <c r="R579" i="2"/>
  <c r="V579" i="2" s="1"/>
  <c r="W579" i="2" s="1"/>
  <c r="R225" i="2"/>
  <c r="V225" i="2" s="1"/>
  <c r="W225" i="2" s="1"/>
  <c r="R851" i="2"/>
  <c r="V851" i="2" s="1"/>
  <c r="W851" i="2" s="1"/>
  <c r="R320" i="2"/>
  <c r="V320" i="2" s="1"/>
  <c r="W320" i="2" s="1"/>
  <c r="R494" i="2"/>
  <c r="V494" i="2" s="1"/>
  <c r="W494" i="2" s="1"/>
  <c r="R142" i="2"/>
  <c r="V142" i="2" s="1"/>
  <c r="W142" i="2" s="1"/>
  <c r="R1490" i="2"/>
  <c r="V1490" i="2" s="1"/>
  <c r="W1490" i="2" s="1"/>
  <c r="R323" i="2"/>
  <c r="V323" i="2" s="1"/>
  <c r="W323" i="2" s="1"/>
  <c r="R1452" i="2"/>
  <c r="V1452" i="2" s="1"/>
  <c r="W1452" i="2" s="1"/>
  <c r="R1702" i="2"/>
  <c r="V1702" i="2" s="1"/>
  <c r="W1702" i="2" s="1"/>
  <c r="R1262" i="2"/>
  <c r="V1262" i="2" s="1"/>
  <c r="W1262" i="2" s="1"/>
  <c r="R1433" i="2"/>
  <c r="V1433" i="2" s="1"/>
  <c r="W1433" i="2" s="1"/>
  <c r="R56" i="2"/>
  <c r="V56" i="2" s="1"/>
  <c r="W56" i="2" s="1"/>
  <c r="R366" i="2"/>
  <c r="V366" i="2" s="1"/>
  <c r="W366" i="2" s="1"/>
  <c r="R1204" i="2"/>
  <c r="V1204" i="2" s="1"/>
  <c r="W1204" i="2" s="1"/>
  <c r="R33" i="2"/>
  <c r="V33" i="2" s="1"/>
  <c r="W33" i="2" s="1"/>
  <c r="R220" i="2"/>
  <c r="V220" i="2" s="1"/>
  <c r="W220" i="2" s="1"/>
  <c r="R247" i="2"/>
  <c r="V247" i="2" s="1"/>
  <c r="W247" i="2" s="1"/>
  <c r="R1179" i="2"/>
  <c r="V1179" i="2" s="1"/>
  <c r="W1179" i="2" s="1"/>
  <c r="R25" i="2"/>
  <c r="V25" i="2" s="1"/>
  <c r="W25" i="2" s="1"/>
  <c r="R635" i="2"/>
  <c r="V635" i="2" s="1"/>
  <c r="W635" i="2" s="1"/>
  <c r="R1271" i="2"/>
  <c r="V1271" i="2" s="1"/>
  <c r="W1271" i="2" s="1"/>
  <c r="R496" i="2"/>
  <c r="V496" i="2" s="1"/>
  <c r="W496" i="2" s="1"/>
  <c r="R188" i="2"/>
  <c r="V188" i="2" s="1"/>
  <c r="W188" i="2" s="1"/>
  <c r="R1695" i="2"/>
  <c r="V1695" i="2" s="1"/>
  <c r="W1695" i="2" s="1"/>
  <c r="R407" i="2"/>
  <c r="V407" i="2" s="1"/>
  <c r="W407" i="2" s="1"/>
  <c r="R786" i="2"/>
  <c r="V786" i="2" s="1"/>
  <c r="W786" i="2" s="1"/>
  <c r="R1381" i="2"/>
  <c r="V1381" i="2" s="1"/>
  <c r="W1381" i="2" s="1"/>
  <c r="R1380" i="2"/>
  <c r="V1380" i="2" s="1"/>
  <c r="W1380" i="2" s="1"/>
  <c r="R885" i="2"/>
  <c r="V885" i="2" s="1"/>
  <c r="W885" i="2" s="1"/>
  <c r="R864" i="2"/>
  <c r="V864" i="2" s="1"/>
  <c r="W864" i="2" s="1"/>
  <c r="R1740" i="2"/>
  <c r="V1740" i="2" s="1"/>
  <c r="W1740" i="2" s="1"/>
  <c r="R423" i="2"/>
  <c r="V423" i="2" s="1"/>
  <c r="W423" i="2" s="1"/>
  <c r="R398" i="2"/>
  <c r="V398" i="2" s="1"/>
  <c r="W398" i="2" s="1"/>
  <c r="R1686" i="2"/>
  <c r="V1686" i="2" s="1"/>
  <c r="W1686" i="2" s="1"/>
  <c r="R952" i="2"/>
  <c r="V952" i="2" s="1"/>
  <c r="W952" i="2" s="1"/>
  <c r="R1379" i="2"/>
  <c r="V1379" i="2" s="1"/>
  <c r="W1379" i="2" s="1"/>
  <c r="R1091" i="2"/>
  <c r="V1091" i="2" s="1"/>
  <c r="W1091" i="2" s="1"/>
  <c r="R117" i="2"/>
  <c r="V117" i="2" s="1"/>
  <c r="W117" i="2" s="1"/>
  <c r="R576" i="2"/>
  <c r="V576" i="2" s="1"/>
  <c r="W576" i="2" s="1"/>
  <c r="R230" i="2"/>
  <c r="V230" i="2" s="1"/>
  <c r="W230" i="2" s="1"/>
  <c r="R1059" i="2"/>
  <c r="V1059" i="2" s="1"/>
  <c r="W1059" i="2" s="1"/>
  <c r="R1018" i="2"/>
  <c r="V1018" i="2" s="1"/>
  <c r="W1018" i="2" s="1"/>
  <c r="R1309" i="2"/>
  <c r="V1309" i="2" s="1"/>
  <c r="W1309" i="2" s="1"/>
  <c r="R215" i="2"/>
  <c r="V215" i="2" s="1"/>
  <c r="W215" i="2" s="1"/>
  <c r="R135" i="2"/>
  <c r="V135" i="2" s="1"/>
  <c r="W135" i="2" s="1"/>
  <c r="R1265" i="2"/>
  <c r="V1265" i="2" s="1"/>
  <c r="W1265" i="2" s="1"/>
  <c r="R1253" i="2"/>
  <c r="V1253" i="2" s="1"/>
  <c r="W1253" i="2" s="1"/>
  <c r="R1045" i="2"/>
  <c r="V1045" i="2" s="1"/>
  <c r="W1045" i="2" s="1"/>
  <c r="R196" i="2"/>
  <c r="V196" i="2" s="1"/>
  <c r="W196" i="2" s="1"/>
  <c r="R780" i="2"/>
  <c r="V780" i="2" s="1"/>
  <c r="W780" i="2" s="1"/>
  <c r="R529" i="2"/>
  <c r="V529" i="2" s="1"/>
  <c r="W529" i="2" s="1"/>
  <c r="R1481" i="2"/>
  <c r="V1481" i="2" s="1"/>
  <c r="W1481" i="2" s="1"/>
  <c r="R67" i="2"/>
  <c r="V67" i="2" s="1"/>
  <c r="W67" i="2" s="1"/>
  <c r="R661" i="2"/>
  <c r="V661" i="2" s="1"/>
  <c r="W661" i="2" s="1"/>
  <c r="R743" i="2"/>
  <c r="V743" i="2" s="1"/>
  <c r="W743" i="2" s="1"/>
  <c r="R59" i="2"/>
  <c r="V59" i="2" s="1"/>
  <c r="W59" i="2" s="1"/>
  <c r="R309" i="2"/>
  <c r="V309" i="2" s="1"/>
  <c r="W309" i="2" s="1"/>
  <c r="R850" i="2"/>
  <c r="V850" i="2" s="1"/>
  <c r="W850" i="2" s="1"/>
  <c r="R599" i="2"/>
  <c r="V599" i="2" s="1"/>
  <c r="W599" i="2" s="1"/>
  <c r="R1214" i="2"/>
  <c r="V1214" i="2" s="1"/>
  <c r="W1214" i="2" s="1"/>
  <c r="R965" i="2"/>
  <c r="V965" i="2" s="1"/>
  <c r="W965" i="2" s="1"/>
  <c r="R1496" i="2"/>
  <c r="V1496" i="2" s="1"/>
  <c r="W1496" i="2" s="1"/>
  <c r="R170" i="2"/>
  <c r="V170" i="2" s="1"/>
  <c r="W170" i="2" s="1"/>
  <c r="R962" i="2"/>
  <c r="V962" i="2" s="1"/>
  <c r="W962" i="2" s="1"/>
  <c r="R918" i="2"/>
  <c r="V918" i="2" s="1"/>
  <c r="W918" i="2" s="1"/>
  <c r="R1136" i="2"/>
  <c r="V1136" i="2" s="1"/>
  <c r="W1136" i="2" s="1"/>
  <c r="R656" i="2"/>
  <c r="V656" i="2" s="1"/>
  <c r="W656" i="2" s="1"/>
  <c r="R818" i="2"/>
  <c r="V818" i="2" s="1"/>
  <c r="W818" i="2" s="1"/>
  <c r="R271" i="2"/>
  <c r="V271" i="2" s="1"/>
  <c r="W271" i="2" s="1"/>
  <c r="R1310" i="2"/>
  <c r="V1310" i="2" s="1"/>
  <c r="W1310" i="2" s="1"/>
  <c r="R1359" i="2"/>
  <c r="V1359" i="2" s="1"/>
  <c r="W1359" i="2" s="1"/>
  <c r="R1330" i="2"/>
  <c r="V1330" i="2" s="1"/>
  <c r="W1330" i="2" s="1"/>
  <c r="R1436" i="2"/>
  <c r="V1436" i="2" s="1"/>
  <c r="W1436" i="2" s="1"/>
  <c r="R854" i="2"/>
  <c r="V854" i="2" s="1"/>
  <c r="W854" i="2" s="1"/>
  <c r="R921" i="2"/>
  <c r="V921" i="2" s="1"/>
  <c r="W921" i="2" s="1"/>
  <c r="R796" i="2"/>
  <c r="V796" i="2" s="1"/>
  <c r="W796" i="2" s="1"/>
  <c r="R136" i="2"/>
  <c r="V136" i="2" s="1"/>
  <c r="W136" i="2" s="1"/>
  <c r="R75" i="2"/>
  <c r="V75" i="2" s="1"/>
  <c r="W75" i="2" s="1"/>
  <c r="R116" i="2"/>
  <c r="V116" i="2" s="1"/>
  <c r="W116" i="2" s="1"/>
  <c r="R1161" i="2"/>
  <c r="V1161" i="2" s="1"/>
  <c r="W1161" i="2" s="1"/>
  <c r="R1405" i="2"/>
  <c r="V1405" i="2" s="1"/>
  <c r="W1405" i="2" s="1"/>
  <c r="R342" i="2"/>
  <c r="V342" i="2" s="1"/>
  <c r="W342" i="2" s="1"/>
  <c r="R510" i="2"/>
  <c r="V510" i="2" s="1"/>
  <c r="W510" i="2" s="1"/>
  <c r="R1418" i="2"/>
  <c r="V1418" i="2" s="1"/>
  <c r="W1418" i="2" s="1"/>
  <c r="R671" i="2"/>
  <c r="V671" i="2" s="1"/>
  <c r="W671" i="2" s="1"/>
  <c r="R913" i="2"/>
  <c r="V913" i="2" s="1"/>
  <c r="W913" i="2" s="1"/>
  <c r="R1122" i="2"/>
  <c r="V1122" i="2" s="1"/>
  <c r="W1122" i="2" s="1"/>
  <c r="R1138" i="2"/>
  <c r="V1138" i="2" s="1"/>
  <c r="W1138" i="2" s="1"/>
  <c r="R906" i="2"/>
  <c r="V906" i="2" s="1"/>
  <c r="W906" i="2" s="1"/>
  <c r="R1456" i="2"/>
  <c r="V1456" i="2" s="1"/>
  <c r="W1456" i="2" s="1"/>
  <c r="R71" i="2"/>
  <c r="V71" i="2" s="1"/>
  <c r="W71" i="2" s="1"/>
  <c r="R575" i="2"/>
  <c r="V575" i="2" s="1"/>
  <c r="W575" i="2" s="1"/>
  <c r="R1230" i="2"/>
  <c r="V1230" i="2" s="1"/>
  <c r="W1230" i="2" s="1"/>
  <c r="R999" i="2"/>
  <c r="V999" i="2" s="1"/>
  <c r="W999" i="2" s="1"/>
  <c r="R458" i="2"/>
  <c r="V458" i="2" s="1"/>
  <c r="W458" i="2" s="1"/>
  <c r="R152" i="2"/>
  <c r="V152" i="2" s="1"/>
  <c r="W152" i="2" s="1"/>
  <c r="R894" i="2"/>
  <c r="V894" i="2" s="1"/>
  <c r="W894" i="2" s="1"/>
  <c r="R38" i="2"/>
  <c r="V38" i="2" s="1"/>
  <c r="W38" i="2" s="1"/>
  <c r="R849" i="2"/>
  <c r="V849" i="2" s="1"/>
  <c r="W849" i="2" s="1"/>
  <c r="R360" i="2"/>
  <c r="V360" i="2" s="1"/>
  <c r="W360" i="2" s="1"/>
  <c r="R1201" i="2"/>
  <c r="V1201" i="2" s="1"/>
  <c r="W1201" i="2" s="1"/>
  <c r="R1721" i="2"/>
  <c r="V1721" i="2" s="1"/>
  <c r="W1721" i="2" s="1"/>
  <c r="R988" i="2"/>
  <c r="V988" i="2" s="1"/>
  <c r="W988" i="2" s="1"/>
  <c r="R1716" i="2"/>
  <c r="V1716" i="2" s="1"/>
  <c r="W1716" i="2" s="1"/>
  <c r="R1199" i="2"/>
  <c r="V1199" i="2" s="1"/>
  <c r="W1199" i="2" s="1"/>
  <c r="R1498" i="2"/>
  <c r="V1498" i="2" s="1"/>
  <c r="W1498" i="2" s="1"/>
  <c r="R703" i="2"/>
  <c r="V703" i="2" s="1"/>
  <c r="W703" i="2" s="1"/>
  <c r="R16" i="2"/>
  <c r="V16" i="2" s="1"/>
  <c r="W16" i="2" s="1"/>
  <c r="R591" i="2"/>
  <c r="V591" i="2" s="1"/>
  <c r="W591" i="2" s="1"/>
  <c r="R319" i="2"/>
  <c r="V319" i="2" s="1"/>
  <c r="W319" i="2" s="1"/>
  <c r="R995" i="2"/>
  <c r="V995" i="2" s="1"/>
  <c r="W995" i="2" s="1"/>
  <c r="R750" i="2"/>
  <c r="V750" i="2" s="1"/>
  <c r="W750" i="2" s="1"/>
  <c r="R499" i="2"/>
  <c r="V499" i="2" s="1"/>
  <c r="W499" i="2" s="1"/>
  <c r="R1360" i="2"/>
  <c r="V1360" i="2" s="1"/>
  <c r="W1360" i="2" s="1"/>
  <c r="R473" i="2"/>
  <c r="V473" i="2" s="1"/>
  <c r="W473" i="2" s="1"/>
  <c r="R272" i="2"/>
  <c r="V272" i="2" s="1"/>
  <c r="W272" i="2" s="1"/>
  <c r="R901" i="2"/>
  <c r="V901" i="2" s="1"/>
  <c r="W901" i="2" s="1"/>
  <c r="R139" i="2"/>
  <c r="V139" i="2" s="1"/>
  <c r="W139" i="2" s="1"/>
  <c r="R440" i="2"/>
  <c r="V440" i="2" s="1"/>
  <c r="W440" i="2" s="1"/>
  <c r="R229" i="2"/>
  <c r="V229" i="2" s="1"/>
  <c r="W229" i="2" s="1"/>
  <c r="R243" i="2"/>
  <c r="V243" i="2" s="1"/>
  <c r="W243" i="2" s="1"/>
  <c r="R79" i="2"/>
  <c r="V79" i="2" s="1"/>
  <c r="W79" i="2" s="1"/>
  <c r="R1696" i="2"/>
  <c r="V1696" i="2" s="1"/>
  <c r="W1696" i="2" s="1"/>
  <c r="R156" i="2"/>
  <c r="V156" i="2" s="1"/>
  <c r="W156" i="2" s="1"/>
  <c r="R914" i="2"/>
  <c r="V914" i="2" s="1"/>
  <c r="W914" i="2" s="1"/>
  <c r="R359" i="2"/>
  <c r="V359" i="2" s="1"/>
  <c r="W359" i="2" s="1"/>
  <c r="R1282" i="2"/>
  <c r="V1282" i="2" s="1"/>
  <c r="W1282" i="2" s="1"/>
  <c r="R1475" i="2"/>
  <c r="V1475" i="2" s="1"/>
  <c r="W1475" i="2" s="1"/>
  <c r="R104" i="2"/>
  <c r="V104" i="2" s="1"/>
  <c r="W104" i="2" s="1"/>
  <c r="R626" i="2"/>
  <c r="V626" i="2" s="1"/>
  <c r="W626" i="2" s="1"/>
  <c r="R751" i="2"/>
  <c r="V751" i="2" s="1"/>
  <c r="W751" i="2" s="1"/>
  <c r="R336" i="2"/>
  <c r="V336" i="2" s="1"/>
  <c r="W336" i="2" s="1"/>
  <c r="R58" i="2"/>
  <c r="V58" i="2" s="1"/>
  <c r="W58" i="2" s="1"/>
  <c r="R609" i="2"/>
  <c r="V609" i="2" s="1"/>
  <c r="W609" i="2" s="1"/>
  <c r="R1076" i="2"/>
  <c r="V1076" i="2" s="1"/>
  <c r="W1076" i="2" s="1"/>
  <c r="R1000" i="2"/>
  <c r="V1000" i="2" s="1"/>
  <c r="W1000" i="2" s="1"/>
  <c r="R1022" i="2"/>
  <c r="V1022" i="2" s="1"/>
  <c r="W1022" i="2" s="1"/>
  <c r="R330" i="2"/>
  <c r="V330" i="2" s="1"/>
  <c r="W330" i="2" s="1"/>
  <c r="R824" i="2"/>
  <c r="V824" i="2" s="1"/>
  <c r="W824" i="2" s="1"/>
  <c r="R557" i="2"/>
  <c r="V557" i="2" s="1"/>
  <c r="W557" i="2" s="1"/>
  <c r="R1332" i="2"/>
  <c r="V1332" i="2" s="1"/>
  <c r="W1332" i="2" s="1"/>
  <c r="R998" i="2"/>
  <c r="V998" i="2" s="1"/>
  <c r="W998" i="2" s="1"/>
  <c r="R409" i="2"/>
  <c r="V409" i="2" s="1"/>
  <c r="W409" i="2" s="1"/>
  <c r="R663" i="2"/>
  <c r="V663" i="2" s="1"/>
  <c r="W663" i="2" s="1"/>
  <c r="R887" i="2"/>
  <c r="V887" i="2" s="1"/>
  <c r="W887" i="2" s="1"/>
  <c r="R669" i="2"/>
  <c r="V669" i="2" s="1"/>
  <c r="W669" i="2" s="1"/>
  <c r="R361" i="2"/>
  <c r="V361" i="2" s="1"/>
  <c r="W361" i="2" s="1"/>
  <c r="R1205" i="2"/>
  <c r="V1205" i="2" s="1"/>
  <c r="W1205" i="2" s="1"/>
  <c r="R1150" i="2"/>
  <c r="V1150" i="2" s="1"/>
  <c r="W1150" i="2" s="1"/>
  <c r="R1311" i="2"/>
  <c r="V1311" i="2" s="1"/>
  <c r="W1311" i="2" s="1"/>
  <c r="R955" i="2"/>
  <c r="V955" i="2" s="1"/>
  <c r="W955" i="2" s="1"/>
  <c r="R643" i="2"/>
  <c r="V643" i="2" s="1"/>
  <c r="W643" i="2" s="1"/>
  <c r="R475" i="2"/>
  <c r="V475" i="2" s="1"/>
  <c r="W475" i="2" s="1"/>
  <c r="R1120" i="2"/>
  <c r="V1120" i="2" s="1"/>
  <c r="W1120" i="2" s="1"/>
  <c r="R194" i="2"/>
  <c r="V194" i="2" s="1"/>
  <c r="W194" i="2" s="1"/>
  <c r="R1305" i="2"/>
  <c r="V1305" i="2" s="1"/>
  <c r="W1305" i="2" s="1"/>
  <c r="R1287" i="2"/>
  <c r="V1287" i="2" s="1"/>
  <c r="W1287" i="2" s="1"/>
  <c r="R630" i="2"/>
  <c r="V630" i="2" s="1"/>
  <c r="W630" i="2" s="1"/>
  <c r="R1188" i="2"/>
  <c r="V1188" i="2" s="1"/>
  <c r="W1188" i="2" s="1"/>
  <c r="R1072" i="2"/>
  <c r="V1072" i="2" s="1"/>
  <c r="W1072" i="2" s="1"/>
  <c r="R969" i="2"/>
  <c r="V969" i="2" s="1"/>
  <c r="W969" i="2" s="1"/>
  <c r="R1028" i="2"/>
  <c r="V1028" i="2" s="1"/>
  <c r="W1028" i="2" s="1"/>
  <c r="R639" i="2"/>
  <c r="V639" i="2" s="1"/>
  <c r="W639" i="2" s="1"/>
  <c r="R805" i="2"/>
  <c r="V805" i="2" s="1"/>
  <c r="W805" i="2" s="1"/>
  <c r="R926" i="2"/>
  <c r="V926" i="2" s="1"/>
  <c r="W926" i="2" s="1"/>
  <c r="R1242" i="2"/>
  <c r="V1242" i="2" s="1"/>
  <c r="W1242" i="2" s="1"/>
  <c r="R431" i="2"/>
  <c r="V431" i="2" s="1"/>
  <c r="W431" i="2" s="1"/>
  <c r="R602" i="2"/>
  <c r="V602" i="2" s="1"/>
  <c r="W602" i="2" s="1"/>
  <c r="R715" i="2"/>
  <c r="V715" i="2" s="1"/>
  <c r="W715" i="2" s="1"/>
  <c r="R297" i="2"/>
  <c r="V297" i="2" s="1"/>
  <c r="W297" i="2" s="1"/>
  <c r="R15" i="2"/>
  <c r="V15" i="2" s="1"/>
  <c r="W15" i="2" s="1"/>
  <c r="R512" i="2"/>
  <c r="V512" i="2" s="1"/>
  <c r="W512" i="2" s="1"/>
  <c r="R1110" i="2"/>
  <c r="V1110" i="2" s="1"/>
  <c r="W1110" i="2" s="1"/>
  <c r="R147" i="2"/>
  <c r="V147" i="2" s="1"/>
  <c r="W147" i="2" s="1"/>
  <c r="R657" i="2"/>
  <c r="V657" i="2" s="1"/>
  <c r="W657" i="2" s="1"/>
  <c r="R1016" i="2"/>
  <c r="V1016" i="2" s="1"/>
  <c r="W1016" i="2" s="1"/>
  <c r="R754" i="2"/>
  <c r="V754" i="2" s="1"/>
  <c r="W754" i="2" s="1"/>
  <c r="R1729" i="2"/>
  <c r="V1729" i="2" s="1"/>
  <c r="W1729" i="2" s="1"/>
  <c r="R493" i="2"/>
  <c r="V493" i="2" s="1"/>
  <c r="W493" i="2" s="1"/>
  <c r="R1163" i="2"/>
  <c r="V1163" i="2" s="1"/>
  <c r="W1163" i="2" s="1"/>
  <c r="R439" i="2"/>
  <c r="V439" i="2" s="1"/>
  <c r="W439" i="2" s="1"/>
  <c r="R1210" i="2"/>
  <c r="V1210" i="2" s="1"/>
  <c r="W1210" i="2" s="1"/>
  <c r="R1722" i="2"/>
  <c r="V1722" i="2" s="1"/>
  <c r="W1722" i="2" s="1"/>
  <c r="R690" i="2"/>
  <c r="V690" i="2" s="1"/>
  <c r="W690" i="2" s="1"/>
  <c r="R1155" i="2"/>
  <c r="V1155" i="2" s="1"/>
  <c r="W1155" i="2" s="1"/>
  <c r="R554" i="2"/>
  <c r="V554" i="2" s="1"/>
  <c r="W554" i="2" s="1"/>
  <c r="R102" i="2"/>
  <c r="V102" i="2" s="1"/>
  <c r="W102" i="2" s="1"/>
  <c r="R364" i="2"/>
  <c r="V364" i="2" s="1"/>
  <c r="W364" i="2" s="1"/>
  <c r="R896" i="2"/>
  <c r="V896" i="2" s="1"/>
  <c r="W896" i="2" s="1"/>
  <c r="R1154" i="2"/>
  <c r="V1154" i="2" s="1"/>
  <c r="W1154" i="2" s="1"/>
  <c r="R736" i="2"/>
  <c r="V736" i="2" s="1"/>
  <c r="W736" i="2" s="1"/>
  <c r="R1429" i="2"/>
  <c r="V1429" i="2" s="1"/>
  <c r="W1429" i="2" s="1"/>
  <c r="R628" i="2"/>
  <c r="V628" i="2" s="1"/>
  <c r="W628" i="2" s="1"/>
  <c r="R747" i="2"/>
  <c r="V747" i="2" s="1"/>
  <c r="W747" i="2" s="1"/>
  <c r="R381" i="2"/>
  <c r="V381" i="2" s="1"/>
  <c r="W381" i="2" s="1"/>
  <c r="R158" i="2"/>
  <c r="V158" i="2" s="1"/>
  <c r="W158" i="2" s="1"/>
  <c r="R727" i="2"/>
  <c r="V727" i="2" s="1"/>
  <c r="W727" i="2" s="1"/>
  <c r="R238" i="2"/>
  <c r="V238" i="2" s="1"/>
  <c r="W238" i="2" s="1"/>
  <c r="R695" i="2"/>
  <c r="V695" i="2" s="1"/>
  <c r="W695" i="2" s="1"/>
  <c r="R1341" i="2"/>
  <c r="V1341" i="2" s="1"/>
  <c r="W1341" i="2" s="1"/>
  <c r="R1247" i="2"/>
  <c r="V1247" i="2" s="1"/>
  <c r="W1247" i="2" s="1"/>
  <c r="R203" i="2"/>
  <c r="V203" i="2" s="1"/>
  <c r="W203" i="2" s="1"/>
  <c r="R1109" i="2"/>
  <c r="V1109" i="2" s="1"/>
  <c r="W1109" i="2" s="1"/>
  <c r="R1298" i="2"/>
  <c r="V1298" i="2" s="1"/>
  <c r="W1298" i="2" s="1"/>
  <c r="R971" i="2"/>
  <c r="V971" i="2" s="1"/>
  <c r="W971" i="2" s="1"/>
  <c r="R770" i="2"/>
  <c r="V770" i="2" s="1"/>
  <c r="W770" i="2" s="1"/>
  <c r="R574" i="2"/>
  <c r="V574" i="2" s="1"/>
  <c r="W574" i="2" s="1"/>
  <c r="R765" i="2"/>
  <c r="V765" i="2" s="1"/>
  <c r="W765" i="2" s="1"/>
  <c r="R949" i="2"/>
  <c r="V949" i="2" s="1"/>
  <c r="W949" i="2" s="1"/>
  <c r="R63" i="2"/>
  <c r="V63" i="2" s="1"/>
  <c r="W63" i="2" s="1"/>
  <c r="R823" i="2"/>
  <c r="V823" i="2" s="1"/>
  <c r="W823" i="2" s="1"/>
  <c r="R745" i="2"/>
  <c r="V745" i="2" s="1"/>
  <c r="W745" i="2" s="1"/>
  <c r="R1312" i="2"/>
  <c r="V1312" i="2" s="1"/>
  <c r="W1312" i="2" s="1"/>
  <c r="R146" i="2"/>
  <c r="V146" i="2" s="1"/>
  <c r="W146" i="2" s="1"/>
  <c r="R437" i="2"/>
  <c r="V437" i="2" s="1"/>
  <c r="W437" i="2" s="1"/>
  <c r="R507" i="2"/>
  <c r="V507" i="2" s="1"/>
  <c r="W507" i="2" s="1"/>
  <c r="R1470" i="2"/>
  <c r="V1470" i="2" s="1"/>
  <c r="W1470" i="2" s="1"/>
  <c r="R915" i="2"/>
  <c r="V915" i="2" s="1"/>
  <c r="W915" i="2" s="1"/>
  <c r="R1306" i="2"/>
  <c r="V1306" i="2" s="1"/>
  <c r="W1306" i="2" s="1"/>
  <c r="R807" i="2"/>
  <c r="V807" i="2" s="1"/>
  <c r="W807" i="2" s="1"/>
  <c r="R8" i="2"/>
  <c r="V8" i="2" s="1"/>
  <c r="W8" i="2" s="1"/>
  <c r="R168" i="2"/>
  <c r="V168" i="2" s="1"/>
  <c r="W168" i="2" s="1"/>
  <c r="R1727" i="2"/>
  <c r="V1727" i="2" s="1"/>
  <c r="W1727" i="2" s="1"/>
  <c r="R1461" i="2"/>
  <c r="V1461" i="2" s="1"/>
  <c r="W1461" i="2" s="1"/>
  <c r="R1434" i="2"/>
  <c r="V1434" i="2" s="1"/>
  <c r="W1434" i="2" s="1"/>
  <c r="R54" i="2"/>
  <c r="V54" i="2" s="1"/>
  <c r="W54" i="2" s="1"/>
  <c r="R1492" i="2"/>
  <c r="V1492" i="2" s="1"/>
  <c r="W1492" i="2" s="1"/>
  <c r="R1378" i="2"/>
  <c r="V1378" i="2" s="1"/>
  <c r="W1378" i="2" s="1"/>
  <c r="R30" i="2"/>
  <c r="V30" i="2" s="1"/>
  <c r="W30" i="2" s="1"/>
  <c r="R925" i="2"/>
  <c r="V925" i="2" s="1"/>
  <c r="W925" i="2" s="1"/>
  <c r="R1169" i="2"/>
  <c r="V1169" i="2" s="1"/>
  <c r="W1169" i="2" s="1"/>
  <c r="R1058" i="2"/>
  <c r="V1058" i="2" s="1"/>
  <c r="W1058" i="2" s="1"/>
  <c r="R551" i="2"/>
  <c r="V551" i="2" s="1"/>
  <c r="W551" i="2" s="1"/>
  <c r="R154" i="2"/>
  <c r="V154" i="2" s="1"/>
  <c r="W154" i="2" s="1"/>
  <c r="R1485" i="2"/>
  <c r="V1485" i="2" s="1"/>
  <c r="W1485" i="2" s="1"/>
  <c r="R1726" i="2"/>
  <c r="V1726" i="2" s="1"/>
  <c r="W1726" i="2" s="1"/>
  <c r="R1328" i="2"/>
  <c r="V1328" i="2" s="1"/>
  <c r="W1328" i="2" s="1"/>
  <c r="R73" i="2"/>
  <c r="V73" i="2" s="1"/>
  <c r="W73" i="2" s="1"/>
  <c r="R1446" i="2"/>
  <c r="V1446" i="2" s="1"/>
  <c r="W1446" i="2" s="1"/>
  <c r="R143" i="2"/>
  <c r="V143" i="2" s="1"/>
  <c r="W143" i="2" s="1"/>
  <c r="R1697" i="2"/>
  <c r="V1697" i="2" s="1"/>
  <c r="W1697" i="2" s="1"/>
  <c r="R1112" i="2"/>
  <c r="V1112" i="2" s="1"/>
  <c r="W1112" i="2" s="1"/>
  <c r="R157" i="2"/>
  <c r="V157" i="2" s="1"/>
  <c r="W157" i="2" s="1"/>
  <c r="R944" i="2"/>
  <c r="V944" i="2" s="1"/>
  <c r="W944" i="2" s="1"/>
  <c r="R1304" i="2"/>
  <c r="V1304" i="2" s="1"/>
  <c r="W1304" i="2" s="1"/>
  <c r="R1459" i="2"/>
  <c r="V1459" i="2" s="1"/>
  <c r="W1459" i="2" s="1"/>
  <c r="R280" i="2"/>
  <c r="V280" i="2" s="1"/>
  <c r="W280" i="2" s="1"/>
  <c r="R702" i="2"/>
  <c r="V702" i="2" s="1"/>
  <c r="W702" i="2" s="1"/>
  <c r="R98" i="2"/>
  <c r="V98" i="2" s="1"/>
  <c r="W98" i="2" s="1"/>
  <c r="R1239" i="2"/>
  <c r="V1239" i="2" s="1"/>
  <c r="W1239" i="2" s="1"/>
  <c r="R290" i="2"/>
  <c r="V290" i="2" s="1"/>
  <c r="W290" i="2" s="1"/>
  <c r="R1128" i="2"/>
  <c r="V1128" i="2" s="1"/>
  <c r="W1128" i="2" s="1"/>
  <c r="R768" i="2"/>
  <c r="V768" i="2" s="1"/>
  <c r="W768" i="2" s="1"/>
  <c r="R827" i="2"/>
  <c r="V827" i="2" s="1"/>
  <c r="W827" i="2" s="1"/>
  <c r="R1135" i="2"/>
  <c r="V1135" i="2" s="1"/>
  <c r="W1135" i="2" s="1"/>
  <c r="R269" i="2"/>
  <c r="V269" i="2" s="1"/>
  <c r="W269" i="2" s="1"/>
  <c r="R721" i="2"/>
  <c r="V721" i="2" s="1"/>
  <c r="W721" i="2" s="1"/>
  <c r="R1467" i="2"/>
  <c r="V1467" i="2" s="1"/>
  <c r="W1467" i="2" s="1"/>
  <c r="R902" i="2"/>
  <c r="V902" i="2" s="1"/>
  <c r="W902" i="2" s="1"/>
  <c r="R231" i="2"/>
  <c r="V231" i="2" s="1"/>
  <c r="W231" i="2" s="1"/>
  <c r="R893" i="2"/>
  <c r="V893" i="2" s="1"/>
  <c r="W893" i="2" s="1"/>
  <c r="R125" i="2"/>
  <c r="V125" i="2" s="1"/>
  <c r="W125" i="2" s="1"/>
  <c r="R1473" i="2"/>
  <c r="V1473" i="2" s="1"/>
  <c r="W1473" i="2" s="1"/>
  <c r="R1324" i="2"/>
  <c r="V1324" i="2" s="1"/>
  <c r="W1324" i="2" s="1"/>
  <c r="P1197" i="2" a="1"/>
  <c r="P1197" i="2" s="1"/>
  <c r="P1409" i="2" a="1"/>
  <c r="P1409" i="2" s="1"/>
  <c r="P1033" i="2" a="1"/>
  <c r="P1033" i="2" s="1"/>
  <c r="P469" i="2" a="1"/>
  <c r="P469" i="2" s="1"/>
  <c r="P412" i="2" a="1"/>
  <c r="P412" i="2" s="1"/>
  <c r="P1435" i="2" a="1"/>
  <c r="P1435" i="2" s="1"/>
  <c r="P304" i="2" a="1"/>
  <c r="P304" i="2" s="1"/>
  <c r="Q1266" i="2" a="1"/>
  <c r="Q1266" i="2" s="1"/>
  <c r="P1464" i="2" a="1"/>
  <c r="P1464" i="2" s="1"/>
  <c r="P1266" i="2" a="1"/>
  <c r="P1266" i="2" s="1"/>
  <c r="Q1267" i="2" a="1"/>
  <c r="Q1267" i="2" s="1"/>
  <c r="P1267" i="2" a="1"/>
  <c r="P1267" i="2" s="1"/>
  <c r="P114" i="2" a="1"/>
  <c r="P114" i="2" s="1"/>
  <c r="P755" i="2" a="1"/>
  <c r="P755" i="2" s="1"/>
  <c r="P1313" i="2" a="1"/>
  <c r="P1313" i="2" s="1"/>
  <c r="P1149" i="2" a="1"/>
  <c r="P1149" i="2" s="1"/>
  <c r="P1495" i="2" a="1"/>
  <c r="P1495" i="2" s="1"/>
  <c r="P822" i="2" a="1"/>
  <c r="P822" i="2" s="1"/>
  <c r="P78" i="2" a="1"/>
  <c r="P78" i="2" s="1"/>
  <c r="P303" i="2" a="1"/>
  <c r="P303" i="2" s="1"/>
  <c r="P668" i="2" a="1"/>
  <c r="P668" i="2" s="1"/>
  <c r="P421" i="2" a="1"/>
  <c r="P421" i="2" s="1"/>
  <c r="P315" i="2" a="1"/>
  <c r="P315" i="2" s="1"/>
  <c r="P1254" i="2" a="1"/>
  <c r="P1254" i="2" s="1"/>
  <c r="P684" i="2" a="1"/>
  <c r="P684" i="2" s="1"/>
  <c r="P182" i="2" a="1"/>
  <c r="P182" i="2" s="1"/>
  <c r="P793" i="2" a="1"/>
  <c r="P793" i="2" s="1"/>
  <c r="P466" i="2" a="1"/>
  <c r="P466" i="2" s="1"/>
  <c r="P1101" i="2" a="1"/>
  <c r="P1101" i="2" s="1"/>
  <c r="P26" i="2" a="1"/>
  <c r="P26" i="2" s="1"/>
  <c r="P1008" i="2" a="1"/>
  <c r="P1008" i="2" s="1"/>
  <c r="P595" i="2" a="1"/>
  <c r="P595" i="2" s="1"/>
  <c r="P1386" i="2" a="1"/>
  <c r="P1386" i="2" s="1"/>
  <c r="P772" i="2" a="1"/>
  <c r="P772" i="2" s="1"/>
  <c r="P257" i="2" a="1"/>
  <c r="P257" i="2" s="1"/>
  <c r="P53" i="2" a="1"/>
  <c r="P53" i="2" s="1"/>
  <c r="P1499" i="2" a="1"/>
  <c r="P1499" i="2" s="1"/>
  <c r="P1158" i="2" a="1"/>
  <c r="P1158" i="2" s="1"/>
  <c r="P704" i="2" a="1"/>
  <c r="P704" i="2" s="1"/>
  <c r="P1348" i="2" a="1"/>
  <c r="P1348" i="2" s="1"/>
  <c r="P1371" i="2" a="1"/>
  <c r="P1371" i="2" s="1"/>
  <c r="P350" i="2" a="1"/>
  <c r="P350" i="2" s="1"/>
  <c r="P873" i="2" a="1"/>
  <c r="P873" i="2" s="1"/>
  <c r="P452" i="2" a="1"/>
  <c r="P452" i="2" s="1"/>
  <c r="P11" i="2" a="1"/>
  <c r="P11" i="2" s="1"/>
  <c r="P1075" i="2" a="1"/>
  <c r="P1075" i="2" s="1"/>
  <c r="P51" i="2" a="1"/>
  <c r="P51" i="2" s="1"/>
  <c r="P24" i="2" a="1"/>
  <c r="P24" i="2" s="1"/>
  <c r="Q1105" i="2" a="1"/>
  <c r="Q1105" i="2" s="1"/>
  <c r="Q210" i="2" a="1"/>
  <c r="Q210" i="2" s="1"/>
  <c r="Q713" i="2" a="1"/>
  <c r="Q713" i="2" s="1"/>
  <c r="Q737" i="2" a="1"/>
  <c r="Q737" i="2" s="1"/>
  <c r="Q739" i="2" a="1"/>
  <c r="Q739" i="2" s="1"/>
  <c r="Q1069" i="2" a="1"/>
  <c r="Q1069" i="2" s="1"/>
  <c r="D282" i="14"/>
  <c r="D253" i="14"/>
  <c r="R421" i="2" l="1"/>
  <c r="V421" i="2" s="1"/>
  <c r="W421" i="2" s="1"/>
  <c r="R1158" i="2"/>
  <c r="V1158" i="2" s="1"/>
  <c r="W1158" i="2" s="1"/>
  <c r="R1435" i="2"/>
  <c r="V1435" i="2" s="1"/>
  <c r="W1435" i="2" s="1"/>
  <c r="R53" i="2"/>
  <c r="V53" i="2" s="1"/>
  <c r="W53" i="2" s="1"/>
  <c r="R303" i="2"/>
  <c r="V303" i="2" s="1"/>
  <c r="W303" i="2" s="1"/>
  <c r="R469" i="2"/>
  <c r="V469" i="2" s="1"/>
  <c r="W469" i="2" s="1"/>
  <c r="R315" i="2"/>
  <c r="V315" i="2" s="1"/>
  <c r="W315" i="2" s="1"/>
  <c r="R78" i="2"/>
  <c r="V78" i="2" s="1"/>
  <c r="W78" i="2" s="1"/>
  <c r="R257" i="2"/>
  <c r="V257" i="2" s="1"/>
  <c r="W257" i="2" s="1"/>
  <c r="R822" i="2"/>
  <c r="V822" i="2" s="1"/>
  <c r="W822" i="2" s="1"/>
  <c r="R1033" i="2"/>
  <c r="V1033" i="2" s="1"/>
  <c r="W1033" i="2" s="1"/>
  <c r="R772" i="2"/>
  <c r="V772" i="2" s="1"/>
  <c r="W772" i="2" s="1"/>
  <c r="R1409" i="2"/>
  <c r="V1409" i="2" s="1"/>
  <c r="W1409" i="2" s="1"/>
  <c r="R1386" i="2"/>
  <c r="V1386" i="2" s="1"/>
  <c r="W1386" i="2" s="1"/>
  <c r="R1495" i="2"/>
  <c r="V1495" i="2" s="1"/>
  <c r="W1495" i="2" s="1"/>
  <c r="R1197" i="2"/>
  <c r="V1197" i="2" s="1"/>
  <c r="W1197" i="2" s="1"/>
  <c r="R304" i="2"/>
  <c r="V304" i="2" s="1"/>
  <c r="W304" i="2" s="1"/>
  <c r="R24" i="2"/>
  <c r="V24" i="2" s="1"/>
  <c r="W24" i="2" s="1"/>
  <c r="R595" i="2"/>
  <c r="V595" i="2" s="1"/>
  <c r="W595" i="2" s="1"/>
  <c r="R1149" i="2"/>
  <c r="V1149" i="2" s="1"/>
  <c r="W1149" i="2" s="1"/>
  <c r="R1075" i="2"/>
  <c r="V1075" i="2" s="1"/>
  <c r="W1075" i="2" s="1"/>
  <c r="R26" i="2"/>
  <c r="V26" i="2" s="1"/>
  <c r="W26" i="2" s="1"/>
  <c r="R11" i="2"/>
  <c r="V11" i="2" s="1"/>
  <c r="W11" i="2" s="1"/>
  <c r="R51" i="2"/>
  <c r="V51" i="2" s="1"/>
  <c r="W51" i="2" s="1"/>
  <c r="R755" i="2"/>
  <c r="V755" i="2" s="1"/>
  <c r="W755" i="2" s="1"/>
  <c r="R452" i="2"/>
  <c r="V452" i="2" s="1"/>
  <c r="W452" i="2" s="1"/>
  <c r="R466" i="2"/>
  <c r="V466" i="2" s="1"/>
  <c r="W466" i="2" s="1"/>
  <c r="R1267" i="2"/>
  <c r="V1267" i="2" s="1"/>
  <c r="W1267" i="2" s="1"/>
  <c r="R704" i="2"/>
  <c r="V704" i="2" s="1"/>
  <c r="W704" i="2" s="1"/>
  <c r="R182" i="2"/>
  <c r="V182" i="2" s="1"/>
  <c r="W182" i="2" s="1"/>
  <c r="R1266" i="2"/>
  <c r="V1266" i="2" s="1"/>
  <c r="W1266" i="2" s="1"/>
  <c r="R1313" i="2"/>
  <c r="V1313" i="2" s="1"/>
  <c r="W1313" i="2" s="1"/>
  <c r="R873" i="2"/>
  <c r="V873" i="2" s="1"/>
  <c r="W873" i="2" s="1"/>
  <c r="R350" i="2"/>
  <c r="V350" i="2" s="1"/>
  <c r="W350" i="2" s="1"/>
  <c r="R684" i="2"/>
  <c r="V684" i="2" s="1"/>
  <c r="W684" i="2" s="1"/>
  <c r="R1008" i="2"/>
  <c r="V1008" i="2" s="1"/>
  <c r="W1008" i="2" s="1"/>
  <c r="R793" i="2"/>
  <c r="V793" i="2" s="1"/>
  <c r="W793" i="2" s="1"/>
  <c r="R1371" i="2"/>
  <c r="V1371" i="2" s="1"/>
  <c r="W1371" i="2" s="1"/>
  <c r="R1464" i="2"/>
  <c r="V1464" i="2" s="1"/>
  <c r="W1464" i="2" s="1"/>
  <c r="R1348" i="2"/>
  <c r="V1348" i="2" s="1"/>
  <c r="W1348" i="2" s="1"/>
  <c r="R1254" i="2"/>
  <c r="V1254" i="2" s="1"/>
  <c r="W1254" i="2" s="1"/>
  <c r="R1101" i="2"/>
  <c r="V1101" i="2" s="1"/>
  <c r="W1101" i="2" s="1"/>
  <c r="R114" i="2"/>
  <c r="V114" i="2" s="1"/>
  <c r="W114" i="2" s="1"/>
  <c r="R1499" i="2"/>
  <c r="V1499" i="2" s="1"/>
  <c r="W1499" i="2" s="1"/>
  <c r="R668" i="2"/>
  <c r="V668" i="2" s="1"/>
  <c r="W668" i="2" s="1"/>
  <c r="R412" i="2"/>
  <c r="V412" i="2" s="1"/>
  <c r="W412" i="2" s="1"/>
  <c r="I2" i="29" a="1"/>
  <c r="D2" i="30" a="1"/>
  <c r="W3" i="29" l="1" a="1"/>
  <c r="W3" i="29" s="1"/>
  <c r="T3" i="29" a="1"/>
  <c r="T3" i="29" s="1"/>
  <c r="S3" i="29" a="1"/>
  <c r="S3" i="29" s="1"/>
  <c r="P3" i="29" a="1"/>
  <c r="P3" i="29" s="1"/>
  <c r="O3" i="29" a="1"/>
  <c r="O3" i="29" s="1"/>
  <c r="N3" i="29" a="1"/>
  <c r="N3" i="29" s="1"/>
  <c r="M3" i="29" a="1"/>
  <c r="M3" i="29" s="1"/>
  <c r="K3" i="29" a="1"/>
  <c r="K3" i="29" s="1"/>
  <c r="J3" i="29" a="1"/>
  <c r="J3" i="29" s="1"/>
  <c r="L3" i="29" a="1"/>
  <c r="L3" i="29" s="1"/>
  <c r="AF3" i="30" a="1"/>
  <c r="AF3" i="30" s="1"/>
  <c r="X3" i="30" a="1"/>
  <c r="X3" i="30" s="1"/>
  <c r="AE3" i="30" a="1"/>
  <c r="AE3" i="30" s="1"/>
  <c r="O3" i="30" a="1"/>
  <c r="O3" i="30" s="1"/>
  <c r="W3" i="30" a="1"/>
  <c r="W3" i="30" s="1"/>
  <c r="U3" i="30" a="1"/>
  <c r="U3" i="30" s="1"/>
  <c r="L3" i="30" a="1"/>
  <c r="L3" i="30" s="1"/>
  <c r="I2" i="29"/>
  <c r="I3" i="29" s="1" a="1"/>
  <c r="I3" i="29" s="1"/>
  <c r="D2" i="30"/>
  <c r="AE1" i="30" l="1"/>
  <c r="D124" i="14"/>
  <c r="D140" i="14"/>
  <c r="D155" i="14"/>
  <c r="D156" i="14"/>
  <c r="D172" i="14"/>
  <c r="D188" i="14"/>
  <c r="D203" i="14"/>
  <c r="D204" i="14"/>
  <c r="D220" i="14"/>
  <c r="D236" i="14"/>
  <c r="D252" i="14"/>
  <c r="D285" i="14"/>
  <c r="D286" i="14"/>
  <c r="D302" i="14"/>
  <c r="D316" i="14"/>
  <c r="D326" i="14"/>
  <c r="D327" i="14"/>
  <c r="D342" i="14"/>
  <c r="D343" i="14"/>
  <c r="D358" i="14"/>
  <c r="D359" i="14"/>
  <c r="D374" i="14"/>
  <c r="D375" i="14"/>
  <c r="D390" i="14"/>
  <c r="D391" i="14"/>
  <c r="D329" i="14"/>
  <c r="D330" i="14"/>
  <c r="D345" i="14"/>
  <c r="D346" i="14"/>
  <c r="D361" i="14"/>
  <c r="D362" i="14"/>
  <c r="D377" i="14"/>
  <c r="D378" i="14"/>
  <c r="D393" i="14"/>
  <c r="D394" i="14"/>
  <c r="D320" i="14"/>
  <c r="D321" i="14"/>
  <c r="D322" i="14"/>
  <c r="D323" i="14"/>
  <c r="D324" i="14"/>
  <c r="D325" i="14"/>
  <c r="D328" i="14"/>
  <c r="D331" i="14"/>
  <c r="D332" i="14"/>
  <c r="D333" i="14"/>
  <c r="D334" i="14"/>
  <c r="D335" i="14"/>
  <c r="D336" i="14"/>
  <c r="D337" i="14"/>
  <c r="D338" i="14"/>
  <c r="D339" i="14"/>
  <c r="D340" i="14"/>
  <c r="D341" i="14"/>
  <c r="D344" i="14"/>
  <c r="D347" i="14"/>
  <c r="D348" i="14"/>
  <c r="D349" i="14"/>
  <c r="D350" i="14"/>
  <c r="D351" i="14"/>
  <c r="D352" i="14"/>
  <c r="D353" i="14"/>
  <c r="D354" i="14"/>
  <c r="D355" i="14"/>
  <c r="D356" i="14"/>
  <c r="D357" i="14"/>
  <c r="D360" i="14"/>
  <c r="D363" i="14"/>
  <c r="D364" i="14"/>
  <c r="D365" i="14"/>
  <c r="D366" i="14"/>
  <c r="D367" i="14"/>
  <c r="D368" i="14"/>
  <c r="D369" i="14"/>
  <c r="D370" i="14"/>
  <c r="D371" i="14"/>
  <c r="D372" i="14"/>
  <c r="D373" i="14"/>
  <c r="D376" i="14"/>
  <c r="D379" i="14"/>
  <c r="D380" i="14"/>
  <c r="D381" i="14"/>
  <c r="D382" i="14"/>
  <c r="D383" i="14"/>
  <c r="D384" i="14"/>
  <c r="D385" i="14"/>
  <c r="D386" i="14"/>
  <c r="D387" i="14"/>
  <c r="D388" i="14"/>
  <c r="D389" i="14"/>
  <c r="D392" i="14"/>
  <c r="D395" i="14"/>
  <c r="D396" i="14"/>
  <c r="D113" i="14"/>
  <c r="D135" i="14"/>
  <c r="D136" i="14"/>
  <c r="D137" i="14"/>
  <c r="D139" i="14"/>
  <c r="D145" i="14"/>
  <c r="D152" i="14"/>
  <c r="D153" i="14"/>
  <c r="D154" i="14"/>
  <c r="D167" i="14"/>
  <c r="D168" i="14"/>
  <c r="D169" i="14"/>
  <c r="D170" i="14"/>
  <c r="D171" i="14"/>
  <c r="D183" i="14"/>
  <c r="D184" i="14"/>
  <c r="D185" i="14"/>
  <c r="D186" i="14"/>
  <c r="D187" i="14"/>
  <c r="D193" i="14"/>
  <c r="D200" i="14"/>
  <c r="D201" i="14"/>
  <c r="D202" i="14"/>
  <c r="D215" i="14"/>
  <c r="D216" i="14"/>
  <c r="D217" i="14"/>
  <c r="D218" i="14"/>
  <c r="D219" i="14"/>
  <c r="D231" i="14"/>
  <c r="D232" i="14"/>
  <c r="D233" i="14"/>
  <c r="D234" i="14"/>
  <c r="D235" i="14"/>
  <c r="D241" i="14"/>
  <c r="D247" i="14"/>
  <c r="D248" i="14"/>
  <c r="D249" i="14"/>
  <c r="D250" i="14"/>
  <c r="D251" i="14"/>
  <c r="D264" i="14"/>
  <c r="D265" i="14"/>
  <c r="D266" i="14"/>
  <c r="D267" i="14"/>
  <c r="D268" i="14"/>
  <c r="D269" i="14"/>
  <c r="D274" i="14"/>
  <c r="D280" i="14"/>
  <c r="D281" i="14"/>
  <c r="D283" i="14"/>
  <c r="D284" i="14"/>
  <c r="D297" i="14"/>
  <c r="D298" i="14"/>
  <c r="D299" i="14"/>
  <c r="D300" i="14"/>
  <c r="D301" i="14"/>
  <c r="D311" i="14"/>
  <c r="D312" i="14"/>
  <c r="D313" i="14"/>
  <c r="D314" i="14"/>
  <c r="D315" i="14"/>
  <c r="D317" i="14"/>
  <c r="D318" i="14"/>
  <c r="D319" i="14"/>
  <c r="D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4" i="14"/>
  <c r="D115" i="14"/>
  <c r="D116" i="14"/>
  <c r="D117" i="14"/>
  <c r="D118" i="14"/>
  <c r="D125" i="14"/>
  <c r="D126" i="14"/>
  <c r="D127" i="14"/>
  <c r="D128" i="14"/>
  <c r="D129" i="14"/>
  <c r="D130" i="14"/>
  <c r="D131" i="14"/>
  <c r="D132" i="14"/>
  <c r="D133" i="14"/>
  <c r="D134" i="14"/>
  <c r="D141" i="14"/>
  <c r="D142" i="14"/>
  <c r="D143" i="14"/>
  <c r="D144" i="14"/>
  <c r="D146" i="14"/>
  <c r="D147" i="14"/>
  <c r="D148" i="14"/>
  <c r="D149" i="14"/>
  <c r="D150" i="14"/>
  <c r="D151" i="14"/>
  <c r="D157" i="14"/>
  <c r="D158" i="14"/>
  <c r="D159" i="14"/>
  <c r="D160" i="14"/>
  <c r="D161" i="14"/>
  <c r="D162" i="14"/>
  <c r="D163" i="14"/>
  <c r="D164" i="14"/>
  <c r="D165" i="14"/>
  <c r="D166" i="14"/>
  <c r="D173" i="14"/>
  <c r="D174" i="14"/>
  <c r="D175" i="14"/>
  <c r="D176" i="14"/>
  <c r="D177" i="14"/>
  <c r="D178" i="14"/>
  <c r="D179" i="14"/>
  <c r="D180" i="14"/>
  <c r="D181" i="14"/>
  <c r="D182" i="14"/>
  <c r="D189" i="14"/>
  <c r="D190" i="14"/>
  <c r="D191" i="14"/>
  <c r="D192" i="14"/>
  <c r="D194" i="14"/>
  <c r="D195" i="14"/>
  <c r="D196" i="14"/>
  <c r="D197" i="14"/>
  <c r="D198" i="14"/>
  <c r="D199" i="14"/>
  <c r="D205" i="14"/>
  <c r="D206" i="14"/>
  <c r="D207" i="14"/>
  <c r="D208" i="14"/>
  <c r="D209" i="14"/>
  <c r="D210" i="14"/>
  <c r="D211" i="14"/>
  <c r="D212" i="14"/>
  <c r="D213" i="14"/>
  <c r="D214" i="14"/>
  <c r="D221" i="14"/>
  <c r="D222" i="14"/>
  <c r="D223" i="14"/>
  <c r="D224" i="14"/>
  <c r="D225" i="14"/>
  <c r="D226" i="14"/>
  <c r="D227" i="14"/>
  <c r="D228" i="14"/>
  <c r="D229" i="14"/>
  <c r="D230" i="14"/>
  <c r="D237" i="14"/>
  <c r="D238" i="14"/>
  <c r="D239" i="14"/>
  <c r="D240" i="14"/>
  <c r="D242" i="14"/>
  <c r="D243" i="14"/>
  <c r="D244" i="14"/>
  <c r="D245" i="14"/>
  <c r="D246" i="14"/>
  <c r="D254" i="14"/>
  <c r="D255" i="14"/>
  <c r="D256" i="14"/>
  <c r="D257" i="14"/>
  <c r="D258" i="14"/>
  <c r="D259" i="14"/>
  <c r="D260" i="14"/>
  <c r="D261" i="14"/>
  <c r="D262" i="14"/>
  <c r="D263" i="14"/>
  <c r="D270" i="14"/>
  <c r="D271" i="14"/>
  <c r="D272" i="14"/>
  <c r="D273" i="14"/>
  <c r="D275" i="14"/>
  <c r="D276" i="14"/>
  <c r="D277" i="14"/>
  <c r="D278" i="14"/>
  <c r="D279" i="14"/>
  <c r="D287" i="14"/>
  <c r="D288" i="14"/>
  <c r="D289" i="14"/>
  <c r="D290" i="14"/>
  <c r="D291" i="14"/>
  <c r="D292" i="14"/>
  <c r="D293" i="14"/>
  <c r="D294" i="14"/>
  <c r="D295" i="14"/>
  <c r="D296" i="14"/>
  <c r="D303" i="14"/>
  <c r="D304" i="14"/>
  <c r="D305" i="14"/>
  <c r="D306" i="14"/>
  <c r="D307" i="14"/>
  <c r="D308" i="14"/>
  <c r="D309" i="14"/>
  <c r="D310" i="14"/>
  <c r="AF1" i="30" l="1"/>
  <c r="M1" i="29"/>
  <c r="K1" i="29"/>
  <c r="L1" i="29"/>
  <c r="D119" i="14"/>
  <c r="D120" i="14"/>
  <c r="D121" i="14"/>
  <c r="D123" i="14"/>
  <c r="D138" i="14"/>
  <c r="D122" i="14"/>
  <c r="A1647" i="2"/>
  <c r="A183" i="2"/>
  <c r="A1223" i="2"/>
  <c r="A1564" i="2"/>
  <c r="A1591" i="2"/>
  <c r="A1667" i="2"/>
  <c r="A1604" i="2"/>
  <c r="A1659" i="2"/>
  <c r="A1632" i="2"/>
  <c r="A1609" i="2"/>
  <c r="A1650" i="2"/>
  <c r="A1610" i="2"/>
  <c r="A1633" i="2"/>
  <c r="A1634" i="2"/>
  <c r="A1611" i="2"/>
  <c r="A1592" i="2"/>
  <c r="A1651" i="2"/>
  <c r="A1593" i="2"/>
  <c r="A1616" i="2"/>
  <c r="A1617" i="2"/>
  <c r="A1660" i="2"/>
  <c r="A1661" i="2"/>
  <c r="A1618" i="2"/>
  <c r="A1635" i="2"/>
  <c r="A1662" i="2"/>
  <c r="A1619" i="2"/>
  <c r="A1657" i="2"/>
  <c r="A1589" i="2"/>
  <c r="A1652" i="2"/>
  <c r="A1620" i="2"/>
  <c r="A1630" i="2"/>
  <c r="A1612" i="2"/>
  <c r="A1636" i="2"/>
  <c r="A1595" i="2"/>
  <c r="A1621" i="2"/>
  <c r="A1637" i="2"/>
  <c r="A1638" i="2"/>
  <c r="A1605" i="2"/>
  <c r="A1622" i="2"/>
  <c r="A1640" i="2"/>
  <c r="A1663" i="2"/>
  <c r="A1664" i="2"/>
  <c r="A1645" i="2"/>
  <c r="A1653" i="2"/>
  <c r="A1658" i="2"/>
  <c r="A1596" i="2"/>
  <c r="A1597" i="2"/>
  <c r="A1606" i="2"/>
  <c r="A1623" i="2"/>
  <c r="A1641" i="2"/>
  <c r="A1598" i="2"/>
  <c r="A1613" i="2"/>
  <c r="A1599" i="2"/>
  <c r="A1646" i="2"/>
  <c r="A1665" i="2"/>
  <c r="A1624" i="2"/>
  <c r="A1642" i="2"/>
  <c r="A1625" i="2"/>
  <c r="A1631" i="2"/>
  <c r="A1643" i="2"/>
  <c r="A1590" i="2"/>
  <c r="A1600" i="2"/>
  <c r="A1587" i="2"/>
  <c r="A1584" i="2"/>
  <c r="A1666" i="2"/>
  <c r="A1601" i="2"/>
  <c r="A1626" i="2"/>
  <c r="A1644" i="2"/>
  <c r="A1627" i="2"/>
  <c r="A1607" i="2"/>
  <c r="A1614" i="2"/>
  <c r="A1602" i="2"/>
  <c r="A1615" i="2"/>
  <c r="A1655" i="2"/>
  <c r="A1603" i="2"/>
  <c r="A1656" i="2"/>
  <c r="A1586" i="2"/>
  <c r="A1648" i="2"/>
  <c r="A1628" i="2"/>
  <c r="A1649" i="2"/>
  <c r="A1629" i="2"/>
  <c r="AA3" i="30" l="1" a="1"/>
  <c r="AA3" i="30" s="1"/>
  <c r="R3" i="29" a="1"/>
  <c r="R3" i="29" s="1"/>
  <c r="S1" i="29"/>
  <c r="J1" i="29"/>
  <c r="O1" i="29"/>
  <c r="N1" i="29"/>
  <c r="A182" i="2"/>
  <c r="A1534" i="2"/>
  <c r="A174" i="2"/>
  <c r="A1737" i="2"/>
  <c r="A1743" i="2"/>
  <c r="A1528" i="2"/>
  <c r="A1563" i="2"/>
  <c r="A1540" i="2"/>
  <c r="A1565" i="2"/>
  <c r="A1508" i="2"/>
  <c r="A1572" i="2"/>
  <c r="A1523" i="2"/>
  <c r="A1608" i="2"/>
  <c r="A1569" i="2"/>
  <c r="A1530" i="2"/>
  <c r="A1514" i="2"/>
  <c r="A1533" i="2"/>
  <c r="A1525" i="2"/>
  <c r="A1654" i="2"/>
  <c r="A1547" i="2"/>
  <c r="A892" i="2"/>
  <c r="A1542" i="2"/>
  <c r="A1520" i="2"/>
  <c r="A1576" i="2"/>
  <c r="A1585" i="2"/>
  <c r="V3" i="29" s="1" a="1"/>
  <c r="V3" i="29" s="1"/>
  <c r="A1506" i="2"/>
  <c r="A1522" i="2"/>
  <c r="A1509" i="2"/>
  <c r="A1560" i="2"/>
  <c r="A1511" i="2"/>
  <c r="A1549" i="2"/>
  <c r="A1544" i="2"/>
  <c r="A1545" i="2"/>
  <c r="A1561" i="2"/>
  <c r="A1581" i="2"/>
  <c r="A1536" i="2"/>
  <c r="A1557" i="2"/>
  <c r="A1516" i="2"/>
  <c r="A1527" i="2"/>
  <c r="A1562" i="2"/>
  <c r="A1517" i="2"/>
  <c r="A1566" i="2"/>
  <c r="A1570" i="2"/>
  <c r="A1573" i="2"/>
  <c r="A1519" i="2"/>
  <c r="A1512" i="2"/>
  <c r="A1579" i="2"/>
  <c r="A1580" i="2"/>
  <c r="A1535" i="2"/>
  <c r="A1555" i="2"/>
  <c r="A1554" i="2"/>
  <c r="A1524" i="2"/>
  <c r="A1639" i="2"/>
  <c r="A1539" i="2"/>
  <c r="A1558" i="2"/>
  <c r="A1571" i="2"/>
  <c r="A1537" i="2"/>
  <c r="A1548" i="2"/>
  <c r="A1532" i="2"/>
  <c r="A1588" i="2"/>
  <c r="A1594" i="2"/>
  <c r="A1559" i="2"/>
  <c r="A1515" i="2"/>
  <c r="A1510" i="2"/>
  <c r="A1574" i="2"/>
  <c r="A1538" i="2"/>
  <c r="A1582" i="2"/>
  <c r="A1553" i="2"/>
  <c r="A1543" i="2"/>
  <c r="A1541" i="2"/>
  <c r="A1546" i="2"/>
  <c r="A1577" i="2"/>
  <c r="A1578" i="2"/>
  <c r="A1513" i="2"/>
  <c r="A1568" i="2"/>
  <c r="A1521" i="2"/>
  <c r="A1531" i="2"/>
  <c r="A1552" i="2"/>
  <c r="A1551" i="2"/>
  <c r="A1529" i="2"/>
  <c r="A1583" i="2"/>
  <c r="A1567" i="2"/>
  <c r="A1575" i="2"/>
  <c r="A1550" i="2"/>
  <c r="A1518" i="2"/>
  <c r="U3" i="29" s="1" a="1"/>
  <c r="U3" i="29" s="1"/>
  <c r="A1526" i="2"/>
  <c r="A178" i="2"/>
  <c r="A772" i="2"/>
  <c r="A416" i="2"/>
  <c r="A1718" i="2"/>
  <c r="A823" i="2"/>
  <c r="A190" i="2"/>
  <c r="A349" i="2"/>
  <c r="A863" i="2"/>
  <c r="A301" i="2"/>
  <c r="A172" i="2"/>
  <c r="A480" i="2"/>
  <c r="A170" i="2"/>
  <c r="A524" i="2"/>
  <c r="A879" i="2"/>
  <c r="A1179" i="2"/>
  <c r="A1365" i="2"/>
  <c r="A171" i="2"/>
  <c r="G5" i="4" a="1"/>
  <c r="G5" i="4" s="1"/>
  <c r="A1719" i="2"/>
  <c r="A692" i="2"/>
  <c r="A1353" i="2"/>
  <c r="A1362" i="2"/>
  <c r="A1720" i="2"/>
  <c r="A821" i="2"/>
  <c r="A418" i="2"/>
  <c r="A868" i="2"/>
  <c r="A185" i="2"/>
  <c r="A184" i="2"/>
  <c r="A1180" i="2"/>
  <c r="A952" i="2"/>
  <c r="A1280" i="2"/>
  <c r="A707" i="2"/>
  <c r="A1498" i="2"/>
  <c r="A188" i="2"/>
  <c r="A949" i="2"/>
  <c r="A822" i="2"/>
  <c r="A1363" i="2"/>
  <c r="A508" i="2"/>
  <c r="A854" i="2"/>
  <c r="A855" i="2"/>
  <c r="A1727" i="2"/>
  <c r="A1738" i="2"/>
  <c r="A1725" i="2"/>
  <c r="A1736" i="2"/>
  <c r="D4" i="4"/>
  <c r="V1" i="29" l="1"/>
  <c r="AA1" i="30"/>
  <c r="R1" i="29"/>
  <c r="T1" i="29"/>
  <c r="U1" i="29"/>
  <c r="A319" i="2"/>
  <c r="A1345" i="2"/>
  <c r="A525" i="2" l="1"/>
  <c r="A1692" i="2"/>
  <c r="A1697" i="2"/>
  <c r="A1701" i="2"/>
  <c r="A314" i="2"/>
  <c r="A104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417" i="2"/>
  <c r="A730" i="2"/>
  <c r="A1369" i="2"/>
  <c r="A731" i="2"/>
  <c r="A1346" i="2"/>
  <c r="A1730" i="2"/>
  <c r="A1275" i="2"/>
  <c r="A828" i="2"/>
  <c r="A1740" i="2"/>
  <c r="A1739" i="2"/>
  <c r="A911" i="2"/>
  <c r="A926" i="2"/>
  <c r="A683" i="2"/>
  <c r="A460" i="2"/>
  <c r="A1342" i="2"/>
  <c r="A1673" i="2"/>
  <c r="A360" i="2"/>
  <c r="A1691" i="2"/>
  <c r="A1686" i="2"/>
  <c r="A1685" i="2"/>
  <c r="A1684" i="2"/>
  <c r="A1683" i="2"/>
  <c r="A1682" i="2"/>
  <c r="A1680" i="2"/>
  <c r="A1677" i="2"/>
  <c r="A1676" i="2"/>
  <c r="A611" i="2"/>
  <c r="A1082" i="2"/>
  <c r="A367" i="2"/>
  <c r="A413" i="2"/>
  <c r="A1376" i="2"/>
  <c r="A180" i="2"/>
  <c r="A179" i="2"/>
  <c r="A1050" i="2"/>
  <c r="L1" i="30" l="1"/>
  <c r="N3" i="30" a="1"/>
  <c r="N3" i="30" s="1"/>
  <c r="W1" i="30"/>
  <c r="A1354" i="2"/>
  <c r="A5" i="4" a="1"/>
  <c r="B1" i="4"/>
  <c r="A848" i="2"/>
  <c r="A1281" i="2"/>
  <c r="A881" i="2"/>
  <c r="A1195" i="2"/>
  <c r="A415" i="2"/>
  <c r="A414" i="2"/>
  <c r="H3" i="30" s="1" a="1"/>
  <c r="H3" i="30" s="1"/>
  <c r="A320" i="2"/>
  <c r="A908" i="2"/>
  <c r="A1049" i="2"/>
  <c r="A847" i="2"/>
  <c r="A1176" i="2"/>
  <c r="A459" i="2"/>
  <c r="A177" i="2"/>
  <c r="A499" i="2"/>
  <c r="A829" i="2"/>
  <c r="A1055" i="2"/>
  <c r="A419" i="2"/>
  <c r="A910" i="2"/>
  <c r="A818" i="2"/>
  <c r="A1324" i="2"/>
  <c r="A922" i="2"/>
  <c r="A1371" i="2"/>
  <c r="A1395" i="2"/>
  <c r="A322" i="2"/>
  <c r="E3" i="30" s="1" a="1"/>
  <c r="E3" i="30" s="1"/>
  <c r="A424" i="2"/>
  <c r="A564" i="2"/>
  <c r="A869" i="2"/>
  <c r="Q3" i="30" s="1" a="1"/>
  <c r="Q3" i="30" s="1"/>
  <c r="A466" i="2"/>
  <c r="A840" i="2"/>
  <c r="A882" i="2"/>
  <c r="A864" i="2"/>
  <c r="A467" i="2"/>
  <c r="A955" i="2"/>
  <c r="O1" i="30" s="1"/>
  <c r="A1355" i="2"/>
  <c r="A406" i="2"/>
  <c r="A827" i="2"/>
  <c r="A497" i="2"/>
  <c r="A1326" i="2"/>
  <c r="A425" i="2"/>
  <c r="A706" i="2"/>
  <c r="A541" i="2"/>
  <c r="A1700" i="2"/>
  <c r="A555" i="2"/>
  <c r="A507" i="2"/>
  <c r="A1269" i="2"/>
  <c r="A1203" i="2"/>
  <c r="A540" i="2"/>
  <c r="A841" i="2"/>
  <c r="A426" i="2"/>
  <c r="A1239" i="2"/>
  <c r="A1377" i="2"/>
  <c r="A529" i="2"/>
  <c r="A1698" i="2"/>
  <c r="A1043" i="2"/>
  <c r="A883" i="2"/>
  <c r="A468" i="2"/>
  <c r="A1228" i="2"/>
  <c r="A1372" i="2"/>
  <c r="A676" i="2"/>
  <c r="A530" i="2"/>
  <c r="A1495" i="2"/>
  <c r="A429" i="2"/>
  <c r="A931" i="2"/>
  <c r="A691" i="2"/>
  <c r="A428" i="2"/>
  <c r="A1329" i="2"/>
  <c r="A528" i="2"/>
  <c r="A24" i="2"/>
  <c r="A321" i="2"/>
  <c r="A1503" i="2"/>
  <c r="AG3" i="30" s="1" a="1"/>
  <c r="AG3" i="30" s="1"/>
  <c r="A434" i="2"/>
  <c r="A433" i="2"/>
  <c r="A1331" i="2"/>
  <c r="A346" i="2"/>
  <c r="A886" i="2"/>
  <c r="A1492" i="2"/>
  <c r="A495" i="2"/>
  <c r="A316" i="2"/>
  <c r="A831" i="2"/>
  <c r="A887" i="2"/>
  <c r="A843" i="2"/>
  <c r="A1197" i="2"/>
  <c r="A604" i="2"/>
  <c r="A407" i="2"/>
  <c r="A1699" i="2"/>
  <c r="A954" i="2"/>
  <c r="A498" i="2"/>
  <c r="A553" i="2"/>
  <c r="A2" i="2"/>
  <c r="A317" i="2"/>
  <c r="A605" i="2"/>
  <c r="A1356" i="2"/>
  <c r="A532" i="2"/>
  <c r="A1728" i="2"/>
  <c r="A374" i="2"/>
  <c r="A4" i="2"/>
  <c r="A3" i="2"/>
  <c r="A888" i="2"/>
  <c r="A408" i="2"/>
  <c r="A523" i="2"/>
  <c r="A1035" i="2"/>
  <c r="A472" i="2"/>
  <c r="A318" i="2"/>
  <c r="A438" i="2"/>
  <c r="A844" i="2"/>
  <c r="A1334" i="2"/>
  <c r="A1380" i="2"/>
  <c r="AB3" i="30" s="1" a="1"/>
  <c r="AB3" i="30" s="1"/>
  <c r="A557" i="2"/>
  <c r="A509" i="2"/>
  <c r="A19" i="2"/>
  <c r="A1419" i="2"/>
  <c r="A1359" i="2"/>
  <c r="A1343" i="2"/>
  <c r="A1364" i="2"/>
  <c r="A196" i="2"/>
  <c r="A610" i="2"/>
  <c r="A853" i="2"/>
  <c r="A440" i="2"/>
  <c r="A350" i="2"/>
  <c r="A442" i="2"/>
  <c r="A894" i="2"/>
  <c r="A475" i="2"/>
  <c r="A1400" i="2"/>
  <c r="A1047" i="2"/>
  <c r="A866" i="2"/>
  <c r="A1679" i="2"/>
  <c r="A865" i="2"/>
  <c r="A476" i="2"/>
  <c r="A834" i="2"/>
  <c r="A25" i="2"/>
  <c r="A358" i="2"/>
  <c r="A533" i="2"/>
  <c r="A895" i="2"/>
  <c r="A953" i="2"/>
  <c r="A26" i="2"/>
  <c r="A705" i="2"/>
  <c r="A1079" i="2"/>
  <c r="A1401" i="2"/>
  <c r="A1337" i="2"/>
  <c r="A824" i="2"/>
  <c r="A409" i="2"/>
  <c r="A1312" i="2"/>
  <c r="A1246" i="2"/>
  <c r="A27" i="2"/>
  <c r="A1344" i="2"/>
  <c r="A918" i="2"/>
  <c r="A449" i="2"/>
  <c r="A9" i="2"/>
  <c r="A478" i="2"/>
  <c r="A1051" i="2"/>
  <c r="A1413" i="2"/>
  <c r="AD3" i="30" s="1" a="1"/>
  <c r="AD3" i="30" s="1"/>
  <c r="A28" i="2"/>
  <c r="A1497" i="2"/>
  <c r="A1389" i="2"/>
  <c r="A29" i="2"/>
  <c r="A1741" i="2"/>
  <c r="A1193" i="2"/>
  <c r="A10" i="2"/>
  <c r="A492" i="2"/>
  <c r="A30" i="2"/>
  <c r="A342" i="2"/>
  <c r="A11" i="2"/>
  <c r="A899" i="2"/>
  <c r="A1499" i="2"/>
  <c r="A1414" i="2"/>
  <c r="A1415" i="2"/>
  <c r="A450" i="2"/>
  <c r="A1339" i="2"/>
  <c r="A1247" i="2"/>
  <c r="A361" i="2"/>
  <c r="A901" i="2"/>
  <c r="A902" i="2"/>
  <c r="A1272" i="2"/>
  <c r="A614" i="2"/>
  <c r="A1206" i="2"/>
  <c r="A659" i="2"/>
  <c r="A896" i="2"/>
  <c r="A838" i="2"/>
  <c r="A173" i="2"/>
  <c r="A1669" i="2"/>
  <c r="A693" i="2"/>
  <c r="A560" i="2"/>
  <c r="A1351" i="2"/>
  <c r="A31" i="2"/>
  <c r="A12" i="2"/>
  <c r="A510" i="2"/>
  <c r="A13" i="2"/>
  <c r="A14" i="2"/>
  <c r="A1264" i="2"/>
  <c r="A479" i="2"/>
  <c r="A534" i="2"/>
  <c r="A1248" i="2"/>
  <c r="A905" i="2"/>
  <c r="A1417" i="2"/>
  <c r="A181" i="2"/>
  <c r="A16" i="2"/>
  <c r="A481" i="2"/>
  <c r="A1394" i="2"/>
  <c r="A17" i="2"/>
  <c r="A696" i="2"/>
  <c r="A906" i="2"/>
  <c r="A904" i="2"/>
  <c r="A1341" i="2"/>
  <c r="A511" i="2"/>
  <c r="A494" i="2"/>
  <c r="A18" i="2"/>
  <c r="A482" i="2"/>
  <c r="A483" i="2"/>
  <c r="A1262" i="2"/>
  <c r="A1358" i="2"/>
  <c r="A845" i="2"/>
  <c r="A454" i="2"/>
  <c r="A909" i="2"/>
  <c r="A1352" i="2"/>
  <c r="A682" i="2"/>
  <c r="A1674" i="2"/>
  <c r="AH3" i="30" s="1" a="1"/>
  <c r="AH3" i="30" s="1"/>
  <c r="A708" i="2"/>
  <c r="A1201" i="2"/>
  <c r="A453" i="2"/>
  <c r="A930" i="2"/>
  <c r="A515" i="2"/>
  <c r="A484" i="2"/>
  <c r="A32" i="2"/>
  <c r="A33" i="2"/>
  <c r="A1735" i="2"/>
  <c r="A1048" i="2"/>
  <c r="A1227" i="2"/>
  <c r="A1502" i="2"/>
  <c r="A344" i="2"/>
  <c r="J3" i="30" l="1" a="1"/>
  <c r="J3" i="30" s="1"/>
  <c r="M3" i="30" a="1"/>
  <c r="M3" i="30" s="1"/>
  <c r="T3" i="30" a="1"/>
  <c r="T3" i="30" s="1"/>
  <c r="I3" i="30" a="1"/>
  <c r="I3" i="30" s="1"/>
  <c r="F3" i="30" a="1"/>
  <c r="F3" i="30" s="1"/>
  <c r="G3" i="30" a="1"/>
  <c r="G3" i="30" s="1"/>
  <c r="K3" i="30" a="1"/>
  <c r="K3" i="30" s="1"/>
  <c r="Y3" i="30" a="1"/>
  <c r="Y3" i="30" s="1"/>
  <c r="S3" i="30" a="1"/>
  <c r="S3" i="30" s="1"/>
  <c r="R3" i="30" a="1"/>
  <c r="R3" i="30" s="1"/>
  <c r="Z3" i="30" a="1"/>
  <c r="Z3" i="30" s="1"/>
  <c r="X3" i="29" a="1"/>
  <c r="X3" i="29" s="1"/>
  <c r="AI3" i="30" a="1"/>
  <c r="AI3" i="30" s="1"/>
  <c r="Q3" i="29" a="1"/>
  <c r="Q3" i="29" s="1"/>
  <c r="D3" i="30" a="1"/>
  <c r="D3" i="30" s="1"/>
  <c r="V3" i="30" a="1"/>
  <c r="V3" i="30" s="1"/>
  <c r="P3" i="30" a="1"/>
  <c r="P3" i="30" s="1"/>
  <c r="AC3" i="30" a="1"/>
  <c r="AC3" i="30" s="1"/>
  <c r="AB1" i="30"/>
  <c r="AD1" i="30"/>
  <c r="AG1" i="30"/>
  <c r="AH1" i="30"/>
  <c r="I1" i="29"/>
  <c r="W1" i="29"/>
  <c r="N1" i="30"/>
  <c r="H1" i="30"/>
  <c r="U1" i="30"/>
  <c r="E1" i="30"/>
  <c r="X1" i="30"/>
  <c r="B22" i="4"/>
  <c r="C22" i="4" s="1"/>
  <c r="B21" i="4"/>
  <c r="C21" i="4" s="1"/>
  <c r="D6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7" i="4"/>
  <c r="B20" i="4"/>
  <c r="C20" i="4" s="1"/>
  <c r="B7" i="4"/>
  <c r="C7" i="4" s="1"/>
  <c r="B8" i="4"/>
  <c r="C8" i="4" s="1"/>
  <c r="B15" i="4"/>
  <c r="C15" i="4" s="1"/>
  <c r="B17" i="4"/>
  <c r="C17" i="4" s="1"/>
  <c r="B9" i="4"/>
  <c r="C9" i="4" s="1"/>
  <c r="B19" i="4"/>
  <c r="C19" i="4" s="1"/>
  <c r="B10" i="4"/>
  <c r="C10" i="4" s="1"/>
  <c r="B6" i="4"/>
  <c r="C6" i="4" s="1"/>
  <c r="B11" i="4"/>
  <c r="C11" i="4" s="1"/>
  <c r="B14" i="4"/>
  <c r="C14" i="4" s="1"/>
  <c r="B18" i="4"/>
  <c r="C18" i="4" s="1"/>
  <c r="B12" i="4"/>
  <c r="C12" i="4" s="1"/>
  <c r="B16" i="4"/>
  <c r="C16" i="4" s="1"/>
  <c r="B13" i="4"/>
  <c r="C13" i="4" s="1"/>
  <c r="A5" i="4"/>
  <c r="D5" i="4" s="1"/>
  <c r="J1" i="30" l="1"/>
  <c r="M1" i="30"/>
  <c r="F1" i="30"/>
  <c r="T1" i="30"/>
  <c r="G1" i="30"/>
  <c r="I1" i="30"/>
  <c r="K1" i="30"/>
  <c r="D1" i="30"/>
  <c r="S1" i="30"/>
  <c r="AC1" i="30"/>
  <c r="Z1" i="30"/>
  <c r="R1" i="30"/>
  <c r="V1" i="30"/>
  <c r="AI1" i="30"/>
  <c r="X1" i="29"/>
  <c r="Q1" i="29"/>
  <c r="Y1" i="30"/>
  <c r="Q1" i="30"/>
  <c r="P1" i="30"/>
  <c r="P1" i="29"/>
  <c r="B5" i="4"/>
  <c r="B2" i="4" s="1"/>
  <c r="B4" i="4" s="1"/>
  <c r="C4" i="4" s="1"/>
  <c r="C1" i="30" l="1"/>
  <c r="H1" i="29"/>
  <c r="C5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<sst xmlns="http://schemas.openxmlformats.org/spreadsheetml/2006/main" count="10880" uniqueCount="3020">
  <si>
    <t>#</t>
  </si>
  <si>
    <t>A Belén se va y se viene</t>
  </si>
  <si>
    <t>A la fiesta del Señor</t>
  </si>
  <si>
    <t>A ti acudo</t>
  </si>
  <si>
    <t>A ti que eres el signo</t>
  </si>
  <si>
    <t>Abba, Padre</t>
  </si>
  <si>
    <t>Abre tu tienda al Señor</t>
  </si>
  <si>
    <t>Abro mi ser</t>
  </si>
  <si>
    <t>Acerquémonos todos al altar</t>
  </si>
  <si>
    <t>Al atardecer de la vida</t>
  </si>
  <si>
    <t>Al ver Jesús</t>
  </si>
  <si>
    <t>Alegre la mañana</t>
  </si>
  <si>
    <t>Alegrémonos, hermanos</t>
  </si>
  <si>
    <t>Alelu-aleluya</t>
  </si>
  <si>
    <t>Aleluya (Santiago)</t>
  </si>
  <si>
    <t>Aleluya cantará</t>
  </si>
  <si>
    <t>Aleluya por esa gente</t>
  </si>
  <si>
    <t>Aleluya, creo en Ti, Señor</t>
  </si>
  <si>
    <t>Aleluya, el Señor es nuestro Rey</t>
  </si>
  <si>
    <t>Aleluya, es la fiesta del Señor</t>
  </si>
  <si>
    <t>Alma misionera</t>
  </si>
  <si>
    <t>Alrededor de tu mesa</t>
  </si>
  <si>
    <t>Amando hasta el extremo</t>
  </si>
  <si>
    <t>Amaos (Como el Padre me amó)</t>
  </si>
  <si>
    <t>Amar es darse</t>
  </si>
  <si>
    <t>Andando por el camino</t>
  </si>
  <si>
    <t>Bendigamos al Señor</t>
  </si>
  <si>
    <t>Bienaventurados seremos, Señor</t>
  </si>
  <si>
    <t>Caminando voy</t>
  </si>
  <si>
    <t>Canta aleluya</t>
  </si>
  <si>
    <t>Cantad a Dios</t>
  </si>
  <si>
    <t>Cantaré eternamente</t>
  </si>
  <si>
    <t>Cantemos todos la Navidad</t>
  </si>
  <si>
    <t>Cerca está el Señor</t>
  </si>
  <si>
    <t>Comeremos de la mesa</t>
  </si>
  <si>
    <t>Compartir junto al Señor</t>
  </si>
  <si>
    <t>Con vosotros está</t>
  </si>
  <si>
    <t>Corazón inquieto</t>
  </si>
  <si>
    <t>Cordero de Dios (boliviano)</t>
  </si>
  <si>
    <t>Cristo ha resucitado</t>
  </si>
  <si>
    <t>Cristo nos da la libertad</t>
  </si>
  <si>
    <t>Cristo por nosotros</t>
  </si>
  <si>
    <t>Cuando el pobre nada tiene</t>
  </si>
  <si>
    <t>Danos un corazón</t>
  </si>
  <si>
    <t>Dios es fiel</t>
  </si>
  <si>
    <t>Dios está aquí</t>
  </si>
  <si>
    <t>Dolorosa</t>
  </si>
  <si>
    <t>Donde hay caridad y amor</t>
  </si>
  <si>
    <t>El amor es nuestro canto</t>
  </si>
  <si>
    <t>El calor de tu palabra</t>
  </si>
  <si>
    <t>El que muere por mí</t>
  </si>
  <si>
    <t>El Señor Dios nos amó</t>
  </si>
  <si>
    <t>El Señor es mi luz</t>
  </si>
  <si>
    <t>El Señor es mi pastor</t>
  </si>
  <si>
    <t>El Señor nos ha nacido en Belén</t>
  </si>
  <si>
    <t>El tamborilero</t>
  </si>
  <si>
    <t>En el mar he oído hoy</t>
  </si>
  <si>
    <t>En el Señor estamos congregados</t>
  </si>
  <si>
    <t>En la comida que Cristo nos da</t>
  </si>
  <si>
    <t>En mi debilidad</t>
  </si>
  <si>
    <t>En mi Getsemaní</t>
  </si>
  <si>
    <t>Eres el fuego, el amor</t>
  </si>
  <si>
    <t>Eres mi riqueza</t>
  </si>
  <si>
    <t>Es de locos</t>
  </si>
  <si>
    <t>Escucha, tú, la Palabra de Dios</t>
  </si>
  <si>
    <t>Esta es tu fiesta</t>
  </si>
  <si>
    <t>Este es el día en que actuó el Señor</t>
  </si>
  <si>
    <t>Gloria a Dios en el cielo</t>
  </si>
  <si>
    <t>Gloria a Dios, gloria al Padre</t>
  </si>
  <si>
    <t>Gloria y alabanza</t>
  </si>
  <si>
    <t>Gracias, Señor</t>
  </si>
  <si>
    <t>Gritad que Dios es grande</t>
  </si>
  <si>
    <t>Hágase</t>
  </si>
  <si>
    <t>Hay un corazón que late</t>
  </si>
  <si>
    <t>Himno a Nuestra Señora de la Almudena</t>
  </si>
  <si>
    <t>Hosanna, hosanna, hosanna</t>
  </si>
  <si>
    <t>Hoy el Señor resucitó</t>
  </si>
  <si>
    <t>Hoy vuelvo de lejos</t>
  </si>
  <si>
    <t>Hoy, Señor, te damos gracias</t>
  </si>
  <si>
    <t>Iglesia soy</t>
  </si>
  <si>
    <t>Ilumíname, Señor</t>
  </si>
  <si>
    <t>Jesús, nuestra Pascua</t>
  </si>
  <si>
    <t>Juntos cantemos hoy</t>
  </si>
  <si>
    <t>Juntos como hermanos</t>
  </si>
  <si>
    <t>La cena del Señor</t>
  </si>
  <si>
    <t>La Virgen sueña caminos</t>
  </si>
  <si>
    <t>Lo que hemos visto y oído</t>
  </si>
  <si>
    <t>Los magos vienen de Oriente</t>
  </si>
  <si>
    <t>Madre de todos los hombres</t>
  </si>
  <si>
    <t>María, la madre buena</t>
  </si>
  <si>
    <t>María, madre nuestra</t>
  </si>
  <si>
    <t>María, mírame</t>
  </si>
  <si>
    <t>María, música de Dios</t>
  </si>
  <si>
    <t>Mi Dios está vivo</t>
  </si>
  <si>
    <t>Mirad al suelo</t>
  </si>
  <si>
    <t>Nada nos separará</t>
  </si>
  <si>
    <t>Nadie te ama como Yo</t>
  </si>
  <si>
    <t>No adoréis a nadie</t>
  </si>
  <si>
    <t>No me mueve</t>
  </si>
  <si>
    <t>No se cansó de hacer el bien</t>
  </si>
  <si>
    <t>Oh, mi Dios, crea en mí</t>
  </si>
  <si>
    <t>Oh, Señor, mueve mi espíritu</t>
  </si>
  <si>
    <t>Ojalá escuchemos hoy su voz</t>
  </si>
  <si>
    <t>Oración del pobre</t>
  </si>
  <si>
    <t>Os doy un mandato nuevo</t>
  </si>
  <si>
    <t>Padre nuestro (mexicano)</t>
  </si>
  <si>
    <t>Padre nuestro, tú que estás</t>
  </si>
  <si>
    <t>Padre, únenos</t>
  </si>
  <si>
    <t>Para el que sabe</t>
  </si>
  <si>
    <t>Paz en la tierra</t>
  </si>
  <si>
    <t>Paz, Señor, en el cielo y la tierra</t>
  </si>
  <si>
    <t>Pescador de hombres</t>
  </si>
  <si>
    <t>Pon tu mano</t>
  </si>
  <si>
    <t>Por los hombres</t>
  </si>
  <si>
    <t>Por ti, mi Dios</t>
  </si>
  <si>
    <t>Preparad el camino al Señor</t>
  </si>
  <si>
    <t>Protégeme, Dios mío</t>
  </si>
  <si>
    <t>Pueblo mío</t>
  </si>
  <si>
    <t>Purifícame, Señor</t>
  </si>
  <si>
    <t>Qué alegría cuando me dijeron</t>
  </si>
  <si>
    <t>Qué te puedo dar</t>
  </si>
  <si>
    <t>Qué tendrá lo pequeño</t>
  </si>
  <si>
    <t>Qué ves en la noche</t>
  </si>
  <si>
    <t>Quédate con nosotros</t>
  </si>
  <si>
    <t>Quiero alabarte</t>
  </si>
  <si>
    <t>Reina del Cielo</t>
  </si>
  <si>
    <t>Resucitó, aleluya</t>
  </si>
  <si>
    <t>Reunidos en el nombre del Señor</t>
  </si>
  <si>
    <t>Santa María del Camino</t>
  </si>
  <si>
    <t>Santo (Cielo y tierra pasarán)</t>
  </si>
  <si>
    <t>Santo (The Beatles)</t>
  </si>
  <si>
    <t>Santo zaireño</t>
  </si>
  <si>
    <t>Se acerca tu Navidad</t>
  </si>
  <si>
    <t>Señor, ten piedad</t>
  </si>
  <si>
    <t>Shalom haberim</t>
  </si>
  <si>
    <t>Si Dios a su mesa nos quiere sentar</t>
  </si>
  <si>
    <t>Sois la sal</t>
  </si>
  <si>
    <t>Sois la semilla</t>
  </si>
  <si>
    <t>Somos un pueblo que camina</t>
  </si>
  <si>
    <t>Tan cerca de mí</t>
  </si>
  <si>
    <t>Te damos gracias, Señor</t>
  </si>
  <si>
    <t>Te ensalzaré, Señor</t>
  </si>
  <si>
    <t>Tengo que gritar</t>
  </si>
  <si>
    <t>Todos unidos</t>
  </si>
  <si>
    <t>Tomado de la mano</t>
  </si>
  <si>
    <t>Traemos a tu altar</t>
  </si>
  <si>
    <t>Tú eres capaz</t>
  </si>
  <si>
    <t>Tú eres el Dios que nos salva</t>
  </si>
  <si>
    <t>Tu Palabra me da vida</t>
  </si>
  <si>
    <t>Tu Reino es vida</t>
  </si>
  <si>
    <t>Un día abrí los ojos</t>
  </si>
  <si>
    <t>Un niño se te acercó</t>
  </si>
  <si>
    <t>Un nuevo sitio disponed</t>
  </si>
  <si>
    <t>Una espiga dorada</t>
  </si>
  <si>
    <t>Una nueva vida</t>
  </si>
  <si>
    <t>Unidos en la fiesta</t>
  </si>
  <si>
    <t>Vamos a preparar</t>
  </si>
  <si>
    <t>Vamos cantando al Señor</t>
  </si>
  <si>
    <t>Vamos todos al banquete</t>
  </si>
  <si>
    <t>Vaso nuevo</t>
  </si>
  <si>
    <t>Ven, Salvador</t>
  </si>
  <si>
    <t>Venimos a escuchar tu voz</t>
  </si>
  <si>
    <t>Victoria, tú reinarás</t>
  </si>
  <si>
    <t>Vienen con alegría</t>
  </si>
  <si>
    <t>Vive tu amor en mí</t>
  </si>
  <si>
    <t>Volar</t>
  </si>
  <si>
    <t>Yo cantaré (Magnificat)</t>
  </si>
  <si>
    <t>Yo celebraré</t>
  </si>
  <si>
    <t>Yo soy el Pan de Vida</t>
  </si>
  <si>
    <t>Yo soy la luz del mundo</t>
  </si>
  <si>
    <t>Yo soy la Vida y la Verdad</t>
  </si>
  <si>
    <t>Adoraré tu cuerpo herido</t>
  </si>
  <si>
    <t>Alimento de amor (El loco)</t>
  </si>
  <si>
    <t>Bienaventuranzas (33 El Musical)</t>
  </si>
  <si>
    <t>Bienaventuranzas (Kairoi)</t>
  </si>
  <si>
    <t>Cerca de Ti, Señor</t>
  </si>
  <si>
    <t>Dime cómo ser pan</t>
  </si>
  <si>
    <t>Dios es amor</t>
  </si>
  <si>
    <t>El Espíritu de Dios (33 El Musical)</t>
  </si>
  <si>
    <t>El niño Dios ha nacido en Belén</t>
  </si>
  <si>
    <t>Él vendrá y te salvará</t>
  </si>
  <si>
    <t>Fuente de paz y fidelidad</t>
  </si>
  <si>
    <t>He venido a servir</t>
  </si>
  <si>
    <t>Himno a San José</t>
  </si>
  <si>
    <t>Muéveme mi Dios</t>
  </si>
  <si>
    <t>Pastores, venid</t>
  </si>
  <si>
    <t>Por la paz no callaré</t>
  </si>
  <si>
    <t>Ten piedad de mi, Señor</t>
  </si>
  <si>
    <t>Una voz clama en el desierto</t>
  </si>
  <si>
    <t>Ven, Espíritu de Dios (Kairoi)</t>
  </si>
  <si>
    <t>Ya vienen los Reyes Magos</t>
  </si>
  <si>
    <t>Entrada</t>
  </si>
  <si>
    <t>Perdón - Agua</t>
  </si>
  <si>
    <t>Gloria</t>
  </si>
  <si>
    <t>Aleluya</t>
  </si>
  <si>
    <t>Ofertorio</t>
  </si>
  <si>
    <t>Santo</t>
  </si>
  <si>
    <t>Padrenuestro</t>
  </si>
  <si>
    <t>Paz</t>
  </si>
  <si>
    <t>Despedida</t>
  </si>
  <si>
    <t>María</t>
  </si>
  <si>
    <t>Antífonas</t>
  </si>
  <si>
    <t>Cordero de Dios</t>
  </si>
  <si>
    <t>Ven a la fiesta</t>
  </si>
  <si>
    <t>Alza tu mano (Comunidad)</t>
  </si>
  <si>
    <t>TOTAL contar</t>
  </si>
  <si>
    <t>TOTAL suma</t>
  </si>
  <si>
    <t>Blancos</t>
  </si>
  <si>
    <t>Origen</t>
  </si>
  <si>
    <t>NSB</t>
  </si>
  <si>
    <t>Cantemos al amor de los amores</t>
  </si>
  <si>
    <t>Especiales</t>
  </si>
  <si>
    <t>Unidos a todos los pueblos</t>
  </si>
  <si>
    <t>Nati</t>
  </si>
  <si>
    <t>Envíame</t>
  </si>
  <si>
    <t>No temas</t>
  </si>
  <si>
    <t>Tocho8</t>
  </si>
  <si>
    <t>Ven, Espíritu de Dios (Esprit createur)</t>
  </si>
  <si>
    <t>Siempre estuviste aquí (Almudena)</t>
  </si>
  <si>
    <t>Espíritu</t>
  </si>
  <si>
    <t>Toño</t>
  </si>
  <si>
    <t>x</t>
  </si>
  <si>
    <t>Dios nos convoca</t>
  </si>
  <si>
    <t>El Señor nos ha reunido</t>
  </si>
  <si>
    <t>El Señor resucitó</t>
  </si>
  <si>
    <t>Jesús está entre nosotros</t>
  </si>
  <si>
    <t>Ven a celebrar</t>
  </si>
  <si>
    <t>Agua, lávame</t>
  </si>
  <si>
    <t>Me levantaré</t>
  </si>
  <si>
    <t>A Dios den gracias los pueblos</t>
  </si>
  <si>
    <t>Quién nos separará</t>
  </si>
  <si>
    <t>Aleluya, ha nacido el salvador</t>
  </si>
  <si>
    <t>Santo (Mocedades)</t>
  </si>
  <si>
    <t>La paz te doy</t>
  </si>
  <si>
    <t>Llevad la buena noticia</t>
  </si>
  <si>
    <t>El Señor os dará su Espíritu Santo</t>
  </si>
  <si>
    <t>Hoy, Señor, te daré</t>
  </si>
  <si>
    <t>Quiero caminar contigo, María</t>
  </si>
  <si>
    <t>Mujer fuerte</t>
  </si>
  <si>
    <t>Gloria, gloria a Dios</t>
  </si>
  <si>
    <t>Que tu palabra nos cambie el corazón</t>
  </si>
  <si>
    <t>Da la paz al mundo</t>
  </si>
  <si>
    <t>Padre nuestro, padre nuestro</t>
  </si>
  <si>
    <t>Jesús, ven tú</t>
  </si>
  <si>
    <t>María, María</t>
  </si>
  <si>
    <t>Bienvenidos</t>
  </si>
  <si>
    <t>Te ofrecemos</t>
  </si>
  <si>
    <t>Peregrinos de la paz y la alegría</t>
  </si>
  <si>
    <t>CLN</t>
  </si>
  <si>
    <t>Cordero de Dios (Aragüés)</t>
  </si>
  <si>
    <t>Cordero de Dios (Manzano)</t>
  </si>
  <si>
    <t>Si me falta el amor</t>
  </si>
  <si>
    <t>Nace el niño en un portal</t>
  </si>
  <si>
    <t>Nunca suenan las campanas</t>
  </si>
  <si>
    <t>SBM</t>
  </si>
  <si>
    <t>Tono</t>
  </si>
  <si>
    <t>Jesús, amigo</t>
  </si>
  <si>
    <t>Yendo contigo</t>
  </si>
  <si>
    <t>Migueli</t>
  </si>
  <si>
    <t>Jesús es Señor</t>
  </si>
  <si>
    <t>Tomad, comed</t>
  </si>
  <si>
    <t>Hakuna</t>
  </si>
  <si>
    <t>Padre nuestro zaragozano</t>
  </si>
  <si>
    <t>Cancionero Final MD</t>
  </si>
  <si>
    <t>Enciéndeme</t>
  </si>
  <si>
    <t>Que sea mi vida la sal</t>
  </si>
  <si>
    <t>CancioneroSG</t>
  </si>
  <si>
    <t>Núm</t>
  </si>
  <si>
    <t>Taizé</t>
  </si>
  <si>
    <t>2018-2019</t>
  </si>
  <si>
    <t>2020-2021</t>
  </si>
  <si>
    <t>2023-2024</t>
  </si>
  <si>
    <t>Columna1</t>
  </si>
  <si>
    <t>Columna2</t>
  </si>
  <si>
    <t>Columna3</t>
  </si>
  <si>
    <t>Columna4</t>
  </si>
  <si>
    <t>Herre, visa mig vägen</t>
  </si>
  <si>
    <t>Aber du weisst den Weg für mich</t>
  </si>
  <si>
    <t>Ad te Jesu Christe</t>
  </si>
  <si>
    <t>Libro vocal</t>
  </si>
  <si>
    <t>Adoramus te Christe</t>
  </si>
  <si>
    <t>Adoramus te O Christe</t>
  </si>
  <si>
    <t>SOLOS</t>
  </si>
  <si>
    <t>Taizé Madrid</t>
  </si>
  <si>
    <t>Alleluia (94) ***FOTO</t>
  </si>
  <si>
    <t>Cantoral Taizé</t>
  </si>
  <si>
    <t>Alleluia (96)</t>
  </si>
  <si>
    <t>Alleluia (97) ***FOTO</t>
  </si>
  <si>
    <t>Alleluia (Kiev)</t>
  </si>
  <si>
    <t>Alleluia 1</t>
  </si>
  <si>
    <t>Acordes</t>
  </si>
  <si>
    <t>Alleluia 4</t>
  </si>
  <si>
    <t>Alleluia 5</t>
  </si>
  <si>
    <t>Carnet jaune vert</t>
  </si>
  <si>
    <t>Alleluia 7</t>
  </si>
  <si>
    <t>Alleluia 8</t>
  </si>
  <si>
    <t>Alleluia 10</t>
  </si>
  <si>
    <t>Alleluia 11</t>
  </si>
  <si>
    <t>Alleluia 16</t>
  </si>
  <si>
    <t>Alleluia 17</t>
  </si>
  <si>
    <t>Alleluia 18</t>
  </si>
  <si>
    <t>Alleluia 20</t>
  </si>
  <si>
    <t>Alleluia 21</t>
  </si>
  <si>
    <t>Alleluia 22</t>
  </si>
  <si>
    <t>Alleluia 23</t>
  </si>
  <si>
    <t>All you who pass this way</t>
  </si>
  <si>
    <t>Atme in uns</t>
  </si>
  <si>
    <t>Aucune ombre</t>
  </si>
  <si>
    <t>Auprès de Dieu</t>
  </si>
  <si>
    <t>Avant la fin de la lumière</t>
  </si>
  <si>
    <t>Beati voi poveri</t>
  </si>
  <si>
    <t>Béatitudes</t>
  </si>
  <si>
    <t>Behüte mich Gott</t>
  </si>
  <si>
    <t>Bendigo al Señor</t>
  </si>
  <si>
    <t>Benedictus qui venit (canon)</t>
  </si>
  <si>
    <t>Benedictus Dominus Deus</t>
  </si>
  <si>
    <t>Bénissez le Seigneur</t>
  </si>
  <si>
    <t>Bleib mit deiner Gnade</t>
  </si>
  <si>
    <t>Bleibet hier</t>
  </si>
  <si>
    <t>Bless the Lord</t>
  </si>
  <si>
    <t>Bóg jest miłością</t>
  </si>
  <si>
    <t>Bogoroditse Dievo 1</t>
  </si>
  <si>
    <t>Bogoroditse Dievo 2</t>
  </si>
  <si>
    <t>Bonum est confidere</t>
  </si>
  <si>
    <t>C’est toi ma lampe</t>
  </si>
  <si>
    <t>Cantarei ao Senhor</t>
  </si>
  <si>
    <t>Cantate Domino</t>
  </si>
  <si>
    <t>Cantate Domino canticum novum</t>
  </si>
  <si>
    <t>Christe Jesu lumen cordium</t>
  </si>
  <si>
    <t>Christe, lux mundi</t>
  </si>
  <si>
    <t>Christe Salvator</t>
  </si>
  <si>
    <t>Christus resurrexit</t>
  </si>
  <si>
    <t>Confitemini Domino</t>
  </si>
  <si>
    <t>Crucem tuam</t>
  </si>
  <si>
    <t>Da pacem cordium (canon)</t>
  </si>
  <si>
    <t>Da pacem... in diebus</t>
  </si>
  <si>
    <t>Dans nos obscurités</t>
  </si>
  <si>
    <t>De noche</t>
  </si>
  <si>
    <t>Despierta tú que duermes</t>
  </si>
  <si>
    <t>Deus, Deus meus (canon)</t>
  </si>
  <si>
    <t>Dieu ne peut que donner</t>
  </si>
  <si>
    <t>Dieu Saint</t>
  </si>
  <si>
    <t>Dominus spiritus est</t>
  </si>
  <si>
    <t>Dona la pace</t>
  </si>
  <si>
    <t>Dona nobis pacem</t>
  </si>
  <si>
    <t>Eat this bread</t>
  </si>
  <si>
    <t>El alma que anda en amor</t>
  </si>
  <si>
    <t>El Senyor</t>
  </si>
  <si>
    <t>El Senyor (In the Lord / Meine Hoffnung / Pan jest mocą)</t>
  </si>
  <si>
    <t>Esprit consolateur</t>
  </si>
  <si>
    <t>Exaudi orationem meam</t>
  </si>
  <si>
    <t>Exomologisthe to Kyrio</t>
  </si>
  <si>
    <t>Fiez-vous en Lui</t>
  </si>
  <si>
    <t>Frieden, Frieden</t>
  </si>
  <si>
    <t>Gib mich ganz zu eigen dir</t>
  </si>
  <si>
    <t>Gloria... et in terra pax</t>
  </si>
  <si>
    <t>Gloria, gloria (canon)</t>
  </si>
  <si>
    <t>Gospodi A</t>
  </si>
  <si>
    <t>Gospodi B</t>
  </si>
  <si>
    <t>Gospodi C</t>
  </si>
  <si>
    <t>Gospodi E</t>
  </si>
  <si>
    <t>Gospodi F</t>
  </si>
  <si>
    <t>Grande est ta bonté</t>
  </si>
  <si>
    <t>Heureux qui s’abandonne à toi</t>
  </si>
  <si>
    <t>Hristos anesti ek nekron</t>
  </si>
  <si>
    <t>Hristos voskriesie iz miertvih</t>
  </si>
  <si>
    <t>Hvalite imia Gospodnie</t>
  </si>
  <si>
    <t>I am sure I shall see</t>
  </si>
  <si>
    <t>Iedere nacht verlang ik</t>
  </si>
  <si>
    <t>Il Signore ti ristora</t>
  </si>
  <si>
    <t>In manus tuas</t>
  </si>
  <si>
    <t>In resurrectione tua</t>
  </si>
  <si>
    <t>In te confido</t>
  </si>
  <si>
    <t>Je sais que mon rédempteur est vivant</t>
  </si>
  <si>
    <t>Jesu Christe, Fili Dei</t>
  </si>
  <si>
    <t>Jesu Redemptor</t>
  </si>
  <si>
    <t>Jésus Christ, ô clarté d'en haut</t>
  </si>
  <si>
    <t>Jésus le Christ</t>
  </si>
  <si>
    <t>Jésus, ma joie</t>
  </si>
  <si>
    <t>Jesus, remember me</t>
  </si>
  <si>
    <t>Jubelt und freut euch</t>
  </si>
  <si>
    <t>Jubilate, Alleluia</t>
  </si>
  <si>
    <t>Jubilate coeli (canon)</t>
  </si>
  <si>
    <t>Jubilate Deo</t>
  </si>
  <si>
    <t>Jubilate, servite</t>
  </si>
  <si>
    <t>Kristus, din Ande</t>
  </si>
  <si>
    <t>Kyrie 1</t>
  </si>
  <si>
    <t>Kyrie 5</t>
  </si>
  <si>
    <t>Kyrie 6</t>
  </si>
  <si>
    <t>Kyrie 7</t>
  </si>
  <si>
    <t>Kyrie 8</t>
  </si>
  <si>
    <t>Kyrie 9</t>
  </si>
  <si>
    <t>Kyrie 10</t>
  </si>
  <si>
    <t>Kyrie 11</t>
  </si>
  <si>
    <t>Kyrie 12</t>
  </si>
  <si>
    <t>Kyrie 13</t>
  </si>
  <si>
    <t>Kyrie 17</t>
  </si>
  <si>
    <t>Kyrie 18</t>
  </si>
  <si>
    <t>Kyrie 19</t>
  </si>
  <si>
    <t>Kyrie 20</t>
  </si>
  <si>
    <t>Kyrie 21</t>
  </si>
  <si>
    <t>L’ajuda em vindrà</t>
  </si>
  <si>
    <t>La ténèbre</t>
  </si>
  <si>
    <t>Laetentur coeli</t>
  </si>
  <si>
    <t>Laudamus te***</t>
  </si>
  <si>
    <t>Laudate Dominum***</t>
  </si>
  <si>
    <t>Laudate omnes gentes***</t>
  </si>
  <si>
    <t>Laudemus Deum</t>
  </si>
  <si>
    <t>Let all who are thirsty come</t>
  </si>
  <si>
    <t>Magnificat (canon)</t>
  </si>
  <si>
    <t>Magnificat (choral)***</t>
  </si>
  <si>
    <t>Magnificat 3***</t>
  </si>
  <si>
    <t>Mane nobiscum</t>
  </si>
  <si>
    <t>Misericordias Domini</t>
  </si>
  <si>
    <t>Mon âme se repose</t>
  </si>
  <si>
    <t>Nada te turbe</t>
  </si>
  <si>
    <t>Nebojte se</t>
  </si>
  <si>
    <t>Nothing can ever</t>
  </si>
  <si>
    <t>Notre âme attend</t>
  </si>
  <si>
    <t>Notre Père</t>
  </si>
  <si>
    <t>Nunc dimittis</t>
  </si>
  <si>
    <t>O Christe Domine Jesu</t>
  </si>
  <si>
    <t>O toi, l’au-delà de tout</t>
  </si>
  <si>
    <t>Oculi nostri</t>
  </si>
  <si>
    <t>Ostende nobis</t>
  </si>
  <si>
    <t>Para mim, ser feliz</t>
  </si>
  <si>
    <t>Per crucem</t>
  </si>
  <si>
    <t>Przybądź, Duchu Boży</t>
  </si>
  <si>
    <t>Psallite Deo</t>
  </si>
  <si>
    <t>Que j’exulte et jubile</t>
  </si>
  <si>
    <t>Qui regarde vers Dieu</t>
  </si>
  <si>
    <t>Rendez grâce au Seigneur</t>
  </si>
  <si>
    <t>Retourne, mon âme, à ton repos</t>
  </si>
  <si>
    <t>Sanasi on lamppu</t>
  </si>
  <si>
    <t>Sanctum nomen Domini</t>
  </si>
  <si>
    <t>See, I am near</t>
  </si>
  <si>
    <t>Seigneur, tu gardes mon âme</t>
  </si>
  <si>
    <t>Señor, que florezca tu justicia</t>
  </si>
  <si>
    <t>Sfinte Dumnezeule</t>
  </si>
  <si>
    <t>Singt dem Herrn</t>
  </si>
  <si>
    <t>Sit nomen Domini</t>
  </si>
  <si>
    <t>Souviens-toi de Jésus Christ</t>
  </si>
  <si>
    <t>Spiritus Jesu Christi</t>
  </si>
  <si>
    <t>Staňte se solí</t>
  </si>
  <si>
    <t>Surrexit Christus</t>
  </si>
  <si>
    <t>Surrexit Dominus vere (canon)</t>
  </si>
  <si>
    <t>Surrexit Dominus vere II</t>
  </si>
  <si>
    <t>Sviaty Boze (102) ***FOTO</t>
  </si>
  <si>
    <t>Sviaty Boze (107)</t>
  </si>
  <si>
    <t>The kingdom of God</t>
  </si>
  <si>
    <t>Tibi, Deo, gloria</t>
  </si>
  <si>
    <t>Toi, tu nous aimes</t>
  </si>
  <si>
    <t>Tu mecum es</t>
  </si>
  <si>
    <t>Tu palabra, Señor</t>
  </si>
  <si>
    <t>Tu sei sorgente viva</t>
  </si>
  <si>
    <t>Tui amoris</t>
  </si>
  <si>
    <t>Ubi caritas</t>
  </si>
  <si>
    <t>Ubi caritas Deus ibi est</t>
  </si>
  <si>
    <t>Une soif emplit notre âme</t>
  </si>
  <si>
    <t>Veni Creator (canon)</t>
  </si>
  <si>
    <t>Veni Creator (litanie)</t>
  </si>
  <si>
    <t>Veni Lumen (choral)</t>
  </si>
  <si>
    <t>Veni lumen cordium I</t>
  </si>
  <si>
    <t>Veni lumen cordium II</t>
  </si>
  <si>
    <t>Veni Sancte Spiritus</t>
  </si>
  <si>
    <t>Venite, exultemus Domino</t>
  </si>
  <si>
    <t>Vieni Spirito creatore (canon)</t>
  </si>
  <si>
    <t>Viešpatie, tu viską žinai</t>
  </si>
  <si>
    <t>Voici Dieu qui vient à mon secours</t>
  </si>
  <si>
    <t>Wait for the Lord</t>
  </si>
  <si>
    <t>With you, O Lord</t>
  </si>
  <si>
    <t>Wysławiajcie Pana</t>
  </si>
  <si>
    <t>Zu wem sollen wir gehen</t>
  </si>
  <si>
    <t>La</t>
  </si>
  <si>
    <t>Letra índice</t>
  </si>
  <si>
    <t>Letra</t>
  </si>
  <si>
    <t>Navidad</t>
  </si>
  <si>
    <t>Un pueblo que camina por el mundo</t>
  </si>
  <si>
    <t>Autor</t>
  </si>
  <si>
    <t>Carmelo Erdozáin</t>
  </si>
  <si>
    <t>Juanjo Elezkano</t>
  </si>
  <si>
    <t>Francisco Palazón</t>
  </si>
  <si>
    <t>Toño Casado</t>
  </si>
  <si>
    <t>Cesáreo Gabarain</t>
  </si>
  <si>
    <t>Kairoi</t>
  </si>
  <si>
    <t>Joaquín Madurga</t>
  </si>
  <si>
    <t>Antonio Alcalde</t>
  </si>
  <si>
    <t>Miguel Manzano</t>
  </si>
  <si>
    <t>Al-Haraca</t>
  </si>
  <si>
    <t>Peregrino (Éxodo y liberación)</t>
  </si>
  <si>
    <t>Maranatha</t>
  </si>
  <si>
    <t>Juan Antonio Espinosa</t>
  </si>
  <si>
    <t>Oscar Palomares</t>
  </si>
  <si>
    <t>Alborada</t>
  </si>
  <si>
    <t>Confieso</t>
  </si>
  <si>
    <t>JHS</t>
  </si>
  <si>
    <t>Viviremos firmes en la fe</t>
  </si>
  <si>
    <t>Ave María</t>
  </si>
  <si>
    <t>Pedro Núñez</t>
  </si>
  <si>
    <t>Brotes de Olivo</t>
  </si>
  <si>
    <t>Alberto Arija</t>
  </si>
  <si>
    <t>Ain Karem</t>
  </si>
  <si>
    <t>Javier Gacías</t>
  </si>
  <si>
    <t>Anónimo</t>
  </si>
  <si>
    <t>Todo mi ser (Alabo tu bondad)</t>
  </si>
  <si>
    <t>Gloria, gloria, aleluya</t>
  </si>
  <si>
    <t>Coral Católica Juvenil</t>
  </si>
  <si>
    <t>Marcos Frisina</t>
  </si>
  <si>
    <t>Luis Guitarra</t>
  </si>
  <si>
    <t>Ricardo Cantalapiedra</t>
  </si>
  <si>
    <t>Grupo Nueva Vida</t>
  </si>
  <si>
    <t>Nico Montero</t>
  </si>
  <si>
    <t>Español</t>
  </si>
  <si>
    <t>Oh, Dios, tú eres mi Dios (Sed de Dios)</t>
  </si>
  <si>
    <t>Jaime Espino</t>
  </si>
  <si>
    <t>El cáliz que bendecimos</t>
  </si>
  <si>
    <t>Gregorio Fernández</t>
  </si>
  <si>
    <t>Popular</t>
  </si>
  <si>
    <t>Misa salvadoreña</t>
  </si>
  <si>
    <t>Grupo Gente Nueva</t>
  </si>
  <si>
    <t>Jesucristo Superstar</t>
  </si>
  <si>
    <t>Ixcís</t>
  </si>
  <si>
    <t>Jesús Cardeñoso</t>
  </si>
  <si>
    <t>Jaime Olguín</t>
  </si>
  <si>
    <t>Mocedades</t>
  </si>
  <si>
    <t>The Beatles</t>
  </si>
  <si>
    <t>Santo (Händel)</t>
  </si>
  <si>
    <t>Santo salvadoreño</t>
  </si>
  <si>
    <t>Santo (Están llenos de tu amor)</t>
  </si>
  <si>
    <t>Santo (Hosanna en el Cielo al Señor)</t>
  </si>
  <si>
    <t>Santo (Olguín)</t>
  </si>
  <si>
    <t>Do</t>
  </si>
  <si>
    <t>Esto que te doy</t>
  </si>
  <si>
    <t>Laura</t>
  </si>
  <si>
    <t>María de Nazaret</t>
  </si>
  <si>
    <t>Ven, Espíritu divino (Secuencia de Pentecostés)</t>
  </si>
  <si>
    <t>Pedro Antonio Garza</t>
  </si>
  <si>
    <t>JJ</t>
  </si>
  <si>
    <t>Tomás Aragüés</t>
  </si>
  <si>
    <t>Josep Asunción</t>
  </si>
  <si>
    <t>Enrique García Vélez</t>
  </si>
  <si>
    <t>Comunidad San Pedro</t>
  </si>
  <si>
    <t>Maite López</t>
  </si>
  <si>
    <t>Emilio Vicente Mateu</t>
  </si>
  <si>
    <t>Una tarde en la playa</t>
  </si>
  <si>
    <t>Alegría, alegría, alegría</t>
  </si>
  <si>
    <t>Campana sobre campana</t>
  </si>
  <si>
    <t>Ay, del chiquirritín</t>
  </si>
  <si>
    <t>Dime, niño</t>
  </si>
  <si>
    <t>Navidad, es Navidad</t>
  </si>
  <si>
    <t>Navidad, Navidad</t>
  </si>
  <si>
    <t>Vivid la Navidad</t>
  </si>
  <si>
    <t>Aquí tienes el Pan</t>
  </si>
  <si>
    <t>Roca</t>
  </si>
  <si>
    <t>Aleluya (Junto a ti, Jesús)</t>
  </si>
  <si>
    <t>No quiero alejarme de ti</t>
  </si>
  <si>
    <t>Quiero caminar</t>
  </si>
  <si>
    <t>Te amo, Señor</t>
  </si>
  <si>
    <t>Padre, vuelvo a ti</t>
  </si>
  <si>
    <t>Mirad, Jesús resucita hoy</t>
  </si>
  <si>
    <t>Santo es el Señor</t>
  </si>
  <si>
    <t>Señor, ten piedad de nosotros</t>
  </si>
  <si>
    <t>Ayúdame a caminar</t>
  </si>
  <si>
    <t>Ven, no apartes de mí los ojos</t>
  </si>
  <si>
    <t>Sigue habiendo</t>
  </si>
  <si>
    <t>Santo, Santo, Santo</t>
  </si>
  <si>
    <t>TSNC</t>
  </si>
  <si>
    <t>Santo eres, Señor, Dios nuestro</t>
  </si>
  <si>
    <t>Juntos nos acercamos</t>
  </si>
  <si>
    <t>Ramón Capilla</t>
  </si>
  <si>
    <t>Pelayo Sánchez</t>
  </si>
  <si>
    <t>Sarah Flower Adams</t>
  </si>
  <si>
    <t>Alicia Mendoza</t>
  </si>
  <si>
    <t>Salomé Arricibita</t>
  </si>
  <si>
    <t>Alberto Taulé</t>
  </si>
  <si>
    <t>Martín Valverde</t>
  </si>
  <si>
    <t>José Luis Perales</t>
  </si>
  <si>
    <t>Athenas</t>
  </si>
  <si>
    <t>Kiko Argüello</t>
  </si>
  <si>
    <t>Santo (Santo Domingo de Silos)</t>
  </si>
  <si>
    <t>Rafael Espinosa</t>
  </si>
  <si>
    <t>Suzanne Toolan</t>
  </si>
  <si>
    <t>Georg Friedrich Händel</t>
  </si>
  <si>
    <t>Salve, Regina</t>
  </si>
  <si>
    <t>CRC</t>
  </si>
  <si>
    <t>Algo nuevo</t>
  </si>
  <si>
    <t>Linda Stassen</t>
  </si>
  <si>
    <t>Stephen Schwartz</t>
  </si>
  <si>
    <t>Linda Duval</t>
  </si>
  <si>
    <t>Bob Fitts y Gary Sadler</t>
  </si>
  <si>
    <t>Alejandro Ruiz</t>
  </si>
  <si>
    <t>Letanías</t>
  </si>
  <si>
    <t>Adorando</t>
  </si>
  <si>
    <t>Ven y descánsate</t>
  </si>
  <si>
    <t>Quiero ser pan</t>
  </si>
  <si>
    <t>Galfer</t>
  </si>
  <si>
    <t>Dulce muchacha humilde de Palestina</t>
  </si>
  <si>
    <t>Tú nos dijiste que la muerte</t>
  </si>
  <si>
    <t>Salve, Madre</t>
  </si>
  <si>
    <t>Agustín</t>
  </si>
  <si>
    <t>Gen Verde</t>
  </si>
  <si>
    <t>Lámpara es tu palabra</t>
  </si>
  <si>
    <t>Safa</t>
  </si>
  <si>
    <t>La bondad y el amor del Señor</t>
  </si>
  <si>
    <t>Háblame</t>
  </si>
  <si>
    <t>Principio y fundamento</t>
  </si>
  <si>
    <t>José María Olaizola</t>
  </si>
  <si>
    <t>Secuencia de Pascua</t>
  </si>
  <si>
    <t>OK</t>
  </si>
  <si>
    <t>Gloria a Dios (No sé cómo alabarte)</t>
  </si>
  <si>
    <t>José Vives</t>
  </si>
  <si>
    <t>Caminaré hoy en tu presencia</t>
  </si>
  <si>
    <t>Sor Trini - Hijas de la Caridad</t>
  </si>
  <si>
    <t>Marco López</t>
  </si>
  <si>
    <t>Ven, si te has caído levántate</t>
  </si>
  <si>
    <t>Grupo Loyola Valladolid</t>
  </si>
  <si>
    <t>Eduardo Ortiz</t>
  </si>
  <si>
    <t>Pablo Coloma</t>
  </si>
  <si>
    <t>Padre nuestro (Erdozáin)</t>
  </si>
  <si>
    <t>Elena Ráfales</t>
  </si>
  <si>
    <t>Alejandro Mejía</t>
  </si>
  <si>
    <t>Cordero de Dios (Maristas)</t>
  </si>
  <si>
    <t>Cordero de Dios (MiEs)</t>
  </si>
  <si>
    <t>Misioneros de la Esperanza</t>
  </si>
  <si>
    <t>Parroquia San Juan de Ávila</t>
  </si>
  <si>
    <t>Tanto amó Dios al mundo</t>
  </si>
  <si>
    <t>Gen Rosso</t>
  </si>
  <si>
    <t>José Antonio Poblete</t>
  </si>
  <si>
    <t>Eduardo Meana</t>
  </si>
  <si>
    <t>Gina Fernández</t>
  </si>
  <si>
    <t>Francisco Alvarado (Schönstatt)</t>
  </si>
  <si>
    <t>Alberto y Emilia</t>
  </si>
  <si>
    <t>Paloma Falconi</t>
  </si>
  <si>
    <t>Marcela de María</t>
  </si>
  <si>
    <t>Ricardo de la Fuente</t>
  </si>
  <si>
    <t>A. B. Celada Alonso</t>
  </si>
  <si>
    <t>Como sal, como luz</t>
  </si>
  <si>
    <t>Nati2022</t>
  </si>
  <si>
    <t>No podemos caminar (Hambre de Dios)</t>
  </si>
  <si>
    <t>A dónde me queréis llevar</t>
  </si>
  <si>
    <t>Gloyola</t>
  </si>
  <si>
    <t>https://pastoralmusical.es/inicio/gloyola</t>
  </si>
  <si>
    <t>https://pastoralmusical.es/inicio/tsnc</t>
  </si>
  <si>
    <t>Nada has pensado</t>
  </si>
  <si>
    <t>Karolinns</t>
  </si>
  <si>
    <t>Huracán</t>
  </si>
  <si>
    <t>Número</t>
  </si>
  <si>
    <t>E10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</si>
  <si>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</si>
  <si>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</si>
  <si>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</si>
  <si>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</si>
  <si>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</si>
  <si>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</si>
  <si>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</si>
  <si>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</si>
  <si>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</si>
  <si>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</si>
  <si>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</si>
  <si>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</si>
  <si>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</si>
  <si>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</si>
  <si>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</si>
  <si>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</si>
  <si>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</si>
  <si>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</si>
  <si>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</si>
  <si>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</si>
  <si>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</si>
  <si>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</si>
  <si>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</si>
  <si>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</si>
  <si>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</si>
  <si>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</si>
  <si>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</si>
  <si>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</si>
  <si>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</si>
  <si>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</si>
  <si>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</si>
  <si>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</si>
  <si>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</si>
  <si>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</si>
  <si>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</si>
  <si>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</si>
  <si>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</si>
  <si>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</si>
  <si>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</si>
  <si>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</si>
  <si>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</si>
  <si>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</si>
  <si>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</si>
  <si>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</si>
  <si>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</si>
  <si>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</si>
  <si>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</si>
  <si>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</si>
  <si>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</si>
  <si>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K24</t>
  </si>
  <si>
    <t>K25</t>
  </si>
  <si>
    <t>K26</t>
  </si>
  <si>
    <t>K27</t>
  </si>
  <si>
    <t>K28</t>
  </si>
  <si>
    <t>K29</t>
  </si>
  <si>
    <t>K30</t>
  </si>
  <si>
    <t>K31</t>
  </si>
  <si>
    <t>K32</t>
  </si>
  <si>
    <t>K33</t>
  </si>
  <si>
    <t>K34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</si>
  <si>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</si>
  <si>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</si>
  <si>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</si>
  <si>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</si>
  <si>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</si>
  <si>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</si>
  <si>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</si>
  <si>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</si>
  <si>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</si>
  <si>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</si>
  <si>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</si>
  <si>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</si>
  <si>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</si>
  <si>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</si>
  <si>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</si>
  <si>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</si>
  <si>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</si>
  <si>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</si>
  <si>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</si>
  <si>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</si>
  <si>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</si>
  <si>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</si>
  <si>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</si>
  <si>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</si>
  <si>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</si>
  <si>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</si>
  <si>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</si>
  <si>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</si>
  <si>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</si>
  <si>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</si>
  <si>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</si>
  <si>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</si>
  <si>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</si>
  <si>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</si>
  <si>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</si>
  <si>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</si>
  <si>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</si>
  <si>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</si>
  <si>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</si>
  <si>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</si>
  <si>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</si>
  <si>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</si>
  <si>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</si>
  <si>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</si>
  <si>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</si>
  <si>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</si>
  <si>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</si>
  <si>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</si>
  <si>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</si>
  <si>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</si>
  <si>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</si>
  <si>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</si>
  <si>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</si>
  <si>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</si>
  <si>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</si>
  <si>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</si>
  <si>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</si>
  <si>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</si>
  <si>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</si>
  <si>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</si>
  <si>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</si>
  <si>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</si>
  <si>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</si>
  <si>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</si>
  <si>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</si>
  <si>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</si>
  <si>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</si>
  <si>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</si>
  <si>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I10</t>
  </si>
  <si>
    <t>G10</t>
  </si>
  <si>
    <t>G11</t>
  </si>
  <si>
    <t>G12</t>
  </si>
  <si>
    <t>G13</t>
  </si>
  <si>
    <t>G14</t>
  </si>
  <si>
    <t>Cordero de Dios (Algete)</t>
  </si>
  <si>
    <t>El camino no lo haremos solos</t>
  </si>
  <si>
    <t>Laudate Dominum</t>
  </si>
  <si>
    <t>Laudate omnes gentes</t>
  </si>
  <si>
    <t>Alleluia 94</t>
  </si>
  <si>
    <t>Alleluia 96</t>
  </si>
  <si>
    <t>Alleluia 97</t>
  </si>
  <si>
    <t>Hoy en la tierra</t>
  </si>
  <si>
    <t>Noche de paz</t>
  </si>
  <si>
    <t>Título</t>
  </si>
  <si>
    <t>Coro Niño Jesús (Cádiz)</t>
  </si>
  <si>
    <t>Coro Parroquial San Miguel</t>
  </si>
  <si>
    <t>Padre Ernesto</t>
  </si>
  <si>
    <t>-</t>
  </si>
  <si>
    <t>Referencia</t>
  </si>
  <si>
    <t>San Ignacio de Loyola</t>
  </si>
  <si>
    <t>San Juan de la Cruz</t>
  </si>
  <si>
    <t>Gálatas 4,6</t>
  </si>
  <si>
    <t>Juan 6, 60-68</t>
  </si>
  <si>
    <t>Salmo 96</t>
  </si>
  <si>
    <t>Isaías 43, 19</t>
  </si>
  <si>
    <t>Juan 15, 9-11</t>
  </si>
  <si>
    <t>Juan 13, 1-9</t>
  </si>
  <si>
    <t>Lucas 24, 13-35</t>
  </si>
  <si>
    <t>Romanos 14, 17</t>
  </si>
  <si>
    <t>Mateo 14, 22-33</t>
  </si>
  <si>
    <t>Lucas 4, 18</t>
  </si>
  <si>
    <t>Mateo 5, 3-12</t>
  </si>
  <si>
    <t>Juan 12, 24</t>
  </si>
  <si>
    <t>Salmo 116, 9</t>
  </si>
  <si>
    <t>Salmo 150</t>
  </si>
  <si>
    <t>Salmo 88</t>
  </si>
  <si>
    <t>Salmo 145</t>
  </si>
  <si>
    <t>Mateo 5, 13-16</t>
  </si>
  <si>
    <t>Mateo 25, 35-46</t>
  </si>
  <si>
    <t>San Agustín</t>
  </si>
  <si>
    <t>Filipenses 2, 8-9</t>
  </si>
  <si>
    <t>Ezequiel 36, 26-28</t>
  </si>
  <si>
    <t>1 Juan 4, 8</t>
  </si>
  <si>
    <t>Juan 19, 25-27</t>
  </si>
  <si>
    <t>Salmo 115</t>
  </si>
  <si>
    <t>Isaías 11, 8-9</t>
  </si>
  <si>
    <t>Mateo 26,14-27,66</t>
  </si>
  <si>
    <t>Mateo 26, 26-30</t>
  </si>
  <si>
    <t>Salmo 27</t>
  </si>
  <si>
    <t>Salmo 23</t>
  </si>
  <si>
    <t>Lucas 11:13</t>
  </si>
  <si>
    <t>Isaías 35, 4</t>
  </si>
  <si>
    <t>2 Corintios 12, 10</t>
  </si>
  <si>
    <t>Lucas 22, 39-46</t>
  </si>
  <si>
    <t>1 Reyes 19, 11-12</t>
  </si>
  <si>
    <t>Mateo 13, 44</t>
  </si>
  <si>
    <t>Salmos 118, 24</t>
  </si>
  <si>
    <t>Salmos 145, 1</t>
  </si>
  <si>
    <t>Lucas 1:38</t>
  </si>
  <si>
    <t>Mateo 20, 26-28</t>
  </si>
  <si>
    <t>Juan 12, 12-19</t>
  </si>
  <si>
    <t>Lucas 15, 11-32</t>
  </si>
  <si>
    <t>1 Corintios 12, 3</t>
  </si>
  <si>
    <t>Salmo 23, 6</t>
  </si>
  <si>
    <t>Salmos 119, 105</t>
  </si>
  <si>
    <t>Lucas 15, 18-20</t>
  </si>
  <si>
    <t>Mateo 6, 19</t>
  </si>
  <si>
    <t>1 Corintios 2, 9</t>
  </si>
  <si>
    <t>Lucas 23, 26-56</t>
  </si>
  <si>
    <t>Éxodo 20, 3-17</t>
  </si>
  <si>
    <t>Ruth 1, 16-17</t>
  </si>
  <si>
    <t>Salmo 62</t>
  </si>
  <si>
    <t>Salmo 50</t>
  </si>
  <si>
    <t>Juan 13, 34-35</t>
  </si>
  <si>
    <t>Lc 15, 11-32</t>
  </si>
  <si>
    <t>Lucas 6, 13-16</t>
  </si>
  <si>
    <t>Isaías 41, 10</t>
  </si>
  <si>
    <t>Isaías 40, 3-27</t>
  </si>
  <si>
    <t>Miqueas 6, 3-8</t>
  </si>
  <si>
    <t>Salmo 122</t>
  </si>
  <si>
    <t>Isaías 21, 11-12</t>
  </si>
  <si>
    <t>Juan 13, 12-16</t>
  </si>
  <si>
    <t>Marcos 16, 15-18</t>
  </si>
  <si>
    <t>Salmo 18, 1-3</t>
  </si>
  <si>
    <t>Salmo 29</t>
  </si>
  <si>
    <t>Jeremías 1, 5</t>
  </si>
  <si>
    <t>Mateo 26, 26-46</t>
  </si>
  <si>
    <t>Mateo 19, 21</t>
  </si>
  <si>
    <t>Mateo 14, 13-21</t>
  </si>
  <si>
    <t>Isaías 40, 3-8</t>
  </si>
  <si>
    <t>Lucas 1, 48-56</t>
  </si>
  <si>
    <t>Juan 6, 35</t>
  </si>
  <si>
    <t>Juan 8, 12</t>
  </si>
  <si>
    <t>Juan 14, 6</t>
  </si>
  <si>
    <t>Mas tú sabes que senda es para mí</t>
  </si>
  <si>
    <t>Te adoramos</t>
  </si>
  <si>
    <t>Levanto mi alma</t>
  </si>
  <si>
    <t>Aleluya 11</t>
  </si>
  <si>
    <t>Aleluya 17</t>
  </si>
  <si>
    <t>Aleluya 22</t>
  </si>
  <si>
    <t>Aleluya 7</t>
  </si>
  <si>
    <t>Aleluya 94</t>
  </si>
  <si>
    <t>Aleluya 96</t>
  </si>
  <si>
    <t>Aleluya 97</t>
  </si>
  <si>
    <t>Dichosos los pobres</t>
  </si>
  <si>
    <t>Protégeme, Dios</t>
  </si>
  <si>
    <t>Bendito el que viene (canon)</t>
  </si>
  <si>
    <t>Bendecid al Señor</t>
  </si>
  <si>
    <t>Permaneced conmigo</t>
  </si>
  <si>
    <t>Tengo sed de ti</t>
  </si>
  <si>
    <t>Dios es ternura</t>
  </si>
  <si>
    <t>Dios te salve</t>
  </si>
  <si>
    <t>Qué bueno es confiar en ti</t>
  </si>
  <si>
    <t>Cantaré al Señor</t>
  </si>
  <si>
    <t>Un canto nuevo</t>
  </si>
  <si>
    <t>Dios de la vida</t>
  </si>
  <si>
    <t>Tú, luz del mundo</t>
  </si>
  <si>
    <t>Llénanos, Señor, de tu paz</t>
  </si>
  <si>
    <t>Tu santa cruz</t>
  </si>
  <si>
    <t>Danos, Señor, la paz (canon)</t>
  </si>
  <si>
    <t>Danos la paz, Señor</t>
  </si>
  <si>
    <t>En nuestra oscuridad</t>
  </si>
  <si>
    <t>Oh, Dios, tú, Dios mío (canon)</t>
  </si>
  <si>
    <t>Dios, que nos ama</t>
  </si>
  <si>
    <t>Cristo es Espíritu y Dios</t>
  </si>
  <si>
    <t>Danos la paz, oh, Señor</t>
  </si>
  <si>
    <t>Danos la paz del corazón</t>
  </si>
  <si>
    <t>Come este pan</t>
  </si>
  <si>
    <t>El Señor es mi fortaleza</t>
  </si>
  <si>
    <t>Oh, Dios consolador</t>
  </si>
  <si>
    <t>Dios, muéstrame tu senda</t>
  </si>
  <si>
    <t>Feliz quien se abandona</t>
  </si>
  <si>
    <t>Yo ya sé qué veré</t>
  </si>
  <si>
    <t>Mi corazón te anhela</t>
  </si>
  <si>
    <t>El Señor es quien restaura</t>
  </si>
  <si>
    <t>Oh, Padre, entre tus manos</t>
  </si>
  <si>
    <t>Alégrense el Cielo y la Tierra</t>
  </si>
  <si>
    <t>Cristo Jesús</t>
  </si>
  <si>
    <t>Jesús, mi vida</t>
  </si>
  <si>
    <t>Jesús, acuérdate de mí</t>
  </si>
  <si>
    <t>Alégrate y goza en el Señor</t>
  </si>
  <si>
    <t>Júbilo en el cielo (canon)</t>
  </si>
  <si>
    <t>Al Señor alabe</t>
  </si>
  <si>
    <t>Ten piedad, Señor 1</t>
  </si>
  <si>
    <t>Ten piedad, Señor 20</t>
  </si>
  <si>
    <t>Ten piedad, Señor 6</t>
  </si>
  <si>
    <t>Ten piedad, Señor 8</t>
  </si>
  <si>
    <t>La ayuda vendrá</t>
  </si>
  <si>
    <t>Que alabe al Señor</t>
  </si>
  <si>
    <t>Que todo el mundo alabe</t>
  </si>
  <si>
    <t>Que venga a ti</t>
  </si>
  <si>
    <t>La misericordia del Señor</t>
  </si>
  <si>
    <t>Deja ahora</t>
  </si>
  <si>
    <t>Para mí ser feliz</t>
  </si>
  <si>
    <t>Por tu Cruz</t>
  </si>
  <si>
    <t>Este es el día del Señor</t>
  </si>
  <si>
    <t>Tu palabra alumbra</t>
  </si>
  <si>
    <t>Espíritu de Dios vivo</t>
  </si>
  <si>
    <t>Sé sal que sala</t>
  </si>
  <si>
    <t>Cristo está vivo</t>
  </si>
  <si>
    <t>Cristo ha resucitado (canon)</t>
  </si>
  <si>
    <t>El Reino de Dios</t>
  </si>
  <si>
    <t>Tú eres fuente viva</t>
  </si>
  <si>
    <t>Ven, Espíritu de Dios</t>
  </si>
  <si>
    <t>Donde hay amor</t>
  </si>
  <si>
    <t>Ven, Espíritu (canon)</t>
  </si>
  <si>
    <t>El Señor, que viene en mi ayuda</t>
  </si>
  <si>
    <t>Alabado sea el Señor</t>
  </si>
  <si>
    <t>Dietrich Bonhoeffer</t>
  </si>
  <si>
    <t>Salmo 143, 8</t>
  </si>
  <si>
    <t>Lucas 6, 20</t>
  </si>
  <si>
    <t>Salmo 16, 1-11</t>
  </si>
  <si>
    <t>Marcos 11, 9</t>
  </si>
  <si>
    <t>Daniel 3, 57-90</t>
  </si>
  <si>
    <t>Mateo 26, 38</t>
  </si>
  <si>
    <t>Salmo 103, 1-4</t>
  </si>
  <si>
    <t>Salmo 118, 8-9</t>
  </si>
  <si>
    <t>Salmo 104, 33-34</t>
  </si>
  <si>
    <t>Salmo 96, 1</t>
  </si>
  <si>
    <t>Salmo 136, 1</t>
  </si>
  <si>
    <t>Sirácides (Eclesiástico) 50, 23</t>
  </si>
  <si>
    <t>Luis Rosales</t>
  </si>
  <si>
    <t>Efesios 5, 14</t>
  </si>
  <si>
    <t>2 Corintios 3, 17</t>
  </si>
  <si>
    <t>Salmo 63, 2-5</t>
  </si>
  <si>
    <t>Isaías 12, 2</t>
  </si>
  <si>
    <t>Santa Brígida de Suecia</t>
  </si>
  <si>
    <t>Hermano Roger de Taizé</t>
  </si>
  <si>
    <t>Salmo 27, 13</t>
  </si>
  <si>
    <t>Isaías 26, 9</t>
  </si>
  <si>
    <t>San Ambrosio de Milán</t>
  </si>
  <si>
    <t>Lucas 23, 46</t>
  </si>
  <si>
    <t>Lucas 23, 42</t>
  </si>
  <si>
    <t>Joel 2, 21-23</t>
  </si>
  <si>
    <t>Salmo 66, 1</t>
  </si>
  <si>
    <t>Salmo 121, 2</t>
  </si>
  <si>
    <t>Salmo 117, 1</t>
  </si>
  <si>
    <t>Apocalipsis 22, 17</t>
  </si>
  <si>
    <t>Lucas 1, 46</t>
  </si>
  <si>
    <t>Salmo 89, 2</t>
  </si>
  <si>
    <t>Santa Teresa de Ávila</t>
  </si>
  <si>
    <t>Lucas 2, 29</t>
  </si>
  <si>
    <t>Salmo 47, 7</t>
  </si>
  <si>
    <t>Salmo 119, 105</t>
  </si>
  <si>
    <t>Salmo 72, 6-19</t>
  </si>
  <si>
    <t>Mateo 5, 13-14</t>
  </si>
  <si>
    <t>Lucas 24, 34</t>
  </si>
  <si>
    <t>Miguel de Unamuno</t>
  </si>
  <si>
    <t>Salmo 30, 2</t>
  </si>
  <si>
    <t>A quién iremos, Señor</t>
  </si>
  <si>
    <t>Juan 6, 68</t>
  </si>
  <si>
    <t>Aleluya de Adviento</t>
  </si>
  <si>
    <t>E11</t>
  </si>
  <si>
    <t>Qqqtc</t>
  </si>
  <si>
    <t>Categorías</t>
  </si>
  <si>
    <t>Comunión</t>
  </si>
  <si>
    <t>K57</t>
  </si>
  <si>
    <t>K58</t>
  </si>
  <si>
    <t>K59</t>
  </si>
  <si>
    <t>K60</t>
  </si>
  <si>
    <t>K61</t>
  </si>
  <si>
    <t>K62</t>
  </si>
  <si>
    <t>K63</t>
  </si>
  <si>
    <t>K64</t>
  </si>
  <si>
    <t>K65</t>
  </si>
  <si>
    <t>K66</t>
  </si>
  <si>
    <t>K67</t>
  </si>
  <si>
    <t>K68</t>
  </si>
  <si>
    <t>K69</t>
  </si>
  <si>
    <t>K70</t>
  </si>
  <si>
    <t>K71</t>
  </si>
  <si>
    <t>K72</t>
  </si>
  <si>
    <t>K73</t>
  </si>
  <si>
    <t>K74</t>
  </si>
  <si>
    <t>K75</t>
  </si>
  <si>
    <t>K76</t>
  </si>
  <si>
    <t>K77</t>
  </si>
  <si>
    <t>K78</t>
  </si>
  <si>
    <t>K79</t>
  </si>
  <si>
    <t>K80</t>
  </si>
  <si>
    <t>K81</t>
  </si>
  <si>
    <t>K82</t>
  </si>
  <si>
    <t>Ruta</t>
  </si>
  <si>
    <t>TaizéESP</t>
  </si>
  <si>
    <t>TaizéORIG</t>
  </si>
  <si>
    <t>Jesus Christ, bread of life</t>
  </si>
  <si>
    <t>Q</t>
  </si>
  <si>
    <t>Dentro llevas la fuente de vida</t>
  </si>
  <si>
    <t>V tebi je izvir življenja</t>
  </si>
  <si>
    <t>Re</t>
  </si>
  <si>
    <t>Fa</t>
  </si>
  <si>
    <t>Mi</t>
  </si>
  <si>
    <t>Sol</t>
  </si>
  <si>
    <t>Aleluya (Cohen)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</si>
  <si>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</si>
  <si>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</si>
  <si>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</si>
  <si>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</si>
  <si>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</si>
  <si>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</si>
  <si>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</si>
  <si>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</si>
  <si>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</si>
  <si>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Siempre en ti</t>
  </si>
  <si>
    <t>K83</t>
  </si>
  <si>
    <t>Sib</t>
  </si>
  <si>
    <t>M10</t>
  </si>
  <si>
    <t>M11</t>
  </si>
  <si>
    <t>M12</t>
  </si>
  <si>
    <t>M13</t>
  </si>
  <si>
    <t>M14</t>
  </si>
  <si>
    <t>M15</t>
  </si>
  <si>
    <t>M16</t>
  </si>
  <si>
    <t>M17</t>
  </si>
  <si>
    <t>M19</t>
  </si>
  <si>
    <t>M18</t>
  </si>
  <si>
    <t>M20</t>
  </si>
  <si>
    <t>M21</t>
  </si>
  <si>
    <t>M22</t>
  </si>
  <si>
    <t>M23</t>
  </si>
  <si>
    <t>M24</t>
  </si>
  <si>
    <t>O10</t>
  </si>
  <si>
    <t>O11</t>
  </si>
  <si>
    <t>O12</t>
  </si>
  <si>
    <t>O14</t>
  </si>
  <si>
    <t>O13</t>
  </si>
  <si>
    <t>O15</t>
  </si>
  <si>
    <t>O16</t>
  </si>
  <si>
    <t>O17</t>
  </si>
  <si>
    <t>O19</t>
  </si>
  <si>
    <t>O18</t>
  </si>
  <si>
    <t>O20</t>
  </si>
  <si>
    <t>Q83</t>
  </si>
  <si>
    <t>Q01</t>
  </si>
  <si>
    <t>Q03</t>
  </si>
  <si>
    <t>Q02</t>
  </si>
  <si>
    <t>Q51</t>
  </si>
  <si>
    <t>Q82</t>
  </si>
  <si>
    <t>Q50</t>
  </si>
  <si>
    <t>Q46</t>
  </si>
  <si>
    <t>Q05</t>
  </si>
  <si>
    <t>Q06</t>
  </si>
  <si>
    <t>Q07</t>
  </si>
  <si>
    <t>Q04</t>
  </si>
  <si>
    <t>Q08</t>
  </si>
  <si>
    <t>Q09</t>
  </si>
  <si>
    <t>Q10</t>
  </si>
  <si>
    <t>Q11</t>
  </si>
  <si>
    <t>Q12</t>
  </si>
  <si>
    <t>Q15</t>
  </si>
  <si>
    <t>Q13</t>
  </si>
  <si>
    <t>Q14</t>
  </si>
  <si>
    <t>Q17</t>
  </si>
  <si>
    <t>Q16</t>
  </si>
  <si>
    <t>Q18</t>
  </si>
  <si>
    <t>Q19</t>
  </si>
  <si>
    <t>Q20</t>
  </si>
  <si>
    <t>Q22</t>
  </si>
  <si>
    <t>Q23</t>
  </si>
  <si>
    <t>Q21</t>
  </si>
  <si>
    <t>Q36</t>
  </si>
  <si>
    <t>Q24</t>
  </si>
  <si>
    <t>Q33</t>
  </si>
  <si>
    <t>Q72</t>
  </si>
  <si>
    <t>Q73</t>
  </si>
  <si>
    <t>Q47</t>
  </si>
  <si>
    <t>Q25</t>
  </si>
  <si>
    <t>Q26</t>
  </si>
  <si>
    <t>Q27</t>
  </si>
  <si>
    <t>Q35</t>
  </si>
  <si>
    <t>Q34</t>
  </si>
  <si>
    <t>Q28</t>
  </si>
  <si>
    <t>Q29</t>
  </si>
  <si>
    <t>Q64</t>
  </si>
  <si>
    <t>Q79</t>
  </si>
  <si>
    <t>Q30</t>
  </si>
  <si>
    <t>Q31</t>
  </si>
  <si>
    <t>Q32</t>
  </si>
  <si>
    <t>Q40</t>
  </si>
  <si>
    <t>Q78</t>
  </si>
  <si>
    <t>Q37</t>
  </si>
  <si>
    <t>Q74</t>
  </si>
  <si>
    <t>Q38</t>
  </si>
  <si>
    <t>Q44</t>
  </si>
  <si>
    <t>Q81</t>
  </si>
  <si>
    <t>Q70</t>
  </si>
  <si>
    <t>Q39</t>
  </si>
  <si>
    <t>Q67</t>
  </si>
  <si>
    <t>Q41</t>
  </si>
  <si>
    <t>Q42</t>
  </si>
  <si>
    <t>Q43</t>
  </si>
  <si>
    <t>Q45</t>
  </si>
  <si>
    <t>Q49</t>
  </si>
  <si>
    <t>Q48</t>
  </si>
  <si>
    <t>Q52</t>
  </si>
  <si>
    <t>Q53</t>
  </si>
  <si>
    <t>Q56</t>
  </si>
  <si>
    <t>Q54</t>
  </si>
  <si>
    <t>Q55</t>
  </si>
  <si>
    <t>Q57</t>
  </si>
  <si>
    <t>Q62</t>
  </si>
  <si>
    <t>Q58</t>
  </si>
  <si>
    <t>Q59</t>
  </si>
  <si>
    <t>Q60</t>
  </si>
  <si>
    <t>Q61</t>
  </si>
  <si>
    <t>Q63</t>
  </si>
  <si>
    <t>Q65</t>
  </si>
  <si>
    <t>Q66</t>
  </si>
  <si>
    <t>Q68</t>
  </si>
  <si>
    <t>Q71</t>
  </si>
  <si>
    <t>Q69</t>
  </si>
  <si>
    <t>Q76</t>
  </si>
  <si>
    <t>Q75</t>
  </si>
  <si>
    <t>Q77</t>
  </si>
  <si>
    <t>Q80</t>
  </si>
  <si>
    <t>Número antiguo</t>
  </si>
  <si>
    <t>Aclamad, justos, al Señor</t>
  </si>
  <si>
    <t>Acuérdate de Jesucristo</t>
  </si>
  <si>
    <t>Abrid de par en par</t>
  </si>
  <si>
    <t>Acompáñame, Señor, en la tribulación</t>
  </si>
  <si>
    <t>Amáras al Señor tu Dios</t>
  </si>
  <si>
    <t>Aclama al Señor, tierra entera</t>
  </si>
  <si>
    <t>Alabad al Señor en su templo</t>
  </si>
  <si>
    <t>En el nuevo?</t>
  </si>
  <si>
    <t>Adeste, fideles</t>
  </si>
  <si>
    <t>Aleluya, que todos los pueblos</t>
  </si>
  <si>
    <t>Anunciaremos tu Reino, Señor</t>
  </si>
  <si>
    <t>Ante ti, Señor</t>
  </si>
  <si>
    <t>A ti levanto mis ojos</t>
  </si>
  <si>
    <t>A ti levanto mi alma</t>
  </si>
  <si>
    <t>Antes de ser llevado a la muerte</t>
  </si>
  <si>
    <t>Arriba nubes negras</t>
  </si>
  <si>
    <t>Alma mía, recobra tu calma</t>
  </si>
  <si>
    <t>Caminamos hacia el sol</t>
  </si>
  <si>
    <t>Caminaré en presencia del Señor</t>
  </si>
  <si>
    <t>Con su muerte nos justificará</t>
  </si>
  <si>
    <t>Caminaré en presencia del Señor (salmo)</t>
  </si>
  <si>
    <t>Como habían dicho los profetas</t>
  </si>
  <si>
    <t>Con nosotros está el Señor</t>
  </si>
  <si>
    <t>Cantan los ángeles en Belén</t>
  </si>
  <si>
    <t>Compartir, hay que compartir</t>
  </si>
  <si>
    <t>Comiendo del mismo pan</t>
  </si>
  <si>
    <t>Cristiano es vivir</t>
  </si>
  <si>
    <t>Cómo le cantaré al Señor</t>
  </si>
  <si>
    <t>Cielos, destilad el rocío</t>
  </si>
  <si>
    <t>Como lo había anunciado</t>
  </si>
  <si>
    <t>Cristo fue sincero</t>
  </si>
  <si>
    <t>Como Jonás</t>
  </si>
  <si>
    <t>Cristo se entregó por nosotros</t>
  </si>
  <si>
    <t>53b</t>
  </si>
  <si>
    <t>Cristo es la imagen de Dios</t>
  </si>
  <si>
    <t>Creo, Señor, firmemente</t>
  </si>
  <si>
    <t>Criaturas del Señor</t>
  </si>
  <si>
    <t>Creo en Dios y en su Palabra</t>
  </si>
  <si>
    <t>65b</t>
  </si>
  <si>
    <t>Cuándo vendrás, Señor</t>
  </si>
  <si>
    <t>Cuántos años han de pasar</t>
  </si>
  <si>
    <t>Cuando el pan que está en mi vida</t>
  </si>
  <si>
    <t>Cuando rezamos, cuando cantamos</t>
  </si>
  <si>
    <t>Dad gracias al Señor porque es bueno</t>
  </si>
  <si>
    <t>Danos paz</t>
  </si>
  <si>
    <t>Dad gracias al Señor porque es bueno, porque su amor no tiene fin</t>
  </si>
  <si>
    <t>Dame, Señor, un corazón feliz</t>
  </si>
  <si>
    <t>Donde tú dices ley</t>
  </si>
  <si>
    <t>Donde hay amor allí está Dios</t>
  </si>
  <si>
    <t>Depende de ti y de mí</t>
  </si>
  <si>
    <t>De Jerusalén bajaba a Jericó</t>
  </si>
  <si>
    <t>Despiértanos, levántanos</t>
  </si>
  <si>
    <t>81b</t>
  </si>
  <si>
    <t>Dios te salve, María</t>
  </si>
  <si>
    <t>Dios te salve, mi señora</t>
  </si>
  <si>
    <t>Dios te salve, María, llena eres de gracia</t>
  </si>
  <si>
    <t>De la Virgen ha nacido el Niño</t>
  </si>
  <si>
    <t>En el trabajo de cada día</t>
  </si>
  <si>
    <t>El pueblo gime en el dolor</t>
  </si>
  <si>
    <t>El que escucha mis palabras</t>
  </si>
  <si>
    <t>El auxilio me viene del Señor</t>
  </si>
  <si>
    <t>El Señor es mi luz y mi salvación</t>
  </si>
  <si>
    <t>Él está vivo, tú lo has visto</t>
  </si>
  <si>
    <t>El Señor es compasivo y misericordioso</t>
  </si>
  <si>
    <t>El Señor es mi fuerza</t>
  </si>
  <si>
    <t>El Señor es bueno</t>
  </si>
  <si>
    <t>Adiós, adiós amigos</t>
  </si>
  <si>
    <t>Bendita sea tu pureza</t>
  </si>
  <si>
    <t>Como tus brazos</t>
  </si>
  <si>
    <t>Creo en Jesús</t>
  </si>
  <si>
    <t>Cristo te necesita para amar</t>
  </si>
  <si>
    <t>Dios de amor</t>
  </si>
  <si>
    <t>El Espíritu del Señor</t>
  </si>
  <si>
    <t>La Misa es una fiesta muy alegre</t>
  </si>
  <si>
    <t>La Misa no termina aquí en la iglesia</t>
  </si>
  <si>
    <t>Mil millones de estrellas</t>
  </si>
  <si>
    <t>Oh, Dios, tú eres mi Dios</t>
  </si>
  <si>
    <t>Paz (San Agustín)</t>
  </si>
  <si>
    <t>Paz de Mateo</t>
  </si>
  <si>
    <t>Quisiera cambiar el mundo</t>
  </si>
  <si>
    <t>Roba a Dios</t>
  </si>
  <si>
    <t>Santo (Palazón)</t>
  </si>
  <si>
    <t>Santo (Sto. Domingo de Silos)</t>
  </si>
  <si>
    <t>Santo (Tradicional)</t>
  </si>
  <si>
    <t>Somos ciudadanos de un mundo</t>
  </si>
  <si>
    <t>Tú que siempre nos perdonas</t>
  </si>
  <si>
    <t>Una tarde en la playa (San Agustín)</t>
  </si>
  <si>
    <t>Vendrá la libertad</t>
  </si>
  <si>
    <t>Yo canto al Señor porque es grande</t>
  </si>
  <si>
    <t>Yo te nombro, libertad</t>
  </si>
  <si>
    <t>Alelualeluya</t>
  </si>
  <si>
    <t>Enséñame, Señor, tus caminos</t>
  </si>
  <si>
    <t>Envía tu Espíritu, Señor</t>
  </si>
  <si>
    <t>El Señor ha estado grande con nosotros</t>
  </si>
  <si>
    <t>Esperando, esperando</t>
  </si>
  <si>
    <t>En esto conocerán</t>
  </si>
  <si>
    <t>Escuchad, escuchad</t>
  </si>
  <si>
    <t>Escúchanos, Señor, escucha nuestros gritos</t>
  </si>
  <si>
    <t>Esta es la noche de la luz</t>
  </si>
  <si>
    <t>Este es el día en que actuó</t>
  </si>
  <si>
    <t>Esta noche he visto a Dios</t>
  </si>
  <si>
    <t>Fe no es aguardar</t>
  </si>
  <si>
    <t>Feliz el hombre</t>
  </si>
  <si>
    <t>Gracias, Señor, por tu Palabra</t>
  </si>
  <si>
    <t>Gracias, Señor, por mis hermanos</t>
  </si>
  <si>
    <t>Hoy cantamos a Dios</t>
  </si>
  <si>
    <t>Habrá un día en que todos</t>
  </si>
  <si>
    <t>Hasta cuándo, Señor</t>
  </si>
  <si>
    <t>Haz, Señor</t>
  </si>
  <si>
    <t>Hoy en Belén es la fiesta</t>
  </si>
  <si>
    <t>Hoy empieza una nueva era</t>
  </si>
  <si>
    <t>Hoy me siento peregrino</t>
  </si>
  <si>
    <t>Junto a ti al caer de la tarde</t>
  </si>
  <si>
    <t>Juventud de todos los países</t>
  </si>
  <si>
    <t>Lámpara es tu palabra, Señor</t>
  </si>
  <si>
    <t>Los pobres de la tierra</t>
  </si>
  <si>
    <t>La noticia es amor</t>
  </si>
  <si>
    <t>Levanto mis ojos a los montes</t>
  </si>
  <si>
    <t>La palabra nos la dio el Señor</t>
  </si>
  <si>
    <t>Las puertas de la nueva ciudad</t>
  </si>
  <si>
    <t>La tierra que hoy pisamos</t>
  </si>
  <si>
    <t>Levántate, pueblo mío</t>
  </si>
  <si>
    <t>Llegó la noche</t>
  </si>
  <si>
    <t>Los que a la pobreza</t>
  </si>
  <si>
    <t>Madre de los creyentes</t>
  </si>
  <si>
    <t>María, guardabas todo</t>
  </si>
  <si>
    <t>Más allá, las redes más allá</t>
  </si>
  <si>
    <t>Nacerá una nueva hermandad</t>
  </si>
  <si>
    <t>Noche de Dios</t>
  </si>
  <si>
    <t>No queremos a los grandes palabreros</t>
  </si>
  <si>
    <t>Nacidos de la luz</t>
  </si>
  <si>
    <t>Necesitamos comer tu Pan</t>
  </si>
  <si>
    <t>No hay cosa más bonita que mirar</t>
  </si>
  <si>
    <t>Navidad es amar, romper toda frontera</t>
  </si>
  <si>
    <t>No, yo no dejo la tierra</t>
  </si>
  <si>
    <t>Nochebuena, nochebuena</t>
  </si>
  <si>
    <t>No vayáis a la fiesta</t>
  </si>
  <si>
    <t>Nos has llamado al desierto</t>
  </si>
  <si>
    <t>Nueva aurora en nuestra noche</t>
  </si>
  <si>
    <t>Nosotros venceremos</t>
  </si>
  <si>
    <t>Os doy un mandato nuevo (largo)</t>
  </si>
  <si>
    <t>Oh, Dios, tú mereces un himno</t>
  </si>
  <si>
    <t>Oh, Dios, por qué nos has abandonado</t>
  </si>
  <si>
    <t>Oh, Señor, envía tu Espíritu</t>
  </si>
  <si>
    <t>Padre de las misericordias</t>
  </si>
  <si>
    <t>Padre, me pongo en tus manos</t>
  </si>
  <si>
    <t>Padre nuestro, que estás en la tierra</t>
  </si>
  <si>
    <t>Piedad, Señor, piedad</t>
  </si>
  <si>
    <t>Porque el mundo está lleno de misterios</t>
  </si>
  <si>
    <t>Protégeme, protégeme, Dios mío</t>
  </si>
  <si>
    <t>Perdón, Señor, perdón</t>
  </si>
  <si>
    <t>Porque fuiste mujer de un pueblo esclavo</t>
  </si>
  <si>
    <t>Perdóname, Señor</t>
  </si>
  <si>
    <t>Pueblo que avanzas buscando</t>
  </si>
  <si>
    <t>Quién más amigo que tú</t>
  </si>
  <si>
    <t>Quiero ser, oh, Señor</t>
  </si>
  <si>
    <t>Qué detalle, Señor</t>
  </si>
  <si>
    <t>Qué fácil es decir sí</t>
  </si>
  <si>
    <t>Rezar no es otra cosa</t>
  </si>
  <si>
    <t>Regina caeli</t>
  </si>
  <si>
    <t>Si no encuentro la alegría</t>
  </si>
  <si>
    <t>Señor, guíame por el sendero</t>
  </si>
  <si>
    <t>Señor, Dios nuestro, qué admirable</t>
  </si>
  <si>
    <t>Sacaréis aguas con gozo</t>
  </si>
  <si>
    <t>Solidaridad</t>
  </si>
  <si>
    <t>Siempre unidos, mano a mano</t>
  </si>
  <si>
    <t>Señor, tú has sido nuestro refugio</t>
  </si>
  <si>
    <t>Si despierta el corazón</t>
  </si>
  <si>
    <t>Señor, tú que brillas</t>
  </si>
  <si>
    <t>Se acerca el reino de Dios</t>
  </si>
  <si>
    <t>Somos un solo cuerpo</t>
  </si>
  <si>
    <t>Señor, Dios nuestro, restáuranos</t>
  </si>
  <si>
    <t>Siempre que es Navidad</t>
  </si>
  <si>
    <t>Si cada noche</t>
  </si>
  <si>
    <t>Si sabes de humildad y sencillez</t>
  </si>
  <si>
    <t>Te alabo, Señor</t>
  </si>
  <si>
    <t>Tiéndeme tu mano</t>
  </si>
  <si>
    <t>Te buscamos, Señor</t>
  </si>
  <si>
    <t>Tus manos son palomas</t>
  </si>
  <si>
    <t>Tiempo de espera</t>
  </si>
  <si>
    <t>Todos unidos en la vida</t>
  </si>
  <si>
    <t>Todavía cantamos</t>
  </si>
  <si>
    <t>Todos esperamos</t>
  </si>
  <si>
    <t>Un solo Señor</t>
  </si>
  <si>
    <t>Una ciudad para todos</t>
  </si>
  <si>
    <t>Un nuevo Reino está amaneciendo</t>
  </si>
  <si>
    <t>Únenos, Señor Jesús</t>
  </si>
  <si>
    <t>Vamos a la Cena</t>
  </si>
  <si>
    <t>Ven a nuestro mundo</t>
  </si>
  <si>
    <t>Ven, Salvador, ven a salvar a tu pueblo</t>
  </si>
  <si>
    <t>Vamos buscando la verdad</t>
  </si>
  <si>
    <t>Veo en tus ojos, María</t>
  </si>
  <si>
    <t>Venid, fieles todos (adeste fideles)</t>
  </si>
  <si>
    <t>Ven, Espíritu Santo</t>
  </si>
  <si>
    <t>Ven, Señor, a nuestra vida</t>
  </si>
  <si>
    <t>Yo confío en ti, Señor</t>
  </si>
  <si>
    <t>Yo volveré a cantar</t>
  </si>
  <si>
    <t>Yo estaré con vosotros</t>
  </si>
  <si>
    <t>Jesús es la Verdad</t>
  </si>
  <si>
    <t>Juntos cantaremos con la voz de la canción</t>
  </si>
  <si>
    <t>Nadie hay tan grande como tú</t>
  </si>
  <si>
    <t>Somos los que hacemos puentes</t>
  </si>
  <si>
    <t>Yo tengo un amigo que me ama</t>
  </si>
  <si>
    <t>Yo pensaba que el hombre era grande</t>
  </si>
  <si>
    <t>O01</t>
  </si>
  <si>
    <t>D01</t>
  </si>
  <si>
    <t>D02</t>
  </si>
  <si>
    <t>A01</t>
  </si>
  <si>
    <t>D03</t>
  </si>
  <si>
    <t>M01</t>
  </si>
  <si>
    <t>A02</t>
  </si>
  <si>
    <t>A03</t>
  </si>
  <si>
    <t>A04</t>
  </si>
  <si>
    <t>B01</t>
  </si>
  <si>
    <t>A05</t>
  </si>
  <si>
    <t>A06</t>
  </si>
  <si>
    <t>O02</t>
  </si>
  <si>
    <t>E01</t>
  </si>
  <si>
    <t>E02</t>
  </si>
  <si>
    <t>E03</t>
  </si>
  <si>
    <t>E04</t>
  </si>
  <si>
    <t>E09</t>
  </si>
  <si>
    <t>E05</t>
  </si>
  <si>
    <t>E06</t>
  </si>
  <si>
    <t>E07</t>
  </si>
  <si>
    <t>E08</t>
  </si>
  <si>
    <t>D04</t>
  </si>
  <si>
    <t>F01</t>
  </si>
  <si>
    <t>A07</t>
  </si>
  <si>
    <t>F02</t>
  </si>
  <si>
    <t>F03</t>
  </si>
  <si>
    <t>L01</t>
  </si>
  <si>
    <t>F04</t>
  </si>
  <si>
    <t>M02</t>
  </si>
  <si>
    <t>O03</t>
  </si>
  <si>
    <t>D05</t>
  </si>
  <si>
    <t>N01</t>
  </si>
  <si>
    <t>A08</t>
  </si>
  <si>
    <t>A09</t>
  </si>
  <si>
    <t>D06</t>
  </si>
  <si>
    <t>O04</t>
  </si>
  <si>
    <t>D07</t>
  </si>
  <si>
    <t>D08</t>
  </si>
  <si>
    <t>P01</t>
  </si>
  <si>
    <t>O05</t>
  </si>
  <si>
    <t>D09</t>
  </si>
  <si>
    <t>B02</t>
  </si>
  <si>
    <t>J01</t>
  </si>
  <si>
    <t>J02</t>
  </si>
  <si>
    <t>J03</t>
  </si>
  <si>
    <t>J04</t>
  </si>
  <si>
    <t>J05</t>
  </si>
  <si>
    <t>J06</t>
  </si>
  <si>
    <t>F05</t>
  </si>
  <si>
    <t>I01</t>
  </si>
  <si>
    <t>O06</t>
  </si>
  <si>
    <t>F06</t>
  </si>
  <si>
    <t>M03</t>
  </si>
  <si>
    <t>N02</t>
  </si>
  <si>
    <t>O07</t>
  </si>
  <si>
    <t>O08</t>
  </si>
  <si>
    <t>N03</t>
  </si>
  <si>
    <t>O09</t>
  </si>
  <si>
    <t>H01</t>
  </si>
  <si>
    <t>F07</t>
  </si>
  <si>
    <t>F08</t>
  </si>
  <si>
    <t>M04</t>
  </si>
  <si>
    <t>C01</t>
  </si>
  <si>
    <t>C02</t>
  </si>
  <si>
    <t>C03</t>
  </si>
  <si>
    <t>C04</t>
  </si>
  <si>
    <t>C05</t>
  </si>
  <si>
    <t>C06</t>
  </si>
  <si>
    <t>L02</t>
  </si>
  <si>
    <t>M05</t>
  </si>
  <si>
    <t>M06</t>
  </si>
  <si>
    <t>P02</t>
  </si>
  <si>
    <t>L03</t>
  </si>
  <si>
    <t>L04</t>
  </si>
  <si>
    <t>M07</t>
  </si>
  <si>
    <t>F09</t>
  </si>
  <si>
    <t>I02</t>
  </si>
  <si>
    <t>M08</t>
  </si>
  <si>
    <t>P03</t>
  </si>
  <si>
    <t>I03</t>
  </si>
  <si>
    <t>L05</t>
  </si>
  <si>
    <t>M09</t>
  </si>
  <si>
    <t>B03</t>
  </si>
  <si>
    <t>I04</t>
  </si>
  <si>
    <t>B04</t>
  </si>
  <si>
    <t>H02</t>
  </si>
  <si>
    <t>H03</t>
  </si>
  <si>
    <t>H04</t>
  </si>
  <si>
    <t>H05</t>
  </si>
  <si>
    <t>H06</t>
  </si>
  <si>
    <t>I05</t>
  </si>
  <si>
    <t>B05</t>
  </si>
  <si>
    <t>I06</t>
  </si>
  <si>
    <t>I07</t>
  </si>
  <si>
    <t>I08</t>
  </si>
  <si>
    <t>I09</t>
  </si>
  <si>
    <t>L06</t>
  </si>
  <si>
    <t>P04</t>
  </si>
  <si>
    <t>L07</t>
  </si>
  <si>
    <t>G01</t>
  </si>
  <si>
    <t>G02</t>
  </si>
  <si>
    <t>G03</t>
  </si>
  <si>
    <t>G04</t>
  </si>
  <si>
    <t>G06</t>
  </si>
  <si>
    <t>G07</t>
  </si>
  <si>
    <t>G05</t>
  </si>
  <si>
    <t>G08</t>
  </si>
  <si>
    <t>G09</t>
  </si>
  <si>
    <t>P05</t>
  </si>
  <si>
    <t>B06</t>
  </si>
  <si>
    <t>B07</t>
  </si>
  <si>
    <t>C07</t>
  </si>
  <si>
    <t>B08</t>
  </si>
  <si>
    <t>C08</t>
  </si>
  <si>
    <t>B09</t>
  </si>
  <si>
    <t>L08</t>
  </si>
  <si>
    <t>N04</t>
  </si>
  <si>
    <t>N05</t>
  </si>
  <si>
    <t>P06</t>
  </si>
  <si>
    <t>L09</t>
  </si>
  <si>
    <t>https://www.youtube.com/watch?v=nJ18Li5H2Gw</t>
  </si>
  <si>
    <t>En HTML?</t>
  </si>
  <si>
    <t>https://www.youtube.com/watch?v=pBDC7TRhCYY</t>
  </si>
  <si>
    <t>El tren del Evangelio</t>
  </si>
  <si>
    <t>Jesús es el Señor</t>
  </si>
  <si>
    <t>Un cuento cualquiera</t>
  </si>
  <si>
    <t>Marcelino Champagnat</t>
  </si>
  <si>
    <t>Y ahora, Señor</t>
  </si>
  <si>
    <t>Vive</t>
  </si>
  <si>
    <t>Hermanos</t>
  </si>
  <si>
    <t>Amigos</t>
  </si>
  <si>
    <t>A tu lado, Señor</t>
  </si>
  <si>
    <t>Señor de la historia</t>
  </si>
  <si>
    <t>Jesús de Nazaret</t>
  </si>
  <si>
    <t>Hermana Luna</t>
  </si>
  <si>
    <t>Testigos</t>
  </si>
  <si>
    <t>Esto va a misa</t>
  </si>
  <si>
    <t>Atrévete a soñar</t>
  </si>
  <si>
    <t>Un corazón sin fronteras</t>
  </si>
  <si>
    <t>Y se vive la vida</t>
  </si>
  <si>
    <t>Profeta de la familia</t>
  </si>
  <si>
    <t>Nacidos de mujer</t>
  </si>
  <si>
    <t>A mano</t>
  </si>
  <si>
    <t>Contracorriente</t>
  </si>
  <si>
    <t>Caminando</t>
  </si>
  <si>
    <t>Kronos</t>
  </si>
  <si>
    <t>Descálzate</t>
  </si>
  <si>
    <t>Alégrate</t>
  </si>
  <si>
    <t>Con Él la fiesta empezó</t>
  </si>
  <si>
    <t>Según tu Palabra</t>
  </si>
  <si>
    <t>A todos los pueblos</t>
  </si>
  <si>
    <t>Busca mi rostro</t>
  </si>
  <si>
    <t>Fuego en las entrañas</t>
  </si>
  <si>
    <t>Fuego y abrazo</t>
  </si>
  <si>
    <t>Nuevas</t>
  </si>
  <si>
    <t>Cesáreo Gabaráin</t>
  </si>
  <si>
    <t>Ángel Bravo</t>
  </si>
  <si>
    <t>Santiago Fernández</t>
  </si>
  <si>
    <t>Pedro Aizpurúa</t>
  </si>
  <si>
    <t>Benjamín Vega Robles</t>
  </si>
  <si>
    <t>Unai Quirós</t>
  </si>
  <si>
    <t>José Ibáñez</t>
  </si>
  <si>
    <t>En Clave de Dios</t>
  </si>
  <si>
    <t>Athenas (Argentina)</t>
  </si>
  <si>
    <t>Daniel Poli (Argentina)</t>
  </si>
  <si>
    <t>Carlos (Carlos Alberto) Seoane (Argentina)</t>
  </si>
  <si>
    <t>Jorge Lozano (Colombia)</t>
  </si>
  <si>
    <t>Luis Enrique Ascoy / Los Ascoy (Perú)</t>
  </si>
  <si>
    <t>Luis Alfredo Díaz (autor con circulación en Iberoamérica — nacido en Uruguay y afincado en España pero con obra difundida en Sudamérica)</t>
  </si>
  <si>
    <t>Padre Zezinho (Brasil)</t>
  </si>
  <si>
    <t>Hermana Glenda (nacida en Chile y muy difundida en Latinoamérica / España)</t>
  </si>
  <si>
    <t>Daniel Poli</t>
  </si>
  <si>
    <t>José Aramburu</t>
  </si>
  <si>
    <t>José Luis Carretero</t>
  </si>
  <si>
    <t>Jon Carlo</t>
  </si>
  <si>
    <t>Los Cantantes Católicos</t>
  </si>
  <si>
    <t>TSNC (Tomad, Señor, Nuestro Canto)</t>
  </si>
  <si>
    <t>Más cerca del sol</t>
  </si>
  <si>
    <t>Himno a Dios</t>
  </si>
  <si>
    <t>Ven, Señor Jesús</t>
  </si>
  <si>
    <t>Tú me sondeas</t>
  </si>
  <si>
    <t>El agua del Señor</t>
  </si>
  <si>
    <t>Canta Jerusalén</t>
  </si>
  <si>
    <t>Tú estás cerca</t>
  </si>
  <si>
    <t>Madre de los hijos pobres</t>
  </si>
  <si>
    <t>Magnificat</t>
  </si>
  <si>
    <t>Angelus</t>
  </si>
  <si>
    <t>Arcilla entre sus manos</t>
  </si>
  <si>
    <t>Tú eres del Señor</t>
  </si>
  <si>
    <t>Tú eres María</t>
  </si>
  <si>
    <t>Constrúyenos la casa</t>
  </si>
  <si>
    <t>Cortó la roca</t>
  </si>
  <si>
    <t>Me estás llamando</t>
  </si>
  <si>
    <t>Tocaré para ti</t>
  </si>
  <si>
    <t>Enséñanos a orar</t>
  </si>
  <si>
    <t>Tú, Señor</t>
  </si>
  <si>
    <t>Esperando con María</t>
  </si>
  <si>
    <t>Padre nuestro</t>
  </si>
  <si>
    <t>En tu cruz sigues hoy</t>
  </si>
  <si>
    <t>En la cruz nos das la vida</t>
  </si>
  <si>
    <t>Siento tu llamada</t>
  </si>
  <si>
    <t>El Señor es la esperanza</t>
  </si>
  <si>
    <t>El Señor está aquí</t>
  </si>
  <si>
    <t>Caminad</t>
  </si>
  <si>
    <t>Acógeme, Dios</t>
  </si>
  <si>
    <t>María, madre del dolor</t>
  </si>
  <si>
    <t>Llama de vida</t>
  </si>
  <si>
    <t>Venga tu reino</t>
  </si>
  <si>
    <t>Somos testigos</t>
  </si>
  <si>
    <t>Tu camino y tu verdad</t>
  </si>
  <si>
    <t>Jesús es verdad</t>
  </si>
  <si>
    <t>Gracias por tu don</t>
  </si>
  <si>
    <t>Quédate aquí, Señor</t>
  </si>
  <si>
    <t>Canto de María</t>
  </si>
  <si>
    <t>Tú, Jesús</t>
  </si>
  <si>
    <t>Me has seducido, Señor</t>
  </si>
  <si>
    <t>Una vida que busca libertad</t>
  </si>
  <si>
    <t>Señor, yo no soy digno</t>
  </si>
  <si>
    <t>Sí, Jesús</t>
  </si>
  <si>
    <t>No temáis</t>
  </si>
  <si>
    <t>Quéjate si puedes</t>
  </si>
  <si>
    <t>De lo débil saca fuerzas Dios</t>
  </si>
  <si>
    <t>Esperad al Señor</t>
  </si>
  <si>
    <t>Ten piedad</t>
  </si>
  <si>
    <t>Sintonía</t>
  </si>
  <si>
    <t>Mi ciudad</t>
  </si>
  <si>
    <t>Mañana, quién sabrá</t>
  </si>
  <si>
    <t>Quisiera haber nacido</t>
  </si>
  <si>
    <t>No puedo jugar</t>
  </si>
  <si>
    <t>Siempre me gustó decirte hola</t>
  </si>
  <si>
    <t>Sólo trabajar</t>
  </si>
  <si>
    <t>No tengo a nadie</t>
  </si>
  <si>
    <t>Me hicieron así</t>
  </si>
  <si>
    <t>Tú y yo, éste, aquél</t>
  </si>
  <si>
    <t>Un himno surgirá</t>
  </si>
  <si>
    <t>Hermitage, casa del Señor</t>
  </si>
  <si>
    <t>Donde haya un niño</t>
  </si>
  <si>
    <t>Pienso en usted</t>
  </si>
  <si>
    <t>Familia Marista</t>
  </si>
  <si>
    <t>Confiad, recurrid</t>
  </si>
  <si>
    <t>Hermanitos de María</t>
  </si>
  <si>
    <t>Testamento espiritual</t>
  </si>
  <si>
    <t>Nuestras voces cantan</t>
  </si>
  <si>
    <t>Padre, perdón</t>
  </si>
  <si>
    <t>Gloria, hosana</t>
  </si>
  <si>
    <t>Como Marcelino</t>
  </si>
  <si>
    <t>Niño</t>
  </si>
  <si>
    <t>Hermano, confía en Dios</t>
  </si>
  <si>
    <t>Una vida</t>
  </si>
  <si>
    <t>En torno al pan</t>
  </si>
  <si>
    <t>Hermano entre los hombres</t>
  </si>
  <si>
    <t>Dios en la ciudad</t>
  </si>
  <si>
    <t>Buena Madre</t>
  </si>
  <si>
    <t>Somos una familia</t>
  </si>
  <si>
    <t>Hermano, adiós</t>
  </si>
  <si>
    <t>Es, tu amigo es</t>
  </si>
  <si>
    <t>Rock de paz</t>
  </si>
  <si>
    <t>Kua, kua, kua</t>
  </si>
  <si>
    <t>El dinosaurio</t>
  </si>
  <si>
    <t>Noche silenciosa</t>
  </si>
  <si>
    <t>Con los niños</t>
  </si>
  <si>
    <t>Kenee Chineke nna</t>
  </si>
  <si>
    <t>Al nacer el nuevo día</t>
  </si>
  <si>
    <t>Ki ki ki</t>
  </si>
  <si>
    <t>Al Señor cantad</t>
  </si>
  <si>
    <t>Xerinola</t>
  </si>
  <si>
    <t>Diremos que sí</t>
  </si>
  <si>
    <t>Ven conmigo, amigo</t>
  </si>
  <si>
    <t>Tú serás mi hermano</t>
  </si>
  <si>
    <t>Cristo</t>
  </si>
  <si>
    <t>Allí estás tú</t>
  </si>
  <si>
    <t>No hay lloros por un niño muerto</t>
  </si>
  <si>
    <t>Deja que en tu vida cante Él</t>
  </si>
  <si>
    <t>Tiene el sida</t>
  </si>
  <si>
    <t>Grito libertad</t>
  </si>
  <si>
    <t>Tu sonrisa no la vi</t>
  </si>
  <si>
    <t>Me muero de hambre</t>
  </si>
  <si>
    <t>Yo no he podido ser bueno</t>
  </si>
  <si>
    <t>Deseo paz</t>
  </si>
  <si>
    <t>Nuestra buena madre</t>
  </si>
  <si>
    <t>No durmáis</t>
  </si>
  <si>
    <t>Tu llamada</t>
  </si>
  <si>
    <t>No es fácil</t>
  </si>
  <si>
    <t>Nacidos de la cruz</t>
  </si>
  <si>
    <t>Clara, hija de la luz</t>
  </si>
  <si>
    <t>Clara, imagen de Dios</t>
  </si>
  <si>
    <t>Jesús te ama</t>
  </si>
  <si>
    <t>Cántico de las criaturas</t>
  </si>
  <si>
    <t>Oración a San Francisco</t>
  </si>
  <si>
    <t>Si vamos desnudos por Cristo</t>
  </si>
  <si>
    <t>El don de la fraternidad</t>
  </si>
  <si>
    <t>Cuando la muerte</t>
  </si>
  <si>
    <t>Que sepamos estar</t>
  </si>
  <si>
    <t>Latinoamérica</t>
  </si>
  <si>
    <t>Indígena</t>
  </si>
  <si>
    <t>Nos precederán</t>
  </si>
  <si>
    <t>Un kirie más</t>
  </si>
  <si>
    <t>La mula</t>
  </si>
  <si>
    <t>El brujo Mugandino</t>
  </si>
  <si>
    <t>Que no nos den el pan bañado en sangre</t>
  </si>
  <si>
    <t>Salve, compañera nuestra</t>
  </si>
  <si>
    <t>El bar del bosnio</t>
  </si>
  <si>
    <t>Mi mamita buena</t>
  </si>
  <si>
    <t>De pura raza</t>
  </si>
  <si>
    <t>Salmo</t>
  </si>
  <si>
    <t>Credo</t>
  </si>
  <si>
    <t>Canción de paz</t>
  </si>
  <si>
    <t>Te agradezco</t>
  </si>
  <si>
    <t>Testigos del Señor</t>
  </si>
  <si>
    <t>Confianza en Dios</t>
  </si>
  <si>
    <t>En la esperanza, Madre</t>
  </si>
  <si>
    <t>Con sencillo corazón</t>
  </si>
  <si>
    <t>Fraternidad</t>
  </si>
  <si>
    <t>Teresa Toda</t>
  </si>
  <si>
    <t>Pinta de luz</t>
  </si>
  <si>
    <t>Mantas de cartón</t>
  </si>
  <si>
    <t>Soñar un mundo más feliz</t>
  </si>
  <si>
    <t>Hacia la luz</t>
  </si>
  <si>
    <t>Frases Marcelino</t>
  </si>
  <si>
    <t>Acuérdate, María</t>
  </si>
  <si>
    <t>Tu serás hoy Champagnat</t>
  </si>
  <si>
    <t>Seguir amando</t>
  </si>
  <si>
    <t>Jesús, cámbianos</t>
  </si>
  <si>
    <t>Como María</t>
  </si>
  <si>
    <t>Nos marca el caminar</t>
  </si>
  <si>
    <t>Alfonsa, hermana y amiga</t>
  </si>
  <si>
    <t>Soy mujer</t>
  </si>
  <si>
    <t>En ti solo descanso</t>
  </si>
  <si>
    <t>Sueña</t>
  </si>
  <si>
    <t>Y fuiste hogar</t>
  </si>
  <si>
    <t>Como tú</t>
  </si>
  <si>
    <t>Siempre, sí, celebraré</t>
  </si>
  <si>
    <t>Su palabra</t>
  </si>
  <si>
    <t>Santa Familia</t>
  </si>
  <si>
    <t>Jesús, María y José</t>
  </si>
  <si>
    <t>Tu mirada</t>
  </si>
  <si>
    <t>Familias</t>
  </si>
  <si>
    <t>El poema de la piedra</t>
  </si>
  <si>
    <t>Haced lo que Él os diga</t>
  </si>
  <si>
    <t>En comunidad</t>
  </si>
  <si>
    <t>Danos tu espíritu</t>
  </si>
  <si>
    <t>Adela</t>
  </si>
  <si>
    <t>Pequeño corazón</t>
  </si>
  <si>
    <t>Chaminade</t>
  </si>
  <si>
    <t>Creo en ti</t>
  </si>
  <si>
    <t>A las tres de la tarde</t>
  </si>
  <si>
    <t>Vino nuevo</t>
  </si>
  <si>
    <t>Te seguiré</t>
  </si>
  <si>
    <t>Un solo corazón</t>
  </si>
  <si>
    <t>Desde tu gesto</t>
  </si>
  <si>
    <t>El silencio de mi corazón</t>
  </si>
  <si>
    <t>Si tú sabes</t>
  </si>
  <si>
    <t>La utopia es posible</t>
  </si>
  <si>
    <t>Que vuestro corazón no se turbe</t>
  </si>
  <si>
    <t>Decid sí</t>
  </si>
  <si>
    <t>Estrellas en el mar</t>
  </si>
  <si>
    <t>Venimos ante ti</t>
  </si>
  <si>
    <t>En la oscuridad de la noche</t>
  </si>
  <si>
    <t>Padre</t>
  </si>
  <si>
    <t>Mundo de ensueño</t>
  </si>
  <si>
    <t>Tras el cristal</t>
  </si>
  <si>
    <t>Carta a un general</t>
  </si>
  <si>
    <t>Un gesto</t>
  </si>
  <si>
    <t>Ángel</t>
  </si>
  <si>
    <t>Scaramouche</t>
  </si>
  <si>
    <t>Caminar</t>
  </si>
  <si>
    <t>En qué mundo vives</t>
  </si>
  <si>
    <t>Una iglesia de excluidos</t>
  </si>
  <si>
    <t>Un Dios que huele</t>
  </si>
  <si>
    <t>A su imagen y semejanza</t>
  </si>
  <si>
    <t>Ante el espejo</t>
  </si>
  <si>
    <t>Angel Remix</t>
  </si>
  <si>
    <t>Corazones nómadas</t>
  </si>
  <si>
    <t>De la mano</t>
  </si>
  <si>
    <t>Plegaria</t>
  </si>
  <si>
    <t>Somos Iglesia</t>
  </si>
  <si>
    <t>Decir tu nombre, María</t>
  </si>
  <si>
    <t>Rebosando nombres</t>
  </si>
  <si>
    <t>Perdona que te lo diga</t>
  </si>
  <si>
    <t>Padre del hombre</t>
  </si>
  <si>
    <t>Marcelino</t>
  </si>
  <si>
    <t>Siento tu dolor</t>
  </si>
  <si>
    <t>Si yo cambiara</t>
  </si>
  <si>
    <t>No pasa ná</t>
  </si>
  <si>
    <t>Entorno al pan</t>
  </si>
  <si>
    <t>Somos</t>
  </si>
  <si>
    <t>Realidad</t>
  </si>
  <si>
    <t>Boga mar adentro</t>
  </si>
  <si>
    <t>No tengas miedo</t>
  </si>
  <si>
    <t>Ardo en celo</t>
  </si>
  <si>
    <t>Rut y Noemí</t>
  </si>
  <si>
    <t>Ven, Espíritu</t>
  </si>
  <si>
    <t>María Magdalena</t>
  </si>
  <si>
    <t>Joaquina emigrante</t>
  </si>
  <si>
    <t>Te basta mi gracia</t>
  </si>
  <si>
    <t>Sé mi luz</t>
  </si>
  <si>
    <t>Palabras de vida</t>
  </si>
  <si>
    <t>Seducida</t>
  </si>
  <si>
    <t>Escucha</t>
  </si>
  <si>
    <t>Ruah</t>
  </si>
  <si>
    <t>No guardes tu vida</t>
  </si>
  <si>
    <t>Atráeme</t>
  </si>
  <si>
    <t>Dios de la historia, bendice</t>
  </si>
  <si>
    <t>Levantad las piedras</t>
  </si>
  <si>
    <t>Dios fiel</t>
  </si>
  <si>
    <t>Hambre y sed de Ti</t>
  </si>
  <si>
    <t>Confianza</t>
  </si>
  <si>
    <t>Talita kum</t>
  </si>
  <si>
    <t>Pan compartido</t>
  </si>
  <si>
    <t>Gloria Trinitario</t>
  </si>
  <si>
    <t>A Ti</t>
  </si>
  <si>
    <t>Tú lo sabes</t>
  </si>
  <si>
    <t>Caná</t>
  </si>
  <si>
    <t>La mujer del perfume</t>
  </si>
  <si>
    <t>Para estar contigo</t>
  </si>
  <si>
    <t>Samaritano</t>
  </si>
  <si>
    <t>No hay fronteras</t>
  </si>
  <si>
    <t>Yo soy</t>
  </si>
  <si>
    <t>A toda la tierra alcanza su pregón</t>
  </si>
  <si>
    <t>Con amor eterno</t>
  </si>
  <si>
    <t>Anunciarte</t>
  </si>
  <si>
    <t>Invítanos</t>
  </si>
  <si>
    <t>Creatura habitada</t>
  </si>
  <si>
    <t>El hombre de Gerasa</t>
  </si>
  <si>
    <t>Benedictus</t>
  </si>
  <si>
    <t>Oración de una mujer</t>
  </si>
  <si>
    <t>Heme aquí</t>
  </si>
  <si>
    <t>Yo soy el que vive</t>
  </si>
  <si>
    <t>Que se alegren tus entrañas</t>
  </si>
  <si>
    <t>Palabra</t>
  </si>
  <si>
    <t>Atraviesas</t>
  </si>
  <si>
    <t>Palabra encarnada</t>
  </si>
  <si>
    <t>Kolokoso</t>
  </si>
  <si>
    <t>La mujer cananea</t>
  </si>
  <si>
    <t>El siervo</t>
  </si>
  <si>
    <t>La moneda perdida</t>
  </si>
  <si>
    <t>Señor mío y Dios mío</t>
  </si>
  <si>
    <t>Dame una palabra</t>
  </si>
  <si>
    <t>Somos del Señor</t>
  </si>
  <si>
    <t>Fuertes, humildes y diligentes</t>
  </si>
  <si>
    <t>Tú eres mi bien</t>
  </si>
  <si>
    <t>Desde abajo</t>
  </si>
  <si>
    <t>Como la cierva</t>
  </si>
  <si>
    <t>Sólo Tú</t>
  </si>
  <si>
    <t>Sed felices</t>
  </si>
  <si>
    <t>Señor de la sabiduría</t>
  </si>
  <si>
    <t>Descansa en ti su mirada</t>
  </si>
  <si>
    <t>El amor</t>
  </si>
  <si>
    <t>Miradle</t>
  </si>
  <si>
    <t>Venid conmigo</t>
  </si>
  <si>
    <t>Somos vedruna</t>
  </si>
  <si>
    <t>Fuego</t>
  </si>
  <si>
    <t>Mujeres en camino</t>
  </si>
  <si>
    <t>Abre mis puertas</t>
  </si>
  <si>
    <t>Danos de beber</t>
  </si>
  <si>
    <t>Secuencia pascual</t>
  </si>
  <si>
    <t>Sólo en Dios</t>
  </si>
  <si>
    <t>Cantad al Señor</t>
  </si>
  <si>
    <t>Agua viva</t>
  </si>
  <si>
    <t>Habitaré</t>
  </si>
  <si>
    <t>Por amor a tu pueblo</t>
  </si>
  <si>
    <t>Llama de amor viva</t>
  </si>
  <si>
    <t>La piedra angular</t>
  </si>
  <si>
    <t>Como pan pequeño</t>
  </si>
  <si>
    <t>En ti</t>
  </si>
  <si>
    <t>Volemos</t>
  </si>
  <si>
    <t>Os envío</t>
  </si>
  <si>
    <t>De todo corazón</t>
  </si>
  <si>
    <t>Canto de Ana</t>
  </si>
  <si>
    <t>Seguirte</t>
  </si>
  <si>
    <t>Pueblo Suyo</t>
  </si>
  <si>
    <t>Quedas libre</t>
  </si>
  <si>
    <t>Si le dais posada</t>
  </si>
  <si>
    <t>Es mi hermano</t>
  </si>
  <si>
    <t>Jesús</t>
  </si>
  <si>
    <t>Como Tú</t>
  </si>
  <si>
    <t>Pequeño Israel</t>
  </si>
  <si>
    <t>Vivid en comunión</t>
  </si>
  <si>
    <t>Carpeta</t>
  </si>
  <si>
    <t>Los incontables</t>
  </si>
  <si>
    <t>Discípulos</t>
  </si>
  <si>
    <t>Ánimo, soy yo</t>
  </si>
  <si>
    <t>Llueve Tú</t>
  </si>
  <si>
    <t>Ven, Señor</t>
  </si>
  <si>
    <t>Cómo podré pagarte</t>
  </si>
  <si>
    <t>De otra manera</t>
  </si>
  <si>
    <t>Junto al vino y al pan</t>
  </si>
  <si>
    <t>Traerás la paz</t>
  </si>
  <si>
    <t>Tu palabra se hace vida</t>
  </si>
  <si>
    <t>Hoy, Jesús, vendrás a mí</t>
  </si>
  <si>
    <t>Familia de Dios</t>
  </si>
  <si>
    <t>De otra manera 2</t>
  </si>
  <si>
    <t>Otras</t>
  </si>
  <si>
    <t>Señor, ten piedad I</t>
  </si>
  <si>
    <t>Señor, ten piedad II</t>
  </si>
  <si>
    <t>Aleluya I</t>
  </si>
  <si>
    <t>Aleluya II</t>
  </si>
  <si>
    <t>Suelta el timón</t>
  </si>
  <si>
    <t>Quiero confiar</t>
  </si>
  <si>
    <t>Soy de ti</t>
  </si>
  <si>
    <t>El boleto</t>
  </si>
  <si>
    <t>Tuya y nueva</t>
  </si>
  <si>
    <t>No os preocupéis</t>
  </si>
  <si>
    <t>Sabes bien</t>
  </si>
  <si>
    <t>Alegraos</t>
  </si>
  <si>
    <t>Envíanos sin miedo</t>
  </si>
  <si>
    <t>Aquí y ahora</t>
  </si>
  <si>
    <t>Adéntrate</t>
  </si>
  <si>
    <t>Pedid y se os dará</t>
  </si>
  <si>
    <t>Cada mañana</t>
  </si>
  <si>
    <t>Fija en ti</t>
  </si>
  <si>
    <t>Tú y no yo</t>
  </si>
  <si>
    <t>Ten compasión</t>
  </si>
  <si>
    <t>A fuego</t>
  </si>
  <si>
    <t>Aprendiendo</t>
  </si>
  <si>
    <t>Alianza</t>
  </si>
  <si>
    <t>Gracias</t>
  </si>
  <si>
    <t>Mírame</t>
  </si>
  <si>
    <t>A buscarme</t>
  </si>
  <si>
    <t>Si tú quieres</t>
  </si>
  <si>
    <t>Dónde</t>
  </si>
  <si>
    <t>Escúchame</t>
  </si>
  <si>
    <t>A la puerta</t>
  </si>
  <si>
    <t>En quién si no</t>
  </si>
  <si>
    <t>Silencio</t>
  </si>
  <si>
    <t>De repente</t>
  </si>
  <si>
    <t>Alabarte</t>
  </si>
  <si>
    <t>Frontera</t>
  </si>
  <si>
    <t>Despierto</t>
  </si>
  <si>
    <t>Como niños</t>
  </si>
  <si>
    <t>Vivir</t>
  </si>
  <si>
    <t>Te seguiré llamando</t>
  </si>
  <si>
    <t>No volverá vacía</t>
  </si>
  <si>
    <t>Grietas</t>
  </si>
  <si>
    <t>En parábolas</t>
  </si>
  <si>
    <t>Óyeme</t>
  </si>
  <si>
    <t>Bosque</t>
  </si>
  <si>
    <t>Nuestro lugar</t>
  </si>
  <si>
    <t>A tu medida</t>
  </si>
  <si>
    <t>Mayor que todo</t>
  </si>
  <si>
    <t>Seas</t>
  </si>
  <si>
    <t>Brasas</t>
  </si>
  <si>
    <t>De frente</t>
  </si>
  <si>
    <t>15 olas</t>
  </si>
  <si>
    <t>Sucedió</t>
  </si>
  <si>
    <t>Bailaré</t>
  </si>
  <si>
    <t>Lo entregaron todo</t>
  </si>
  <si>
    <t>La libertad del Espíritu</t>
  </si>
  <si>
    <t>Te reclamarán la vida</t>
  </si>
  <si>
    <t>Somos canción</t>
  </si>
  <si>
    <t>El amor no dice basta</t>
  </si>
  <si>
    <t>Betania (YouTube)</t>
  </si>
  <si>
    <t>Señor Dios, me tienes ante ti</t>
  </si>
  <si>
    <t>Ya no te queda tiempo</t>
  </si>
  <si>
    <t>Pregón Pascual (Aleluya)</t>
  </si>
  <si>
    <t>Pregón Pascual (Gloria)</t>
  </si>
  <si>
    <t>Estoy creyendo en ti (credo)</t>
  </si>
  <si>
    <t>Conviviendo en armonía</t>
  </si>
  <si>
    <t>Por ti, Jerusalén</t>
  </si>
  <si>
    <t>Dios de la Historia</t>
  </si>
  <si>
    <t>Acabamos de oír tu palabra</t>
  </si>
  <si>
    <t>Bendito seas, Señor</t>
  </si>
  <si>
    <t>Anunciamos tu muerte</t>
  </si>
  <si>
    <t>Tuyo es el reino</t>
  </si>
  <si>
    <t>Anunciando tu venida</t>
  </si>
  <si>
    <t>Caminando hacia Él</t>
  </si>
  <si>
    <t>Cantos litúrgicos de Semana Santa</t>
  </si>
  <si>
    <t>El alzar de mis manos</t>
  </si>
  <si>
    <t>Reunidos en su nombre</t>
  </si>
  <si>
    <t>Cantos del pueblo de Dios</t>
  </si>
  <si>
    <t>Salmos al creador</t>
  </si>
  <si>
    <t>id</t>
  </si>
  <si>
    <t>taiz_esp</t>
  </si>
  <si>
    <t>Cántico de Daniel</t>
  </si>
  <si>
    <t>El Señor tenga piedad</t>
  </si>
  <si>
    <t>A ti suspiramos</t>
  </si>
  <si>
    <t>Morada de la luz</t>
  </si>
  <si>
    <t>Madre del Redentor</t>
  </si>
  <si>
    <t>Ángelus</t>
  </si>
  <si>
    <t>Madre nuestra</t>
  </si>
  <si>
    <t>Quién me ayuda</t>
  </si>
  <si>
    <t>Taizé en español</t>
  </si>
  <si>
    <t>Bendito</t>
  </si>
  <si>
    <t>Capricho</t>
  </si>
  <si>
    <t>Colombia</t>
  </si>
  <si>
    <t>Conciénciame</t>
  </si>
  <si>
    <t>Descalzos</t>
  </si>
  <si>
    <t>Deseo</t>
  </si>
  <si>
    <t>Forofos</t>
  </si>
  <si>
    <t>Imprescindible</t>
  </si>
  <si>
    <t>Libertad</t>
  </si>
  <si>
    <t>Mirada</t>
  </si>
  <si>
    <t>Noche</t>
  </si>
  <si>
    <t>Ojalá</t>
  </si>
  <si>
    <t>Pringados</t>
  </si>
  <si>
    <t>Revolución</t>
  </si>
  <si>
    <t>Sencillamente</t>
  </si>
  <si>
    <t>Todo</t>
  </si>
  <si>
    <t>Tonto</t>
  </si>
  <si>
    <t>Vértigo</t>
  </si>
  <si>
    <t>Al estar en la presencia</t>
  </si>
  <si>
    <t>Baila y déjate de historias</t>
  </si>
  <si>
    <t>Bien amado Señor</t>
  </si>
  <si>
    <t>Qué bien se está cuando se está bien</t>
  </si>
  <si>
    <t>Tan cerca</t>
  </si>
  <si>
    <t>Hoy te dejo</t>
  </si>
  <si>
    <t>Pasión de Dios</t>
  </si>
  <si>
    <t>Tu misericordia</t>
  </si>
  <si>
    <t>Que no se pierda ninguno</t>
  </si>
  <si>
    <t>Quiero cenar contigo</t>
  </si>
  <si>
    <t>Un paso más</t>
  </si>
  <si>
    <t>Siempre imaginé</t>
  </si>
  <si>
    <t>Nombre sobre todo nombre</t>
  </si>
  <si>
    <t>Tu rostro</t>
  </si>
  <si>
    <t>Mi pobre loco</t>
  </si>
  <si>
    <t>Ocúpate Tú de todo</t>
  </si>
  <si>
    <t>El abrazo</t>
  </si>
  <si>
    <t>La piel por Ti</t>
  </si>
  <si>
    <t>Madre de Hakuna</t>
  </si>
  <si>
    <t>En lo hondo</t>
  </si>
  <si>
    <t>Arde (San José)</t>
  </si>
  <si>
    <t>Todos por todos</t>
  </si>
  <si>
    <t>Hoy en Belén</t>
  </si>
  <si>
    <t>Un segundo</t>
  </si>
  <si>
    <t>Me sobrepasa</t>
  </si>
  <si>
    <t>Comunión espiritual</t>
  </si>
  <si>
    <t>El cielo aguarda</t>
  </si>
  <si>
    <t>Lo imposible</t>
  </si>
  <si>
    <t>Nacidos de lo alto</t>
  </si>
  <si>
    <t>Pluma de escribano</t>
  </si>
  <si>
    <t>Olor a tostadas</t>
  </si>
  <si>
    <t>Dime, Padre</t>
  </si>
  <si>
    <t>Del cielo</t>
  </si>
  <si>
    <t>Entre anestesias</t>
  </si>
  <si>
    <t>Exulte mi alma</t>
  </si>
  <si>
    <t>Por qué lloras</t>
  </si>
  <si>
    <t>Cuarto lugar</t>
  </si>
  <si>
    <t>El arte de vivir</t>
  </si>
  <si>
    <t>Mi amado</t>
  </si>
  <si>
    <t>El Rey de la Gloria</t>
  </si>
  <si>
    <t>La fila</t>
  </si>
  <si>
    <t>Trueno</t>
  </si>
  <si>
    <t>No te vas</t>
  </si>
  <si>
    <t>Juntos</t>
  </si>
  <si>
    <t>Un sitio</t>
  </si>
  <si>
    <t>Nada</t>
  </si>
  <si>
    <t>A ti te alabo</t>
  </si>
  <si>
    <t>En medio del fuego</t>
  </si>
  <si>
    <t>Cuatro vientos</t>
  </si>
  <si>
    <t>Pasión I No sé qué viste en mí</t>
  </si>
  <si>
    <t>Pasión II Mi peso en tus hombros</t>
  </si>
  <si>
    <t>Pasión III Paraísos sin tu rostro</t>
  </si>
  <si>
    <t>Pasión IV Un dios débil</t>
  </si>
  <si>
    <t>Pasión IX Por qué</t>
  </si>
  <si>
    <t>Pasión VI Verónica</t>
  </si>
  <si>
    <t>Pasión VII Y te caes</t>
  </si>
  <si>
    <t>Pasión X Despojado</t>
  </si>
  <si>
    <t>Pasión XI La medida del amor</t>
  </si>
  <si>
    <t>Pasión XIII Madre</t>
  </si>
  <si>
    <t>Pasión XIV Donde estás tú</t>
  </si>
  <si>
    <t>Pasión XV Soy libre</t>
  </si>
  <si>
    <t>Pasión XVI Por mí, por ti</t>
  </si>
  <si>
    <t>El único rey</t>
  </si>
  <si>
    <t>No lo notáis</t>
  </si>
  <si>
    <t>Pasión V Cirineo</t>
  </si>
  <si>
    <t>Pasión VIII Jerusalén</t>
  </si>
  <si>
    <t>Gloria (por María)</t>
  </si>
  <si>
    <t>Vale más hablar con Dios</t>
  </si>
  <si>
    <t>Vamos hacia ti (gloria a Dios)</t>
  </si>
  <si>
    <t>Ten piedad de mí</t>
  </si>
  <si>
    <t>Bendice, alma mía, al Señor</t>
  </si>
  <si>
    <t>Alégrate y goza, Jerusalén</t>
  </si>
  <si>
    <t>Te doy gracias, Señor</t>
  </si>
  <si>
    <t>Aleluya, aleluya, aleluya</t>
  </si>
  <si>
    <t>Alabad al Señor por su inmensa grandeza</t>
  </si>
  <si>
    <t>Señor, Dios nuestro</t>
  </si>
  <si>
    <t>Oh, Dios, Tú mereces un himno en Sión</t>
  </si>
  <si>
    <t>Dale, Señor</t>
  </si>
  <si>
    <t>Dichosos los que mueren en el Señor</t>
  </si>
  <si>
    <t>Kyrie eleison</t>
  </si>
  <si>
    <t>Te ofrecemos, Señor, sacrificios y oblaciones</t>
  </si>
  <si>
    <t>Este es el Pan que nos lleva a Jesús</t>
  </si>
  <si>
    <t>Al paraíso te lleven los ángeles</t>
  </si>
  <si>
    <t>Eres Madre dolorosa</t>
  </si>
  <si>
    <t>Santo (réquiem)</t>
  </si>
  <si>
    <t>Cordero de Dios (réquiem)</t>
  </si>
  <si>
    <t>Misa de réquiem</t>
  </si>
  <si>
    <t>Unidos por la fe y el amor</t>
  </si>
  <si>
    <t>Parábolas I</t>
  </si>
  <si>
    <t>Parábolas II</t>
  </si>
  <si>
    <t>Para que escuchase el viento</t>
  </si>
  <si>
    <t>Camino a Jericó</t>
  </si>
  <si>
    <t>Trigo y cizaña</t>
  </si>
  <si>
    <t>Administradores del amor</t>
  </si>
  <si>
    <t>La oveja negra</t>
  </si>
  <si>
    <t>Noche y día en altamar</t>
  </si>
  <si>
    <t>A quién se parece</t>
  </si>
  <si>
    <t>Un hombre, una tierra</t>
  </si>
  <si>
    <t>De par en par</t>
  </si>
  <si>
    <t>El hijo pródigo</t>
  </si>
  <si>
    <t>En la plaza de un pueblo</t>
  </si>
  <si>
    <t>Fariseo y publicano</t>
  </si>
  <si>
    <t>De cosas sencillas</t>
  </si>
  <si>
    <t>Y ciegos son los hombres</t>
  </si>
  <si>
    <t>En la viña del Señor</t>
  </si>
  <si>
    <t>Invitación</t>
  </si>
  <si>
    <t>Dos señores</t>
  </si>
  <si>
    <t>Buen pastor</t>
  </si>
  <si>
    <t>El pobre Lázaro</t>
  </si>
  <si>
    <t>Villancicos de ayer y de hoy</t>
  </si>
  <si>
    <t>Cantaré eternamente (II)</t>
  </si>
  <si>
    <t>Acuérdate, Señor</t>
  </si>
  <si>
    <t>Pidamos al Señor</t>
  </si>
  <si>
    <t>Tu Palabra, Señor, es gozo</t>
  </si>
  <si>
    <t>De la gloria del Señor llena está la tierra</t>
  </si>
  <si>
    <t>Escucha, Señor, nuestra humilde oración</t>
  </si>
  <si>
    <t>Cuando bajas, Señor</t>
  </si>
  <si>
    <t>Dales, Señor, el descanso eterno</t>
  </si>
  <si>
    <t>Perp. Socorro</t>
  </si>
  <si>
    <t>Deiss</t>
  </si>
  <si>
    <t>Jauregui</t>
  </si>
  <si>
    <t>Capilla</t>
  </si>
  <si>
    <t>IS Pastoral</t>
  </si>
  <si>
    <t>Cantos S Cateq</t>
  </si>
  <si>
    <t>Gregorio Fdez</t>
  </si>
  <si>
    <t>Luis Alfredo</t>
  </si>
  <si>
    <t>Fdo Viejo</t>
  </si>
  <si>
    <t>Misa nicaragüense</t>
  </si>
  <si>
    <t>Mercedes Glez</t>
  </si>
  <si>
    <t>JEC</t>
  </si>
  <si>
    <t>Taule</t>
  </si>
  <si>
    <t>Emilio Vicente</t>
  </si>
  <si>
    <t>Vincent</t>
  </si>
  <si>
    <t>Llach</t>
  </si>
  <si>
    <t>Barriales</t>
  </si>
  <si>
    <t>P Buen Pastor</t>
  </si>
  <si>
    <t>Labordeta</t>
  </si>
  <si>
    <t>Carismáticas</t>
  </si>
  <si>
    <t>Arce</t>
  </si>
  <si>
    <t>Elizalde</t>
  </si>
  <si>
    <t>Valmaseda</t>
  </si>
  <si>
    <t>Akepsimas</t>
  </si>
  <si>
    <t>Oficial</t>
  </si>
  <si>
    <t>Francisco de Asís</t>
  </si>
  <si>
    <t>Gregoriano</t>
  </si>
  <si>
    <t>246b</t>
  </si>
  <si>
    <t>Soy un pobre pastorcillo</t>
  </si>
  <si>
    <t>275b</t>
  </si>
  <si>
    <t>Un corazón arrepentido</t>
  </si>
  <si>
    <t>Dubé</t>
  </si>
  <si>
    <t>Julien</t>
  </si>
  <si>
    <t>https://www.youtube.com/watch?v=TkI6CtxnIIQ</t>
  </si>
  <si>
    <t>Hosanna al hijo de David</t>
  </si>
  <si>
    <t>Gloria, alabanza y honor</t>
  </si>
  <si>
    <t>Los niños hebreos</t>
  </si>
  <si>
    <t>Nosotros hemos de gloriarnos</t>
  </si>
  <si>
    <t>Que la lengua humana</t>
  </si>
  <si>
    <t>Tu cruz adoramos, Señor</t>
  </si>
  <si>
    <t>Como busca la cierva</t>
  </si>
  <si>
    <t>Cantemos el gozo de la resurrección</t>
  </si>
  <si>
    <t>Como era Pedro</t>
  </si>
  <si>
    <t>Desde lo hondo</t>
  </si>
  <si>
    <t>Errante voy</t>
  </si>
  <si>
    <t>María, fuiste siempre pobre de Yahvé</t>
  </si>
  <si>
    <t>Oí tu voz</t>
  </si>
  <si>
    <t>Ag/Gr</t>
  </si>
  <si>
    <t>html</t>
  </si>
  <si>
    <t>Linked</t>
  </si>
  <si>
    <t>Esprit createur</t>
  </si>
  <si>
    <t>Este es el día del Señor (Taizé)</t>
  </si>
  <si>
    <t>Álbum</t>
  </si>
  <si>
    <t>Nº</t>
  </si>
  <si>
    <t>index.html</t>
  </si>
  <si>
    <t>Momento</t>
  </si>
  <si>
    <t>Sección</t>
  </si>
  <si>
    <t>id_lado</t>
  </si>
  <si>
    <t>i</t>
  </si>
  <si>
    <t>d</t>
  </si>
  <si>
    <t>taiz_org</t>
  </si>
  <si>
    <t>nsb</t>
  </si>
  <si>
    <t>Villancicos</t>
  </si>
  <si>
    <t>Taizé original</t>
  </si>
  <si>
    <t>navi</t>
  </si>
  <si>
    <t>Lucien Deiss</t>
  </si>
  <si>
    <t>José Pedro Martins</t>
  </si>
  <si>
    <t>Fernando Viejo</t>
  </si>
  <si>
    <t>Perpetuo Socorro</t>
  </si>
  <si>
    <t>Secciones</t>
  </si>
  <si>
    <t>Leonard Cohen</t>
  </si>
  <si>
    <t>Padre nuestro II</t>
  </si>
  <si>
    <t>Padre nuestro I</t>
  </si>
  <si>
    <t>Quién amó primero</t>
  </si>
  <si>
    <t>check</t>
  </si>
  <si>
    <t>Recibid mi Espíritu</t>
  </si>
  <si>
    <t>Junto a ti, María</t>
  </si>
  <si>
    <t>Este pan y vino</t>
  </si>
  <si>
    <t>Acaso no estoy yo aquí que soy tu madre</t>
  </si>
  <si>
    <t>Al que está sentado en el trono y al cordero</t>
  </si>
  <si>
    <t>Aleluya, yo creo en tu amor</t>
  </si>
  <si>
    <t>Algo está cayendo aquí</t>
  </si>
  <si>
    <t>Alma de Cristo</t>
  </si>
  <si>
    <t>Contigo me la juego</t>
  </si>
  <si>
    <t>Dijiste sí</t>
  </si>
  <si>
    <t>En los brazos de una virgen</t>
  </si>
  <si>
    <t>Enamórame de ti</t>
  </si>
  <si>
    <t>Entra en el corazón de Dios</t>
  </si>
  <si>
    <t>Es María la blanca paloma</t>
  </si>
  <si>
    <t>Estás aquí, Jesús</t>
  </si>
  <si>
    <t>Evenu shalom alejem</t>
  </si>
  <si>
    <t>Haz de tu casa un Nazaret</t>
  </si>
  <si>
    <t>Más de ti, menos de mí</t>
  </si>
  <si>
    <t>Sálvame</t>
  </si>
  <si>
    <t>Shalom, te doy la paz</t>
  </si>
  <si>
    <t>Te doy mi corazón</t>
  </si>
  <si>
    <t>Todo es tuyo</t>
  </si>
  <si>
    <t>Vamos, amigos</t>
  </si>
  <si>
    <t>Debbye Graafsma</t>
  </si>
  <si>
    <t>RCCE</t>
  </si>
  <si>
    <t>José Luis Reyes</t>
  </si>
  <si>
    <t>Álvaro Fraile</t>
  </si>
  <si>
    <t>Jesús Adrián Romero</t>
  </si>
  <si>
    <t>Lili Zaidín</t>
  </si>
  <si>
    <t>Steve Merkel</t>
  </si>
  <si>
    <t>Sagrada Familia</t>
  </si>
  <si>
    <t>Chema</t>
  </si>
  <si>
    <t>Revisar dim</t>
  </si>
  <si>
    <t>Arre, borriquito</t>
  </si>
  <si>
    <t>Hacia Belén va una burra</t>
  </si>
  <si>
    <t>La marimorena</t>
  </si>
  <si>
    <t>Los peces en el río</t>
  </si>
  <si>
    <t>Fueron valientes</t>
  </si>
  <si>
    <t>Señor, ten piedad (Reunidos en su nombre)</t>
  </si>
  <si>
    <t>Gloria (Reunidos en su nombre)</t>
  </si>
  <si>
    <t>Santo (Reunidos en su nombre)</t>
  </si>
  <si>
    <t>Gustad y ved</t>
  </si>
  <si>
    <t>Te ofrecemos, Señor</t>
  </si>
  <si>
    <t>Padre nuestro (Reunidos en su nombre)</t>
  </si>
  <si>
    <t>Cordero de Dios (Reunidos en su nombre)</t>
  </si>
  <si>
    <t>El pan que compartimos</t>
  </si>
  <si>
    <t>Señor, ten piedad (Alrededor de tu mesa)</t>
  </si>
  <si>
    <t>Salmo 136</t>
  </si>
  <si>
    <t>Salmo 111</t>
  </si>
  <si>
    <t>Salmo 85</t>
  </si>
  <si>
    <t>Salmo 91</t>
  </si>
  <si>
    <t>Salmo 18</t>
  </si>
  <si>
    <t>Salmo 135</t>
  </si>
  <si>
    <t>Salmo 103</t>
  </si>
  <si>
    <t>Salmo 26</t>
  </si>
  <si>
    <t>Salmo 14</t>
  </si>
  <si>
    <t>Salmo 112</t>
  </si>
  <si>
    <t>Salmo 71</t>
  </si>
  <si>
    <t>Contra ti solo pequé</t>
  </si>
  <si>
    <t>Junto a los canales de Babilonia</t>
  </si>
  <si>
    <t>Dichoso quien se acuerda del hermano</t>
  </si>
  <si>
    <t>Señor, escucha mi oración</t>
  </si>
  <si>
    <t>Es bueno dar gracias al Señor</t>
  </si>
  <si>
    <t>El cielo proclama la gloria de Dios</t>
  </si>
  <si>
    <t>Dad gracias al Señor</t>
  </si>
  <si>
    <t>Llena está la tierra de tus criaturas</t>
  </si>
  <si>
    <t>Quién puede entrar en tu templo</t>
  </si>
  <si>
    <t>Alabad, siervos de Dios</t>
  </si>
  <si>
    <t>Que en nuestros días reine la paz</t>
  </si>
  <si>
    <t>Salmo 140</t>
  </si>
  <si>
    <t>Salmo 45</t>
  </si>
  <si>
    <t>Salmo 99</t>
  </si>
  <si>
    <t>El Señor de los ejércitos</t>
  </si>
  <si>
    <t>Cantos para la misa (I)</t>
  </si>
  <si>
    <t>Responde y aclama</t>
  </si>
  <si>
    <t>Himno a la Virgen de la Almudena</t>
  </si>
  <si>
    <t>Grupo Betsaida</t>
  </si>
  <si>
    <t>Hermana Glenda</t>
  </si>
  <si>
    <t>Orar con el corazón</t>
  </si>
  <si>
    <t>Una cosa importante</t>
  </si>
  <si>
    <t>Mi padre</t>
  </si>
  <si>
    <t>Si me faltas</t>
  </si>
  <si>
    <t>Vengan a mí</t>
  </si>
  <si>
    <t>Mirad las aves</t>
  </si>
  <si>
    <t>Mar rojo</t>
  </si>
  <si>
    <t>Espera en el Señor</t>
  </si>
  <si>
    <t>No soy digno</t>
  </si>
  <si>
    <t>Si conocieras</t>
  </si>
  <si>
    <t>Un cántico nuevo</t>
  </si>
  <si>
    <t>Alfarero</t>
  </si>
  <si>
    <t>Ungido</t>
  </si>
  <si>
    <t>Nada es imposible</t>
  </si>
  <si>
    <t>Me amó y se entregó por mí</t>
  </si>
  <si>
    <t>Alégrense en el Señor</t>
  </si>
  <si>
    <t>El cuerpo de Cristo</t>
  </si>
  <si>
    <t>Himno a Cristo</t>
  </si>
  <si>
    <t>Tu gracia</t>
  </si>
  <si>
    <t>Quién te separará</t>
  </si>
  <si>
    <t>Mi única ganancia</t>
  </si>
  <si>
    <t>Cristo vive en mí</t>
  </si>
  <si>
    <t>Espíritu de Dios</t>
  </si>
  <si>
    <t>No me comprendo</t>
  </si>
  <si>
    <t>Bendito sea Dios</t>
  </si>
  <si>
    <t>Si queréis darme consuelo</t>
  </si>
  <si>
    <t>Me amó y se entregó</t>
  </si>
  <si>
    <t>Con nostalgia de ti</t>
  </si>
  <si>
    <t>Para ti toda mi música</t>
  </si>
  <si>
    <t>Orar con María</t>
  </si>
  <si>
    <t>A solas con Dios</t>
  </si>
  <si>
    <t>Quién podrá sanarme</t>
  </si>
  <si>
    <t>Oh, almas</t>
  </si>
  <si>
    <t>Adónde te escondiste, amado</t>
  </si>
  <si>
    <t>El aspirar del aire</t>
  </si>
  <si>
    <t>No quieras despreciarme</t>
  </si>
  <si>
    <t>Mil gracias derramando</t>
  </si>
  <si>
    <t>No puedo vivir sin ti</t>
  </si>
  <si>
    <t>Pastores</t>
  </si>
  <si>
    <t>Cuán manso y amoroso</t>
  </si>
  <si>
    <t>Allí me mostrarías</t>
  </si>
  <si>
    <t>Oh, cauterio suave</t>
  </si>
  <si>
    <t>Levántate, amada mía</t>
  </si>
  <si>
    <t>Oh, lámparas de fuego</t>
  </si>
  <si>
    <t>Que nadie lo miraba</t>
  </si>
  <si>
    <t>Ahí tienes a tu madre</t>
  </si>
  <si>
    <t>Hágase en mí</t>
  </si>
  <si>
    <t>Guardabas en tu corazón</t>
  </si>
  <si>
    <t>La mujer y el dragón</t>
  </si>
  <si>
    <t>Discípulo amado</t>
  </si>
  <si>
    <t>No me des riqueza ni pobreza</t>
  </si>
  <si>
    <t>Madre de consolación</t>
  </si>
  <si>
    <t>Alégrate, María</t>
  </si>
  <si>
    <t>Hagan todo lo que Él les diga</t>
  </si>
  <si>
    <t>Si conocieras el don de Dios</t>
  </si>
  <si>
    <t>Mi padre está en lo secreto</t>
  </si>
  <si>
    <t>Las aguas no podrán apagar el amor</t>
  </si>
  <si>
    <t>Dónde vives</t>
  </si>
  <si>
    <t>Pide y se te dará</t>
  </si>
  <si>
    <t>Tú mi alfarero</t>
  </si>
  <si>
    <t>Nada es imposible para ti</t>
  </si>
  <si>
    <t>Tú tienes palabras de vida</t>
  </si>
  <si>
    <t>Quien pierde su vida la encuentra</t>
  </si>
  <si>
    <t>Para qué me sirve</t>
  </si>
  <si>
    <t>Tú eres el agua viva</t>
  </si>
  <si>
    <t>No juzgues</t>
  </si>
  <si>
    <t>Quien ha encontrado un amigo</t>
  </si>
  <si>
    <t>Tú sabes que te amo</t>
  </si>
  <si>
    <t>Tú me has seducido</t>
  </si>
  <si>
    <t>Yo creo en tu resurrección</t>
  </si>
  <si>
    <t>Misericordia</t>
  </si>
  <si>
    <t>Tú eres mi lámpara</t>
  </si>
  <si>
    <t>Hazme volver</t>
  </si>
  <si>
    <t>Tú eres mi roca</t>
  </si>
  <si>
    <t>Tú me conoces</t>
  </si>
  <si>
    <t>A ti, Señor, levanto mi alma</t>
  </si>
  <si>
    <t>Salmo 22</t>
  </si>
  <si>
    <t>Salmo 121</t>
  </si>
  <si>
    <t>Sé que no me dejarás</t>
  </si>
  <si>
    <t>Él salvará al pobre</t>
  </si>
  <si>
    <t>Alguien está orando por mí</t>
  </si>
  <si>
    <t>Dios te consuela</t>
  </si>
  <si>
    <t>Estoy a tu puerta</t>
  </si>
  <si>
    <t>Génesis</t>
  </si>
  <si>
    <t>No te sientas sola</t>
  </si>
  <si>
    <t>Viento</t>
  </si>
  <si>
    <t>Como una madre</t>
  </si>
  <si>
    <t>Soy de tiempo</t>
  </si>
  <si>
    <t>Sufro</t>
  </si>
  <si>
    <t>Tu lógica</t>
  </si>
  <si>
    <t>Mírame allí</t>
  </si>
  <si>
    <t>Enséñame a orar</t>
  </si>
  <si>
    <t>Todavía no se manifiesta</t>
  </si>
  <si>
    <t>Consuela a mi pueblo</t>
  </si>
  <si>
    <t>Quién eres tú</t>
  </si>
  <si>
    <t>El Señor está conmigo</t>
  </si>
  <si>
    <t>Transparente</t>
  </si>
  <si>
    <t>Por el dolor creyente</t>
  </si>
  <si>
    <t>Hijo pródigo</t>
  </si>
  <si>
    <t>Yo he sentido, Señor</t>
  </si>
  <si>
    <t>Mentes cansadas</t>
  </si>
  <si>
    <t>Te está cantando el martillo</t>
  </si>
  <si>
    <t>Porque es tarde, Dios mío</t>
  </si>
  <si>
    <t>Mire como le mira</t>
  </si>
  <si>
    <t>Cántico de Simeón</t>
  </si>
  <si>
    <t>Nos ha nacido un niño</t>
  </si>
  <si>
    <t>Tú conoces mi canto</t>
  </si>
  <si>
    <t>Con vosotros estoy</t>
  </si>
  <si>
    <t>Pregón Pascual</t>
  </si>
  <si>
    <t>Tú eres mi descanso</t>
  </si>
  <si>
    <t>Que brille tu rostro</t>
  </si>
  <si>
    <t>Grande es tu amor</t>
  </si>
  <si>
    <t>Confiaré en Ti</t>
  </si>
  <si>
    <t>Dios, Tú eres mi Dios</t>
  </si>
  <si>
    <t>Yo esperaba</t>
  </si>
  <si>
    <t>Con nostalgia de Ti</t>
  </si>
  <si>
    <t>Consolad a mi pueblo 1</t>
  </si>
  <si>
    <t>Estoy a tu puerta y llamo</t>
  </si>
  <si>
    <t>Todo es viento</t>
  </si>
  <si>
    <t>No comprendo lo que me pasa</t>
  </si>
  <si>
    <t>Quién te separará de mí</t>
  </si>
  <si>
    <t>Todavía no se manifiesta quién eres</t>
  </si>
  <si>
    <t>Tú lógica</t>
  </si>
  <si>
    <t>Mírame a mí</t>
  </si>
  <si>
    <t>Consolad a mi pueblo 2</t>
  </si>
  <si>
    <t>Un nombre nuevo</t>
  </si>
  <si>
    <t>Quién eres tú, Señor</t>
  </si>
  <si>
    <t>En el desierto</t>
  </si>
  <si>
    <t>Contemplé al Señor</t>
  </si>
  <si>
    <t>Discípulo</t>
  </si>
  <si>
    <t>Alianza de amor entre tú y yo</t>
  </si>
  <si>
    <t>Juan 19, 26-27</t>
  </si>
  <si>
    <t>Después de la medianoche</t>
  </si>
  <si>
    <t>Venid a mí</t>
  </si>
  <si>
    <t>Quién eres, Jesús, para mí</t>
  </si>
  <si>
    <t>Hoy, Señor, me has vuelto a perdonar</t>
  </si>
  <si>
    <t>306b</t>
  </si>
  <si>
    <t>Alfonso Luna</t>
  </si>
  <si>
    <t>Albert Coppo</t>
  </si>
  <si>
    <t>Evangelio de San Juan</t>
  </si>
  <si>
    <t>Allanad los caminos</t>
  </si>
  <si>
    <t>Las bodas de Caná</t>
  </si>
  <si>
    <t>El soplo de Dios</t>
  </si>
  <si>
    <t>El agua viva</t>
  </si>
  <si>
    <t>La piscina probática</t>
  </si>
  <si>
    <t>El pan de vida</t>
  </si>
  <si>
    <t>Quién tirará la primera piedra</t>
  </si>
  <si>
    <t>El buen pastor</t>
  </si>
  <si>
    <t>Vivir en el Señor</t>
  </si>
  <si>
    <t>Amaos unos a otros</t>
  </si>
  <si>
    <t>Yo soy el que sirve</t>
  </si>
  <si>
    <t>La vid y los sarmientos</t>
  </si>
  <si>
    <t>Siempre estaré con vosotros</t>
  </si>
  <si>
    <t>El juicio de Cristo</t>
  </si>
  <si>
    <t>Aleluya, el Señor resucitó</t>
  </si>
  <si>
    <t>Número RCC</t>
  </si>
  <si>
    <t>El Señor es mi pastor (Nico Montero)</t>
  </si>
  <si>
    <t>Tú rompes cadenas</t>
  </si>
  <si>
    <t>Esther Watanabe</t>
  </si>
  <si>
    <t>Con mis manos alzadas</t>
  </si>
  <si>
    <t>Se fue pero a nuestro lado está</t>
  </si>
  <si>
    <t>Juan Carlos Ayala</t>
  </si>
  <si>
    <t>Lléname, Señor</t>
  </si>
  <si>
    <t>Marcos Witt</t>
  </si>
  <si>
    <t>Estamos de fiesta</t>
  </si>
  <si>
    <t>Mejor que vida es tu misericordia</t>
  </si>
  <si>
    <t>Brilla, Jesús</t>
  </si>
  <si>
    <t>Graham Kendrick</t>
  </si>
  <si>
    <t>Sé que voy contigo</t>
  </si>
  <si>
    <t>Quiero decir que sí</t>
  </si>
  <si>
    <t>Luis Alfredo Díaz</t>
  </si>
  <si>
    <t>Martín Mancilla</t>
  </si>
  <si>
    <t>Cristo, heme aquí</t>
  </si>
  <si>
    <t>Yeshua</t>
  </si>
  <si>
    <t>Juan Salinas</t>
  </si>
  <si>
    <t>Santo tú eres, Señor</t>
  </si>
  <si>
    <t>Juanjo F</t>
  </si>
  <si>
    <t>Lázaro Iparraguirre</t>
  </si>
  <si>
    <t>Si lo que buscas</t>
  </si>
  <si>
    <t>Yo soy testigo</t>
  </si>
  <si>
    <t>Shemá, Israel</t>
  </si>
  <si>
    <t>Inunda mi ser</t>
  </si>
  <si>
    <t>Si tuvieras fe como un granito de mostaza</t>
  </si>
  <si>
    <t>Oh, Padre, yo te amo</t>
  </si>
  <si>
    <t>Tenemos tanto</t>
  </si>
  <si>
    <t>Rey de reyes</t>
  </si>
  <si>
    <t>Seguid unidos a mí</t>
  </si>
  <si>
    <t>Digo que Jesús, el Nazareno</t>
  </si>
  <si>
    <t>Alfredo García</t>
  </si>
  <si>
    <t>Vamos a juntarnos</t>
  </si>
  <si>
    <t>Sea la gloria</t>
  </si>
  <si>
    <t>En quién me fijaré</t>
  </si>
  <si>
    <t>Aleluya, mirad la muerte</t>
  </si>
  <si>
    <t>Gloria, yo soy libre</t>
  </si>
  <si>
    <t>Hemos venido a este lugar</t>
  </si>
  <si>
    <t>Leona von Brethorst</t>
  </si>
  <si>
    <t>Andy Carter</t>
  </si>
  <si>
    <t>Ven y adórale</t>
  </si>
  <si>
    <t>Tu amor sublime</t>
  </si>
  <si>
    <t>Si yo confío en el Señor</t>
  </si>
  <si>
    <t>Me alegraré</t>
  </si>
  <si>
    <t>Espíritu Santo, ven</t>
  </si>
  <si>
    <t>Eres tú, Palabra de vida</t>
  </si>
  <si>
    <t>Tomad y comed</t>
  </si>
  <si>
    <t>Ricardo Solans</t>
  </si>
  <si>
    <t>Inmaculada Estévez</t>
  </si>
  <si>
    <t>Él nos ha elegido</t>
  </si>
  <si>
    <t>María, Madre, condúcenos</t>
  </si>
  <si>
    <t>Escucha, Señor, mi oración</t>
  </si>
  <si>
    <t>Bill Sprouse</t>
  </si>
  <si>
    <t>Lourdes Fonteriz</t>
  </si>
  <si>
    <t>Mi alma está sedienta</t>
  </si>
  <si>
    <t>He decidido seguir a Cristo</t>
  </si>
  <si>
    <t>Paul Smith</t>
  </si>
  <si>
    <t>Hoy perdóname</t>
  </si>
  <si>
    <t>54b</t>
  </si>
  <si>
    <t>Ven, Espíritu divino</t>
  </si>
  <si>
    <t>Viejos y jóvenes</t>
  </si>
  <si>
    <t>Merla Watson</t>
  </si>
  <si>
    <t>Vamos a cantar</t>
  </si>
  <si>
    <t>Maravilloso Jesús es para mí</t>
  </si>
  <si>
    <t>Escucha nuestra oración</t>
  </si>
  <si>
    <t>G Gancho</t>
  </si>
  <si>
    <t>Bendita entre las mujeres</t>
  </si>
  <si>
    <t>Hazme instrumento</t>
  </si>
  <si>
    <t>Sebastián Temple</t>
  </si>
  <si>
    <t>Aleluya, alabad a Dios</t>
  </si>
  <si>
    <t>Maravilloso</t>
  </si>
  <si>
    <t>Hoy el Señor me llamó</t>
  </si>
  <si>
    <t>Tuya es la gloria</t>
  </si>
  <si>
    <t>Entrégame</t>
  </si>
  <si>
    <t>Espíritu Santo de Dios</t>
  </si>
  <si>
    <t>Daniel Iverson</t>
  </si>
  <si>
    <t>Santo, Dios de fuerza y poder</t>
  </si>
  <si>
    <t>Santo, Dios de los hombres</t>
  </si>
  <si>
    <t>La rosa de Sarón</t>
  </si>
  <si>
    <t>Avemaría</t>
  </si>
  <si>
    <t>Marcelino García</t>
  </si>
  <si>
    <t>Ven y déjate llevar</t>
  </si>
  <si>
    <t>Oh, ven, ven y deléitate</t>
  </si>
  <si>
    <t>Moviste mi corazón</t>
  </si>
  <si>
    <t>Yo te ensalzo</t>
  </si>
  <si>
    <t>Pueblo de Dios</t>
  </si>
  <si>
    <t>Hay poder</t>
  </si>
  <si>
    <t>Lewis Jones</t>
  </si>
  <si>
    <t>Oh, oh, oh, Padre</t>
  </si>
  <si>
    <t>Te ensalzamos</t>
  </si>
  <si>
    <t>Vuelve los ojos al Señor</t>
  </si>
  <si>
    <t>Chantal Guerret</t>
  </si>
  <si>
    <t>Juan Manuel Martín</t>
  </si>
  <si>
    <t>Nombra a Jesús</t>
  </si>
  <si>
    <t>Temprano yo te buscaré</t>
  </si>
  <si>
    <t>Sagrario Ruiz</t>
  </si>
  <si>
    <t>Yo os daré la fuerza</t>
  </si>
  <si>
    <t>Cuando escuches</t>
  </si>
  <si>
    <t>Andree Gouzes</t>
  </si>
  <si>
    <t>Amor loco</t>
  </si>
  <si>
    <t>Muchos hermanos aquí</t>
  </si>
  <si>
    <t>Si estás buscando</t>
  </si>
  <si>
    <t>Rafael de la Hoz</t>
  </si>
  <si>
    <t>Tú, el Dios de mi refugio</t>
  </si>
  <si>
    <t>El Señor está en medio de ti</t>
  </si>
  <si>
    <t>Alguien cerca está de mí</t>
  </si>
  <si>
    <t>Mari Puy Montaner</t>
  </si>
  <si>
    <t>Lucas Casaert</t>
  </si>
  <si>
    <t>Manuel Rosa</t>
  </si>
  <si>
    <t>104/105</t>
  </si>
  <si>
    <t>Va bajando ya</t>
  </si>
  <si>
    <t>Jesús está en ti</t>
  </si>
  <si>
    <t>Aclamad</t>
  </si>
  <si>
    <t>Postrado</t>
  </si>
  <si>
    <t>Mira, oh, Dios</t>
  </si>
  <si>
    <t>Santo (Gen Rosso)</t>
  </si>
  <si>
    <t>Paz a vosotros</t>
  </si>
  <si>
    <t>Rosa Cruz</t>
  </si>
  <si>
    <t>Bendito sea tu nombre</t>
  </si>
  <si>
    <t>Algo nuevo está naciendo</t>
  </si>
  <si>
    <t>Elena Andrés</t>
  </si>
  <si>
    <t>Te cubriré</t>
  </si>
  <si>
    <t>Vino un hombre a nuestro mundo</t>
  </si>
  <si>
    <t>Hágase en nosotros</t>
  </si>
  <si>
    <t>Marta Gil-Delgado</t>
  </si>
  <si>
    <t>Don Moen</t>
  </si>
  <si>
    <t>Sendas Dios hará</t>
  </si>
  <si>
    <t>El Señor es mi pastor (JM Monedero)</t>
  </si>
  <si>
    <t>José María Monedero</t>
  </si>
  <si>
    <t>Laurie Klein</t>
  </si>
  <si>
    <t>Te amo, Rey</t>
  </si>
  <si>
    <t>Grito Santo</t>
  </si>
  <si>
    <t>José Manuel Culebras</t>
  </si>
  <si>
    <t>J F Martínez</t>
  </si>
  <si>
    <t>Madre</t>
  </si>
  <si>
    <t>Señor, ten piedad de mí, pecador</t>
  </si>
  <si>
    <t>Julián Huete</t>
  </si>
  <si>
    <t>La canción del Espíritu</t>
  </si>
  <si>
    <t>John Wimber</t>
  </si>
  <si>
    <t>Chiquito Villalba</t>
  </si>
  <si>
    <t>Pasa por aquí, Señor</t>
  </si>
  <si>
    <t>Despertemos</t>
  </si>
  <si>
    <t>Juan Alfonso Greis</t>
  </si>
  <si>
    <t>Mi alma alaba al Señor</t>
  </si>
  <si>
    <t>Renuévame</t>
  </si>
  <si>
    <t>Aleluya, Cristo vive</t>
  </si>
  <si>
    <t>Marisa y Noemí</t>
  </si>
  <si>
    <t>Fuego en esta casa</t>
  </si>
  <si>
    <t>Eric Nuzum</t>
  </si>
  <si>
    <t>Qué deseables</t>
  </si>
  <si>
    <t>Como las tiendas de Quedar</t>
  </si>
  <si>
    <t>Caminaremos</t>
  </si>
  <si>
    <t>El diario de María</t>
  </si>
  <si>
    <t>Ven, Espíritu de amor</t>
  </si>
  <si>
    <t>Yo no soy nada</t>
  </si>
  <si>
    <t>Juan Pablo Culebras</t>
  </si>
  <si>
    <t>Esta alegría no va a pasar</t>
  </si>
  <si>
    <t>Dios precisa de ti</t>
  </si>
  <si>
    <t>Dios, tú, mi Dios</t>
  </si>
  <si>
    <t>Abre mis labios</t>
  </si>
  <si>
    <t>Yo quiero ser como tú</t>
  </si>
  <si>
    <t>Clint Brown</t>
  </si>
  <si>
    <t>Aquí él está</t>
  </si>
  <si>
    <t>El tren</t>
  </si>
  <si>
    <t>Amor tan grande</t>
  </si>
  <si>
    <t>Si el Espíritu de Dios</t>
  </si>
  <si>
    <t>Tierra firme (Getsemaní)</t>
  </si>
  <si>
    <t>Getsemaní</t>
  </si>
  <si>
    <t>Ribcah Anafah</t>
  </si>
  <si>
    <t>Elí, Elí</t>
  </si>
  <si>
    <t>Escucha, oh, Jesús</t>
  </si>
  <si>
    <t>Sí, con vosotros estoy</t>
  </si>
  <si>
    <t>Vamos con gozo</t>
  </si>
  <si>
    <t>Jesús, quédate aquí</t>
  </si>
  <si>
    <t>Aleluya, Cristo vivo está</t>
  </si>
  <si>
    <t>Ron Kenoly</t>
  </si>
  <si>
    <t>Dos mil años de luz</t>
  </si>
  <si>
    <t>Cuando con el corazón</t>
  </si>
  <si>
    <t>Estoy cantando alegre</t>
  </si>
  <si>
    <t>Jesús te quiere así</t>
  </si>
  <si>
    <t>Siento</t>
  </si>
  <si>
    <t>Marisa Cecilia</t>
  </si>
  <si>
    <t>Lucía Asturias</t>
  </si>
  <si>
    <t>Evangelio</t>
  </si>
  <si>
    <t>Noemí Liste</t>
  </si>
  <si>
    <t>Amar</t>
  </si>
  <si>
    <t>Si es verdad que Dios te quiere</t>
  </si>
  <si>
    <t>No quiero ser santa a medias</t>
  </si>
  <si>
    <t>Abbá</t>
  </si>
  <si>
    <t>Jesucristo es tan grande</t>
  </si>
  <si>
    <t>Alabaré</t>
  </si>
  <si>
    <t>Yo canto a mi Señor</t>
  </si>
  <si>
    <t>Claude Fraysse</t>
  </si>
  <si>
    <t>Ahora no tengo</t>
  </si>
  <si>
    <t>Hay momentos</t>
  </si>
  <si>
    <t>El amor de Dios ha sido derramado</t>
  </si>
  <si>
    <t>Deseo ser santa</t>
  </si>
  <si>
    <t>Bendita la nación</t>
  </si>
  <si>
    <t>Jesús, Jesús, Jesús</t>
  </si>
  <si>
    <t>John Newton</t>
  </si>
  <si>
    <t>Estoy alegre porque soy de Cristo</t>
  </si>
  <si>
    <t>Lo que agrada a Dios</t>
  </si>
  <si>
    <t>Qué bueno es alabarte</t>
  </si>
  <si>
    <t>Al estar aquí</t>
  </si>
  <si>
    <t>Para ti toda mi música, Señor</t>
  </si>
  <si>
    <t>El Espíritu de Dios está en este lugar</t>
  </si>
  <si>
    <t>Ignacio Busca de Sagastizábal</t>
  </si>
  <si>
    <t>A que tú no sabes</t>
  </si>
  <si>
    <t>Los que esperan</t>
  </si>
  <si>
    <t>Clamaremos al Señor</t>
  </si>
  <si>
    <t>Michael O'Shields</t>
  </si>
  <si>
    <t>La pancita</t>
  </si>
  <si>
    <t>Quiero agradecer</t>
  </si>
  <si>
    <t>Henry Smith</t>
  </si>
  <si>
    <t>Laudato sii, o, mi Signore</t>
  </si>
  <si>
    <t>Yo tengo un gozo en el alma</t>
  </si>
  <si>
    <t>Ahora es tiempo</t>
  </si>
  <si>
    <t>Bruce y Jude Borneman</t>
  </si>
  <si>
    <t>Manos abiertas ante ti</t>
  </si>
  <si>
    <t>Anunciamos con poder</t>
  </si>
  <si>
    <t>Ay de mí, si no evangelizara</t>
  </si>
  <si>
    <t>Tú has sido fiel</t>
  </si>
  <si>
    <t>Twila Paris</t>
  </si>
  <si>
    <t>Levantaré mis manos</t>
  </si>
  <si>
    <t>Majestad</t>
  </si>
  <si>
    <t>Jack Hayford</t>
  </si>
  <si>
    <t>Enséñame tu camino, Señor</t>
  </si>
  <si>
    <t>Eugene Greco</t>
  </si>
  <si>
    <t>Manos vacías</t>
  </si>
  <si>
    <t>Algo está descendiendo</t>
  </si>
  <si>
    <t>Ven a conocer</t>
  </si>
  <si>
    <t>Pequeño como una brisa</t>
  </si>
  <si>
    <t>Gloria a ti por siempre</t>
  </si>
  <si>
    <t>Maestro</t>
  </si>
  <si>
    <t>Porque para siempre, Dios</t>
  </si>
  <si>
    <t>Aquí se alaba</t>
  </si>
  <si>
    <t>Resucitaremos con él</t>
  </si>
  <si>
    <t>Quiero levantar mis manos</t>
  </si>
  <si>
    <t>Joanne Boyce</t>
  </si>
  <si>
    <t>Como corre un río</t>
  </si>
  <si>
    <t>Edith McNeill</t>
  </si>
  <si>
    <t>El gran amor</t>
  </si>
  <si>
    <t>Oh, aleluya</t>
  </si>
  <si>
    <t>Oh, alabad</t>
  </si>
  <si>
    <t>José Luis Villalaín</t>
  </si>
  <si>
    <t>Mira el rostro de Jesús</t>
  </si>
  <si>
    <t>Lo más valioso</t>
  </si>
  <si>
    <t>Salvador para todos</t>
  </si>
  <si>
    <t>Vive Jesús</t>
  </si>
  <si>
    <t>Seduce mi corazón</t>
  </si>
  <si>
    <t>Cuida de mí</t>
  </si>
  <si>
    <t>Hoy canto para ti</t>
  </si>
  <si>
    <t>Gloria a Jesús, el Señor</t>
  </si>
  <si>
    <t>Carolina Martínez</t>
  </si>
  <si>
    <t>Me sedujiste, Señor</t>
  </si>
  <si>
    <t>Mi alma tiene sed de Dios</t>
  </si>
  <si>
    <t>Ven, Dios Padre</t>
  </si>
  <si>
    <t>Fausto Pflucker</t>
  </si>
  <si>
    <t>César Nebot</t>
  </si>
  <si>
    <t>Conviene que Cristo crezca</t>
  </si>
  <si>
    <t>Vuélvete a mí</t>
  </si>
  <si>
    <t>Pedro Luis Asturias</t>
  </si>
  <si>
    <t>Pon hoy la llama de amor</t>
  </si>
  <si>
    <t>Honor y gloria a tu nombre</t>
  </si>
  <si>
    <t>En ti está la fuente de la vida</t>
  </si>
  <si>
    <t>Javier Rodríguez</t>
  </si>
  <si>
    <t>Nadie te quiere como él</t>
  </si>
  <si>
    <t>En momentos así</t>
  </si>
  <si>
    <t>David Graham</t>
  </si>
  <si>
    <t>Tómame</t>
  </si>
  <si>
    <t>Ven ahora, Espíritu Santo</t>
  </si>
  <si>
    <t>Charlotte Exon</t>
  </si>
  <si>
    <t>Vine a alabar a Dios</t>
  </si>
  <si>
    <t>No puede estar triste</t>
  </si>
  <si>
    <t>No tengo más</t>
  </si>
  <si>
    <t>Milagros Rosa</t>
  </si>
  <si>
    <t>Venid, alabad</t>
  </si>
  <si>
    <t>Tuya es la victoria</t>
  </si>
  <si>
    <t>Ven ahora</t>
  </si>
  <si>
    <t>Es necesario morir</t>
  </si>
  <si>
    <t>El amor del Señor</t>
  </si>
  <si>
    <t>Gloriosa luz de Dios</t>
  </si>
  <si>
    <t>Ven, Amor de Dios</t>
  </si>
  <si>
    <t>Salvatore Martínez</t>
  </si>
  <si>
    <t>Cuán bello es el Señor</t>
  </si>
  <si>
    <t>Yo abriré una puerta</t>
  </si>
  <si>
    <t>Me gozaré, me alegraré</t>
  </si>
  <si>
    <t>Ved a Cristo</t>
  </si>
  <si>
    <t>Alabándote</t>
  </si>
  <si>
    <t>Zarza ardiente</t>
  </si>
  <si>
    <t>Digno eres</t>
  </si>
  <si>
    <t>Pauline Michael Mills</t>
  </si>
  <si>
    <t>Me basta tu presencia y tu figura</t>
  </si>
  <si>
    <t>Jesús y la samaritana</t>
  </si>
  <si>
    <t>Benedetto Conte</t>
  </si>
  <si>
    <t>Aleluya, demos gracias</t>
  </si>
  <si>
    <t>Donald Fishel</t>
  </si>
  <si>
    <t>Jesús Salvador</t>
  </si>
  <si>
    <t>Andrés Parra</t>
  </si>
  <si>
    <t>Al nombre de Jesús</t>
  </si>
  <si>
    <t>Dios, el más grande</t>
  </si>
  <si>
    <t>Steve McEwan</t>
  </si>
  <si>
    <t>Jesús (Asís)</t>
  </si>
  <si>
    <t>Venid, alabemos</t>
  </si>
  <si>
    <t>Cree y verás la gloria de Dios</t>
  </si>
  <si>
    <t>Resucitó</t>
  </si>
  <si>
    <t>Abbá, Padre</t>
  </si>
  <si>
    <t>Ponte ya de pie</t>
  </si>
  <si>
    <t>Dame vida</t>
  </si>
  <si>
    <t>No hay nadie como tú</t>
  </si>
  <si>
    <t>Ven a cantar</t>
  </si>
  <si>
    <t>Gracias por lo que haces por mí</t>
  </si>
  <si>
    <t>Mas el Dios de toda gracia</t>
  </si>
  <si>
    <t>Bob Probert</t>
  </si>
  <si>
    <t>Aleluya, Jesús es el Señor</t>
  </si>
  <si>
    <t>Frank Hernández</t>
  </si>
  <si>
    <t>Hay una promesa</t>
  </si>
  <si>
    <t>Padre, te adoramos</t>
  </si>
  <si>
    <t>Terrye Coelho</t>
  </si>
  <si>
    <t>Lola Tomillo</t>
  </si>
  <si>
    <t>Hosanna</t>
  </si>
  <si>
    <t>Carl Tuttle</t>
  </si>
  <si>
    <t>Haz de mí una ofrenda</t>
  </si>
  <si>
    <t>Cristo, maravilloso eres tú</t>
  </si>
  <si>
    <t>Cantemos al Señor</t>
  </si>
  <si>
    <t>Arranca de mi pecho</t>
  </si>
  <si>
    <t>Luis Alberto González</t>
  </si>
  <si>
    <t>Hasta los confines de la tierra</t>
  </si>
  <si>
    <t>No hay nadie como mi Dios</t>
  </si>
  <si>
    <t>Te alabarán, oh, Señor</t>
  </si>
  <si>
    <t>El Señor resucitado</t>
  </si>
  <si>
    <t>Marvin Frey</t>
  </si>
  <si>
    <t>Nuestro Dios reina</t>
  </si>
  <si>
    <t>Leonard Smith</t>
  </si>
  <si>
    <t>Sáname ahora</t>
  </si>
  <si>
    <t>Queremos ser</t>
  </si>
  <si>
    <t>Quiero llenar tu trono de alabanza</t>
  </si>
  <si>
    <t>Desde cualquier rincón</t>
  </si>
  <si>
    <t>Mi paz</t>
  </si>
  <si>
    <t>Keith Routledge</t>
  </si>
  <si>
    <t>Celebrad a Cristo</t>
  </si>
  <si>
    <t>Gary Oliver</t>
  </si>
  <si>
    <t>Dios me ama y yo le amo</t>
  </si>
  <si>
    <t>Exaltad</t>
  </si>
  <si>
    <t>Miguel Casina</t>
  </si>
  <si>
    <t>Vamos a bendecir al Señor</t>
  </si>
  <si>
    <t>Clamamos a ti</t>
  </si>
  <si>
    <t>Marcela Jobe</t>
  </si>
  <si>
    <t>Yo cantaré tus alabanzas</t>
  </si>
  <si>
    <t>Hay una fuente en mí</t>
  </si>
  <si>
    <t>Jesús es mi luz y mi salvación</t>
  </si>
  <si>
    <t>Renato Vizuet</t>
  </si>
  <si>
    <t>No puedo parar</t>
  </si>
  <si>
    <t>Reina en mí</t>
  </si>
  <si>
    <t>Héctor Hermosillo</t>
  </si>
  <si>
    <t>Toma mi vida</t>
  </si>
  <si>
    <t>Que nuestro Dios te guarde</t>
  </si>
  <si>
    <t>Has cambiado mi lamento en baile</t>
  </si>
  <si>
    <t>Adonai</t>
  </si>
  <si>
    <t>Se siente una paz tan grande</t>
  </si>
  <si>
    <t>Exaltando a Jesús</t>
  </si>
  <si>
    <t>Ante su nombre todo caerá</t>
  </si>
  <si>
    <t>Con gozo al Señor cantaré</t>
  </si>
  <si>
    <t>Marga Trufero</t>
  </si>
  <si>
    <t>En presencia</t>
  </si>
  <si>
    <t>Mark Altragge</t>
  </si>
  <si>
    <t>En la tierra habrá</t>
  </si>
  <si>
    <t>Tu amor por mí</t>
  </si>
  <si>
    <t>Te damos gloria</t>
  </si>
  <si>
    <t>Ron Colie</t>
  </si>
  <si>
    <t>Mirad, levantad</t>
  </si>
  <si>
    <t>Darlene Zschech</t>
  </si>
  <si>
    <t>Mi Cristo, mi rey</t>
  </si>
  <si>
    <t>En el cielo se oye</t>
  </si>
  <si>
    <t>Tu fidelidad</t>
  </si>
  <si>
    <t>No tengo, Señor, alabanza</t>
  </si>
  <si>
    <t>Jesús, tengo sed</t>
  </si>
  <si>
    <t>Marta Calvo</t>
  </si>
  <si>
    <t>Mi pensamiento eres tú</t>
  </si>
  <si>
    <t>Mi ser alaba al Señor</t>
  </si>
  <si>
    <t>Majestuoso, poderoso</t>
  </si>
  <si>
    <t>Así es Dios</t>
  </si>
  <si>
    <t>Annemarie Bambino</t>
  </si>
  <si>
    <t>Fermín García</t>
  </si>
  <si>
    <t>Marisa Liste</t>
  </si>
  <si>
    <t>Nos dejaste, Señor</t>
  </si>
  <si>
    <t>Gloria al Cordero</t>
  </si>
  <si>
    <t>Alabad a Yahvé</t>
  </si>
  <si>
    <t>Gracias yo te daré</t>
  </si>
  <si>
    <t>Se encienden las velas</t>
  </si>
  <si>
    <t>Brent Chambers</t>
  </si>
  <si>
    <t>Entra en la presencia</t>
  </si>
  <si>
    <t>Lynn Baird</t>
  </si>
  <si>
    <t>Bob Fitts</t>
  </si>
  <si>
    <t>Bendito sea el Señor</t>
  </si>
  <si>
    <t>Cuando Cristo venga en gloria</t>
  </si>
  <si>
    <t>Me llaman aleluya</t>
  </si>
  <si>
    <t>Y es que tengo un fuego</t>
  </si>
  <si>
    <t>He venido para que viváis</t>
  </si>
  <si>
    <t>Ven y juntos alabemos</t>
  </si>
  <si>
    <t>Randal Calderón</t>
  </si>
  <si>
    <t>Se exalta nuestro Dios</t>
  </si>
  <si>
    <t>Siento que tus ojos me miran</t>
  </si>
  <si>
    <t>Tim Smith</t>
  </si>
  <si>
    <t>Señor, llévame a tus atrios</t>
  </si>
  <si>
    <t>Porque tú eres bueno</t>
  </si>
  <si>
    <t>Yo te adoro, Señor</t>
  </si>
  <si>
    <t>La paz esté con nosotros</t>
  </si>
  <si>
    <t>Ahora más que nunca</t>
  </si>
  <si>
    <t>Luis Enrique Ascoy</t>
  </si>
  <si>
    <t>Aclamad al Señor</t>
  </si>
  <si>
    <t>Lori Black Mathis</t>
  </si>
  <si>
    <t>Imagina</t>
  </si>
  <si>
    <t>Blest</t>
  </si>
  <si>
    <t>Confiad</t>
  </si>
  <si>
    <t>Agnus Dei</t>
  </si>
  <si>
    <t>Michael W. Smith</t>
  </si>
  <si>
    <t>Como un niño</t>
  </si>
  <si>
    <t>Tú eres Dios</t>
  </si>
  <si>
    <t>Don Harris</t>
  </si>
  <si>
    <t>María Parkinson</t>
  </si>
  <si>
    <t>De rodillas, madre</t>
  </si>
  <si>
    <t>Hijo de David</t>
  </si>
  <si>
    <t>Es la confianza</t>
  </si>
  <si>
    <t>Ven, es hora de adorarle</t>
  </si>
  <si>
    <t>Vengo a adorarte</t>
  </si>
  <si>
    <t>Tim Hughes</t>
  </si>
  <si>
    <t>Brian Doerksen</t>
  </si>
  <si>
    <t>Qué tendrás tú</t>
  </si>
  <si>
    <t>Ven al corazón</t>
  </si>
  <si>
    <t>Marie Barnett</t>
  </si>
  <si>
    <t>Oh, pobreza</t>
  </si>
  <si>
    <t>El león de la tribu de Judá</t>
  </si>
  <si>
    <t>Eres mi respirar</t>
  </si>
  <si>
    <t>Queremos a Cristo proclamar</t>
  </si>
  <si>
    <t>Ven, Espíritu Santo de Dios</t>
  </si>
  <si>
    <t>Haz llover</t>
  </si>
  <si>
    <t>Paul S. Morton</t>
  </si>
  <si>
    <t>Doug Horley</t>
  </si>
  <si>
    <t>Esto es mi cuerpo</t>
  </si>
  <si>
    <t>Ven, Espíritu, ven</t>
  </si>
  <si>
    <t>Janet Lunt</t>
  </si>
  <si>
    <t>Marco Barrientos</t>
  </si>
  <si>
    <t>Buenas noches, María</t>
  </si>
  <si>
    <t>A él le sea la gloria</t>
  </si>
  <si>
    <t>Demos gloria</t>
  </si>
  <si>
    <t>Cántico de victoria</t>
  </si>
  <si>
    <t>Ven, ven, Espíritu de Dios</t>
  </si>
  <si>
    <t>Charo Moreno</t>
  </si>
  <si>
    <t>Andrew Cauchi</t>
  </si>
  <si>
    <t>Cansado del camino</t>
  </si>
  <si>
    <t>Enciende una luz</t>
  </si>
  <si>
    <t>Qué sería de mí</t>
  </si>
  <si>
    <t>Alabad al Señor todas las naciones</t>
  </si>
  <si>
    <t>Reuben Morgan</t>
  </si>
  <si>
    <t>La victoria es de nuestro Dios</t>
  </si>
  <si>
    <t>Quién es este</t>
  </si>
  <si>
    <t>Tú me has vestido</t>
  </si>
  <si>
    <t>Hay que volver a nacer de nuevo</t>
  </si>
  <si>
    <t>Pa arriba</t>
  </si>
  <si>
    <t>El Alfa y la Omega</t>
  </si>
  <si>
    <t>Fray Nacho</t>
  </si>
  <si>
    <t>No me callaré</t>
  </si>
  <si>
    <t>Entre el cielo y la tierra</t>
  </si>
  <si>
    <t>Señor, mírame</t>
  </si>
  <si>
    <t>He oído tu voz</t>
  </si>
  <si>
    <t>Pan y vino de amor</t>
  </si>
  <si>
    <t>Ven junto a mí</t>
  </si>
  <si>
    <t>Nadie contestó</t>
  </si>
  <si>
    <t>Tras las huellas del Padre</t>
  </si>
  <si>
    <t>Tierra</t>
  </si>
  <si>
    <t>Sinfonía de las vocales</t>
  </si>
  <si>
    <t>Todos juntos</t>
  </si>
  <si>
    <t>Y el séptimo descansó</t>
  </si>
  <si>
    <t>Alza la mirada</t>
  </si>
  <si>
    <t>A quién temeré</t>
  </si>
  <si>
    <t>Pregón Pascual (neocatecumenal)</t>
  </si>
  <si>
    <t>Pablo Cebrián</t>
  </si>
  <si>
    <t>Tú, Cristo, oh, Jesucristo</t>
  </si>
  <si>
    <t>Pasión</t>
  </si>
  <si>
    <t>Qaos</t>
  </si>
  <si>
    <t>Tú</t>
  </si>
  <si>
    <t>Loco</t>
  </si>
  <si>
    <t>Los coros del universo</t>
  </si>
  <si>
    <t>Te alabaré</t>
  </si>
  <si>
    <t>Sanas</t>
  </si>
  <si>
    <t>Total</t>
  </si>
  <si>
    <t>Cuántas</t>
  </si>
  <si>
    <t>Porcentaje</t>
  </si>
  <si>
    <t>Juan Jáuregui</t>
  </si>
  <si>
    <t>Hechas</t>
  </si>
  <si>
    <t>Simon y Garfunkel</t>
  </si>
  <si>
    <t>Lluís Llach</t>
  </si>
  <si>
    <t>José Antonio Labordeta</t>
  </si>
  <si>
    <t>David Julien</t>
  </si>
  <si>
    <t>Fray André Gouze - Gocam</t>
  </si>
  <si>
    <t>Valentín Elizalde</t>
  </si>
  <si>
    <t>Ave María II</t>
  </si>
  <si>
    <t>Ave María I</t>
  </si>
  <si>
    <t>Compartir</t>
  </si>
  <si>
    <t>Mercedes González</t>
  </si>
  <si>
    <t>Amarás al Señor tu Dios</t>
  </si>
  <si>
    <t>Confía</t>
  </si>
  <si>
    <t>Cristo Señor</t>
  </si>
  <si>
    <t>Escucha tú la Palabra de Dios</t>
  </si>
  <si>
    <t>Escucha, María</t>
  </si>
  <si>
    <t>Gracias, Madre</t>
  </si>
  <si>
    <t>Poneos en pie</t>
  </si>
  <si>
    <t>Vuelve hacia nosotros</t>
  </si>
  <si>
    <t>La vid verdadera</t>
  </si>
  <si>
    <t>Andrés Barriales</t>
  </si>
  <si>
    <t>Taizé ESP</t>
  </si>
  <si>
    <t>Totales</t>
  </si>
  <si>
    <t>Gonzalo González</t>
  </si>
  <si>
    <t>La misa es una fiesta muy alegre</t>
  </si>
  <si>
    <t>La misa no termina aquí en la iglesia</t>
  </si>
  <si>
    <t>Tú, que siempre nos perdonas</t>
  </si>
  <si>
    <t>227 y 228</t>
  </si>
  <si>
    <t>Gian Franco Pagliardo</t>
  </si>
  <si>
    <t>Tened encendida la lámpara</t>
  </si>
  <si>
    <t>Padre, me pongo en tu regazo</t>
  </si>
  <si>
    <t>Santa María, servidora</t>
  </si>
  <si>
    <t>Escucha nuestros gritos en la noche</t>
  </si>
  <si>
    <t>Joaquín Santos</t>
  </si>
  <si>
    <t>Arriésgate</t>
  </si>
  <si>
    <t>GLENDA</t>
  </si>
  <si>
    <t>Abbá, Padre (escúchame)</t>
  </si>
  <si>
    <t>Antiguo</t>
  </si>
  <si>
    <t>Nuevo</t>
  </si>
  <si>
    <t>Mariano Fuertes</t>
  </si>
  <si>
    <t>Ven a salvar a tu pueblo</t>
  </si>
  <si>
    <t>Misa coral en Re</t>
  </si>
  <si>
    <t>Gloria (misa coral en Re)</t>
  </si>
  <si>
    <t>Aleluya (misa coral en Re)</t>
  </si>
  <si>
    <t>Santo (misa coral en Re)</t>
  </si>
  <si>
    <t>Padre nuestro (misa coral en Re)</t>
  </si>
  <si>
    <t>Cordero de Dios (misa coral en Re)</t>
  </si>
  <si>
    <t>Si cada noche fuera Nochebuena</t>
  </si>
  <si>
    <t>Esto es Navidad</t>
  </si>
  <si>
    <t>Gloria (por pintar amaneceres)</t>
  </si>
  <si>
    <t>Via Crucis</t>
  </si>
  <si>
    <t>Vía Crucis Introducción</t>
  </si>
  <si>
    <t>Via Crucis I Jesús cautivo</t>
  </si>
  <si>
    <t>Via Crucis II Jesús carga con la Cruz</t>
  </si>
  <si>
    <t>Via Crucis III Jesús cae por primera vez</t>
  </si>
  <si>
    <t>Via Crucis IV Jesús se encuentra con su madre</t>
  </si>
  <si>
    <t>Via Crucis V El Cireneo</t>
  </si>
  <si>
    <t>Via Crucis VI La Verónica</t>
  </si>
  <si>
    <t>Via Crucis VII Jesús cae por segunda vez</t>
  </si>
  <si>
    <t>Via Crucis VIII Jesús consuela a las mujeres</t>
  </si>
  <si>
    <t>Via Crucis IX Jesús cae por tercera vez</t>
  </si>
  <si>
    <t>Via Crucis X Jesús es despojado</t>
  </si>
  <si>
    <t>Via Crucis XI Jesús es clavado en la Cruz</t>
  </si>
  <si>
    <t>Via Crucis XII Jesús muere en la Cruz</t>
  </si>
  <si>
    <t>Via Crucis XIII Jesús bajado de la Cruz</t>
  </si>
  <si>
    <t>Via Crucis XIV El cuerpo de Jesús</t>
  </si>
  <si>
    <t>Via Crucis XV La fuerza de la Cruz</t>
  </si>
  <si>
    <t>Marta Gil Delgado</t>
  </si>
  <si>
    <t>Mínimo</t>
  </si>
  <si>
    <t>SECCIONES</t>
  </si>
  <si>
    <t>CARPETAS</t>
  </si>
  <si>
    <t>minusc</t>
  </si>
  <si>
    <t>Todas?</t>
  </si>
  <si>
    <t>html?</t>
  </si>
  <si>
    <t>Hechas+Taizé</t>
  </si>
  <si>
    <t>No os dejo solos</t>
  </si>
  <si>
    <t>Padre nuestro III</t>
  </si>
  <si>
    <t>17 y 289</t>
  </si>
  <si>
    <t>Tus manos son palomas de la paz</t>
  </si>
  <si>
    <t>Juan Erasmo Mochi</t>
  </si>
  <si>
    <t>Ungidos</t>
  </si>
  <si>
    <t>Luispo</t>
  </si>
  <si>
    <t>cej1</t>
  </si>
  <si>
    <t>cej5</t>
  </si>
  <si>
    <t>cej3</t>
  </si>
  <si>
    <t>cej2</t>
  </si>
  <si>
    <t>cej4</t>
  </si>
  <si>
    <t>cej6</t>
  </si>
  <si>
    <t>Cejilla</t>
  </si>
  <si>
    <t>cej7</t>
  </si>
  <si>
    <t>Lab</t>
  </si>
  <si>
    <t>Mib</t>
  </si>
  <si>
    <t>Sin acordes</t>
  </si>
  <si>
    <t>Fa#</t>
  </si>
  <si>
    <t>link</t>
  </si>
  <si>
    <t>https://www.youtube.com/watch?v=sYD6wlOh578</t>
  </si>
  <si>
    <t>https://www.youtube.com/watch?v=QOoULjmeZ_0</t>
  </si>
  <si>
    <t>https://www.youtube.com/watch?v=_Ro7UwTGu-s</t>
  </si>
  <si>
    <t>https://www.youtube.com/watch?v=9M7iJL9dGr4</t>
  </si>
  <si>
    <t>https://www.youtube.com/watch?v=xIjwlEoqkTc</t>
  </si>
  <si>
    <t>https://www.youtube.com/watch?v=Ay0Bpr5S6ck</t>
  </si>
  <si>
    <t>https://www.youtube.com/watch?v=1ZIDUpjkYkg</t>
  </si>
  <si>
    <t>https://www.youtube.com/watch?v=amcNuPkMSdY</t>
  </si>
  <si>
    <t>https://www.youtube.com/watch?v=qo5JMT-K6zw</t>
  </si>
  <si>
    <t>https://www.youtube.com/watch?v=rTuBMwY_p9Q</t>
  </si>
  <si>
    <t>https://www.youtube.com/watch?v=QkZqaN8wdf4</t>
  </si>
  <si>
    <t>https://www.youtube.com/watch?v=xwdgg6PIhyA</t>
  </si>
  <si>
    <t>https://www.youtube.com/watch?v=OwzdalM_9_c</t>
  </si>
  <si>
    <t>https://www.youtube.com/watch?v=Mj9ZrtLyHh0</t>
  </si>
  <si>
    <t>https://www.youtube.com/watch?v=KmGoGRjkxOA</t>
  </si>
  <si>
    <t>https://www.youtube.com/watch?v=yNUuh1LJ--E</t>
  </si>
  <si>
    <t>https://www.youtube.com/watch?v=LEj4ybN6Ovc</t>
  </si>
  <si>
    <t>https://www.youtube.com/watch?v=OuQldRxC9WM</t>
  </si>
  <si>
    <t>https://www.youtube.com/watch?v=gEbtIG9EbO4</t>
  </si>
  <si>
    <t>https://www.youtube.com/watch?v=tKSM_vijkgE</t>
  </si>
  <si>
    <t>https://www.youtube.com/watch?v=whLQp8Pq58g</t>
  </si>
  <si>
    <t>https://www.youtube.com/watch?v=oo4lLrdpIBg</t>
  </si>
  <si>
    <t>https://www.youtube.com/watch?v=fwSvlqMZsDQ</t>
  </si>
  <si>
    <t>https://www.youtube.com/watch?v=g7vRXBpL10k</t>
  </si>
  <si>
    <t>https://www.youtube.com/watch?v=c06HqJKSRBU</t>
  </si>
  <si>
    <t>https://www.youtube.com/watch?v=i3PyJPPFJsQ</t>
  </si>
  <si>
    <t>https://www.youtube.com/watch?v=PzhLaLRijl0</t>
  </si>
  <si>
    <t>https://www.youtube.com/watch?v=V86NBrzhSAo</t>
  </si>
  <si>
    <t>https://www.youtube.com/watch?v=yiRuZloI6d0</t>
  </si>
  <si>
    <t>https://www.youtube.com/watch?v=oJ8DIOKwxhU</t>
  </si>
  <si>
    <t>https://www.youtube.com/watch?v=KwQwKNU8Q1I</t>
  </si>
  <si>
    <t>https://www.youtube.com/watch?v=HsegwQSLVi4</t>
  </si>
  <si>
    <t>https://www.youtube.com/watch?v=slxWCex0heQ</t>
  </si>
  <si>
    <t>https://www.youtube.com/watch?v=k8ibpJ4NKTU</t>
  </si>
  <si>
    <t>https://www.youtube.com/watch?v=Jj8X5vv5LNY</t>
  </si>
  <si>
    <t>https://www.youtube.com/watch?v=1axSWF5kWVc</t>
  </si>
  <si>
    <t>https://www.youtube.com/watch?v=bpvx3uFc48I</t>
  </si>
  <si>
    <t>https://www.youtube.com/watch?v=DcnvRmnrm0s</t>
  </si>
  <si>
    <t>https://www.youtube.com/watch?v=rpwi0PjxShU</t>
  </si>
  <si>
    <t>https://www.youtube.com/watch?v=88t9_VW5z6o</t>
  </si>
  <si>
    <t>https://www.youtube.com/watch?v=Kpyl0DDOr1M</t>
  </si>
  <si>
    <t>https://www.youtube.com/watch?v=RBbbPNeLt9c</t>
  </si>
  <si>
    <t>https://www.youtube.com/watch?v=XuoPNqY5n9A</t>
  </si>
  <si>
    <t>https://www.youtube.com/watch?v=mAfFgnBZTEQ</t>
  </si>
  <si>
    <t>Links</t>
  </si>
  <si>
    <t>Petrus (In illo uno unum)</t>
  </si>
  <si>
    <t>https://www.youtube.com/watch?v=Qz-wm_PxJwQ</t>
  </si>
  <si>
    <t>https://www.youtube.com/watch?v=MhwXqKZmy3Y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</si>
</sst>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6">
    <xf numFmtId="0" fontId="0" fillId="0" borderId="0" xfId="0"/>
    <xf numFmtId="0" fontId="0" fillId="0" borderId="0" xfId="0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0" fontId="0" fillId="0" borderId="0" xfId="1" applyNumberFormat="1" applyFont="1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10" fontId="0" fillId="0" borderId="0" xfId="1" applyNumberFormat="1" applyFont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1" applyNumberFormat="1" applyFont="1" applyAlignment="1">
      <alignment horizontal="center"/>
    </xf>
    <xf numFmtId="10" fontId="0" fillId="0" borderId="0" xfId="1" applyNumberFormat="1" applyFont="1"/>
    <xf numFmtId="0" fontId="3" fillId="6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6" borderId="0" xfId="0" applyFont="1" applyFill="1" applyAlignment="1">
      <alignment horizontal="right"/>
    </xf>
    <xf numFmtId="0" fontId="0" fillId="6" borderId="0" xfId="0" applyFill="1" applyAlignment="1">
      <alignment horizontal="left"/>
    </xf>
    <xf numFmtId="0" fontId="0" fillId="6" borderId="0" xfId="0" applyFill="1" applyAlignment="1">
      <alignment horizontal="right"/>
    </xf>
    <xf numFmtId="0" fontId="0" fillId="0" borderId="0" xfId="0" applyFont="1" applyAlignment="1">
      <alignment horizontal="center" vertical="center"/>
    </xf>
    <xf numFmtId="0" fontId="4" fillId="0" borderId="0" xfId="2" applyFont="1" applyAlignment="1">
      <alignment horizontal="center" vertical="center"/>
    </xf>
    <xf numFmtId="0" fontId="4" fillId="0" borderId="0" xfId="2" applyAlignment="1">
      <alignment horizontal="left" vertical="center"/>
    </xf>
    <xf numFmtId="0" fontId="0" fillId="0" borderId="0" xfId="0" applyFont="1" applyAlignment="1">
      <alignment horizontal="left" vertical="center"/>
    </xf>
  </cellXfs>
  <cellStyles count="3">
    <cellStyle name="Hipervínculo" xfId="2" builtinId="8"/>
    <cellStyle name="Normal" xfId="0" builtinId="0"/>
    <cellStyle name="Porcentaje" xfId="1" builtinId="5"/>
  </cellStyles>
  <dxfs count="56">
    <dxf>
      <fill>
        <patternFill>
          <bgColor rgb="FF00B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theme="5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0F-4FBE-A7DC-1091ED160E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0F-4FBE-A7DC-1091ED160E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C0F-4FBE-A7DC-1091ED160E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C0F-4FBE-A7DC-1091ED160E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C0F-4FBE-A7DC-1091ED160E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C0F-4FBE-A7DC-1091ED160E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C0F-4FBE-A7DC-1091ED160E2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C0F-4FBE-A7DC-1091ED160E2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C0F-4FBE-A7DC-1091ED160E2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C0F-4FBE-A7DC-1091ED160E2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C0F-4FBE-A7DC-1091ED160E2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C0F-4FBE-A7DC-1091ED160E2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C0F-4FBE-A7DC-1091ED160E2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C0F-4FBE-A7DC-1091ED160E2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C0F-4FBE-A7DC-1091ED160E2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C0F-4FBE-A7DC-1091ED160E2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C0F-4FBE-A7DC-1091ED160E2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C0F-4FBE-A7DC-1091ED160E2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C0F-4FBE-A7DC-1091ED160E2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C0F-4FBE-A7DC-1091ED160E2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C0F-4FBE-A7DC-1091ED160E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Resumen!$A$5:$A$25</c:f>
              <c:strCache>
                <c:ptCount val="19"/>
                <c:pt idx="0">
                  <c:v>Aleluya</c:v>
                </c:pt>
                <c:pt idx="1">
                  <c:v>Antífonas</c:v>
                </c:pt>
                <c:pt idx="2">
                  <c:v>Comunión</c:v>
                </c:pt>
                <c:pt idx="3">
                  <c:v>Cordero de Dios</c:v>
                </c:pt>
                <c:pt idx="4">
                  <c:v>Despedida</c:v>
                </c:pt>
                <c:pt idx="5">
                  <c:v>Entrada</c:v>
                </c:pt>
                <c:pt idx="6">
                  <c:v>Especiales</c:v>
                </c:pt>
                <c:pt idx="7">
                  <c:v>Espíritu</c:v>
                </c:pt>
                <c:pt idx="8">
                  <c:v>Gloria</c:v>
                </c:pt>
                <c:pt idx="9">
                  <c:v>María</c:v>
                </c:pt>
                <c:pt idx="10">
                  <c:v>Navidad</c:v>
                </c:pt>
                <c:pt idx="11">
                  <c:v>Ofertorio</c:v>
                </c:pt>
                <c:pt idx="12">
                  <c:v>Padrenuestro</c:v>
                </c:pt>
                <c:pt idx="13">
                  <c:v>Paz</c:v>
                </c:pt>
                <c:pt idx="14">
                  <c:v>Perdón - Agua</c:v>
                </c:pt>
                <c:pt idx="15">
                  <c:v>Santo</c:v>
                </c:pt>
                <c:pt idx="16">
                  <c:v>TaizéESP</c:v>
                </c:pt>
                <c:pt idx="17">
                  <c:v>TaizéORIG</c:v>
                </c:pt>
                <c:pt idx="18">
                  <c:v>0</c:v>
                </c:pt>
              </c:strCache>
            </c:strRef>
          </c:cat>
          <c:val>
            <c:numRef>
              <c:f>Resumen!$B$5:$B$25</c:f>
              <c:numCache>
                <c:formatCode>General</c:formatCode>
                <c:ptCount val="21"/>
                <c:pt idx="0">
                  <c:v>11</c:v>
                </c:pt>
                <c:pt idx="1">
                  <c:v>44</c:v>
                </c:pt>
                <c:pt idx="2">
                  <c:v>83</c:v>
                </c:pt>
                <c:pt idx="3">
                  <c:v>6</c:v>
                </c:pt>
                <c:pt idx="4">
                  <c:v>9</c:v>
                </c:pt>
                <c:pt idx="5">
                  <c:v>44</c:v>
                </c:pt>
                <c:pt idx="6">
                  <c:v>6</c:v>
                </c:pt>
                <c:pt idx="7">
                  <c:v>5</c:v>
                </c:pt>
                <c:pt idx="8">
                  <c:v>8</c:v>
                </c:pt>
                <c:pt idx="9">
                  <c:v>24</c:v>
                </c:pt>
                <c:pt idx="10">
                  <c:v>20</c:v>
                </c:pt>
                <c:pt idx="11">
                  <c:v>20</c:v>
                </c:pt>
                <c:pt idx="12">
                  <c:v>6</c:v>
                </c:pt>
                <c:pt idx="13">
                  <c:v>10</c:v>
                </c:pt>
                <c:pt idx="14">
                  <c:v>9</c:v>
                </c:pt>
                <c:pt idx="15">
                  <c:v>14</c:v>
                </c:pt>
                <c:pt idx="16">
                  <c:v>78</c:v>
                </c:pt>
                <c:pt idx="17">
                  <c:v>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1C0F-4FBE-A7DC-1091ED160E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0</xdr:rowOff>
    </xdr:from>
    <xdr:to>
      <xdr:col>6</xdr:col>
      <xdr:colOff>247200</xdr:colOff>
      <xdr:row>49</xdr:row>
      <xdr:rowOff>125280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936F2E-DEC4-4D4E-B95C-B62D6697C5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C2D4C4-F497-425E-BD7F-77583C1AFE41}" name="Tabla4" displayName="Tabla4" ref="A1:E396" totalsRowShown="0">
  <autoFilter ref="A1:E396" xr:uid="{F6C2D4C4-F497-425E-BD7F-77583C1AFE41}"/>
  <tableColumns count="5">
    <tableColumn id="1" xr3:uid="{7CDED6B1-8460-4E79-92FA-3DA23BCB4417}" name="Número" dataDxfId="35"/>
    <tableColumn id="2" xr3:uid="{42541581-BBEF-4977-A0F7-19127C28F8EA}" name="Título"/>
    <tableColumn id="7" xr3:uid="{8AD23868-7E0F-44D5-B074-E8C5AAE3C82E}" name="Autor"/>
    <tableColumn id="3" xr3:uid="{DA6C0F7F-65A5-4BAE-AB88-9F7B4FABD730}" name="En el nuevo?" dataDxfId="34">
      <calculatedColumnFormula>IF(ISNUMBER(MATCH(Tabla4[[#This Row],[Título]],CantoralDB[Título],0)),"OK","-")</calculatedColumnFormula>
    </tableColumn>
    <tableColumn id="5" xr3:uid="{466DD19F-4910-4551-952E-B749836A3806}" name="En HTML?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14F1D7-C913-4624-9E81-EEC7EA3DB678}" name="CantoralDB" displayName="CantoralDB" ref="A1:W1744" totalsRowShown="0" headerRowDxfId="55" dataDxfId="54">
  <autoFilter ref="A1:W1744" xr:uid="{E5A23D2C-4E40-4F63-A29F-33A92F43E326}"/>
  <sortState xmlns:xlrd2="http://schemas.microsoft.com/office/spreadsheetml/2017/richdata2" ref="A2:W1744">
    <sortCondition ref="M2:M1744"/>
    <sortCondition ref="N2:N1744"/>
    <sortCondition ref="O2:O1744"/>
  </sortState>
  <tableColumns count="23">
    <tableColumn id="1" xr3:uid="{28F9D52F-B373-4C16-9EB0-742FA80033B2}" name="#" dataDxfId="53">
      <calculatedColumnFormula>ROW(CantoralDB[[#This Row],[Título]])-1</calculatedColumnFormula>
    </tableColumn>
    <tableColumn id="2" xr3:uid="{8468C75C-A50A-4C13-9585-253E65D1C6DC}" name="Título" dataDxfId="52"/>
    <tableColumn id="3" xr3:uid="{860A58D5-5018-4B01-997E-FA1C7E10466E}" name="Momento" dataDxfId="51"/>
    <tableColumn id="5" xr3:uid="{BDD40DF6-5222-45C7-B2A9-85AC09EA0C11}" name="Número" dataDxfId="50"/>
    <tableColumn id="13" xr3:uid="{2A4DE54D-0F8D-43BE-9573-247B4685B078}" name="Número antiguo" dataDxfId="49"/>
    <tableColumn id="9" xr3:uid="{206AD9B5-42C6-450A-8AA3-0E19AC6C1635}" name="Número RCC" dataDxfId="48"/>
    <tableColumn id="4" xr3:uid="{0E9BA84A-E858-4602-8F8B-95ED2B3D75FA}" name="Origen" dataDxfId="47"/>
    <tableColumn id="6" xr3:uid="{57824645-9E68-44A2-9134-D5857E10EADA}" name="Tono" dataDxfId="46"/>
    <tableColumn id="12" xr3:uid="{FCDACF5A-E37B-4F05-B1E9-5CF8377C8A32}" name="Cejilla" dataDxfId="15"/>
    <tableColumn id="16" xr3:uid="{74F0636D-DDF0-48ED-9EC8-CFB6D218D249}" name="html" dataDxfId="45"/>
    <tableColumn id="7" xr3:uid="{67618C69-BDD7-4BD9-946B-34E3F47B3C35}" name="Ag/Gr" dataDxfId="44"/>
    <tableColumn id="21" xr3:uid="{42087BCE-8000-474B-996C-5C6901AA7438}" name="Columna1" dataDxfId="43"/>
    <tableColumn id="8" xr3:uid="{DB3187B6-7C5F-47A0-9227-10A3F954B33E}" name="Autor" dataDxfId="42"/>
    <tableColumn id="19" xr3:uid="{F618DFF5-BA49-4E4C-8924-E0352B5F3782}" name="Álbum" dataDxfId="41"/>
    <tableColumn id="20" xr3:uid="{0B89F2F7-32E5-4B3D-9943-AE682BFC216A}" name="Nº" dataDxfId="40"/>
    <tableColumn id="18" xr3:uid="{8D0C09FC-5BDC-42E2-A6A2-AFA51ECF62BD}" name="Carpeta" dataDxfId="39">
      <calculatedColumnFormula array="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calculatedColumnFormula>
    </tableColumn>
    <tableColumn id="24" xr3:uid="{58E4DBD3-E4CB-496C-A861-99A7A5FDDC1F}" name="Sección" dataDxfId="38">
      <calculatedColumnFormula array="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calculatedColumnFormula>
    </tableColumn>
    <tableColumn id="22" xr3:uid="{87814BA7-B2F9-4543-B1EB-FED007B048FE}" name="Ruta" dataDxfId="16">
      <calculatedColumnFormula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calculatedColumnFormula>
    </tableColumn>
    <tableColumn id="10" xr3:uid="{C4C3E0B7-D315-4C4D-8176-86C93940C00E}" name="Referencia" dataDxfId="37"/>
    <tableColumn id="17" xr3:uid="{CA8CE824-9C3A-4210-80CC-1944C295CBF1}" name="Linked" dataDxfId="36"/>
    <tableColumn id="15" xr3:uid="{9FCFA60A-F350-4627-8B5D-B60C03A16C40}" name="link" dataDxfId="14"/>
    <tableColumn id="23" xr3:uid="{C94C48E6-541E-4213-940B-0A99D953D361}" name="index.html" dataDxfId="17">
      <calculatedColumnFormula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calculatedColumnFormula>
    </tableColumn>
    <tableColumn id="26" xr3:uid="{EDD5BD0B-0378-43F8-BE71-0DD5E0F2139E}" name="check" dataDxfId="18">
      <calculatedColumnFormula>_xlfn.TEXTBEFORE(_xlfn.TEXTAFTER(CantoralDB[[#This Row],[index.html]],"&gt;"),"&gt;")&amp;"&gt;"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3F1345-10E9-4BD7-B3DC-48AA30FD4BD9}" name="Autores" displayName="Autores" ref="A1:F36" totalsRowShown="0">
  <autoFilter ref="A1:F36" xr:uid="{F03F1345-10E9-4BD7-B3DC-48AA30FD4BD9}"/>
  <sortState xmlns:xlrd2="http://schemas.microsoft.com/office/spreadsheetml/2017/richdata2" ref="A2:E26">
    <sortCondition ref="A1:A26"/>
  </sortState>
  <tableColumns count="6">
    <tableColumn id="5" xr3:uid="{03D13075-46D7-456D-A5DC-0BEFC678D8A1}" name="#"/>
    <tableColumn id="1" xr3:uid="{705AA997-5055-45D5-BCFB-0762C26FB639}" name="Autor"/>
    <tableColumn id="2" xr3:uid="{95733EA1-F339-4A18-A224-A28DE8594FDA}" name="Secciones" dataDxfId="33">
      <calculatedColumnFormula>LOWER(SUBSTITUTE(SUBSTITUTE(SUBSTITUTE(SUBSTITUTE(SUBSTITUTE(SUBSTITUTE(SUBSTITUTE(SUBSTITUTE(SUBSTITUTE(SUBSTITUTE(SUBSTITUTE(Autores[[#This Row],[Autor]],"á","a"),"é","e"),"í","i"),"ó","o"),"ú","u")," ","_"),"¿",""),"?",""),"¡",""),"!",""),",",""))</calculatedColumnFormula>
    </tableColumn>
    <tableColumn id="3" xr3:uid="{27032B50-95DC-4FA2-9A29-FEC7A1520AD1}" name="id" dataDxfId="32">
      <calculatedColumnFormula>IF(Autores[[#This Row],[id_lado]]="i",
LEFT(SUBSTITUTE(SUBSTITUTE(Autores[[#This Row],[Secciones]],"_",""),"/",""),4),
LEFT(SUBSTITUTE(SUBSTITUTE(_xlfn.TEXTAFTER(Autores[[#This Row],[Secciones]],"_",-1),"_",""),"/",""),4))</calculatedColumnFormula>
    </tableColumn>
    <tableColumn id="4" xr3:uid="{4E379360-AAF6-402E-A9F4-1E2F2092C441}" name="id_lado"/>
    <tableColumn id="6" xr3:uid="{B93B5D74-12AB-49ED-882D-7F3364F9872F}" name="html" dataDxfId="31">
      <calculatedColumnFormula>"&lt;a href=""#"&amp;Autores[[#This Row],[id]]&amp;""" class=""btn-indice""&gt;"&amp;Autores[[#This Row],[Autor]]&amp;"&lt;/a&gt;"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200718-0F31-410F-AF46-1547ED1544AD}" name="Categorías" displayName="Categorías" ref="A1:A19" totalsRowShown="0">
  <autoFilter ref="A1:A19" xr:uid="{29200718-0F31-410F-AF46-1547ED1544AD}"/>
  <tableColumns count="1">
    <tableColumn id="1" xr3:uid="{028590B8-BC66-455A-99C3-BE08053FFCC5}" name="Categorí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73180A-6BA4-4B4A-8234-F06744FE5A85}" name="Tabla2" displayName="Tabla2" ref="A1:J192" totalsRowShown="0" headerRowDxfId="30" dataDxfId="29">
  <autoFilter ref="A1:J192" xr:uid="{1873180A-6BA4-4B4A-8234-F06744FE5A85}"/>
  <tableColumns count="10">
    <tableColumn id="10" xr3:uid="{2FD7DDC6-FB48-4199-8DD6-F60F8557AB5D}" name="Núm" dataDxfId="28">
      <calculatedColumnFormula>ROW(Tabla2[[#This Row],[Taizé]])-1</calculatedColumnFormula>
    </tableColumn>
    <tableColumn id="1" xr3:uid="{C050135E-7F5B-4CC0-A526-1AFC1728A3E0}" name="Taizé" dataDxfId="27"/>
    <tableColumn id="9" xr3:uid="{B74F8AB2-9832-40FB-A64E-784A3E9F1C6A}" name="2018-2019" dataDxfId="26"/>
    <tableColumn id="7" xr3:uid="{E61BFD7F-1AF7-4812-AA22-36B3F8E1DEC2}" name="2020-2021" dataDxfId="25"/>
    <tableColumn id="6" xr3:uid="{AB50F679-302E-4542-9FC0-04CF5D53D122}" name="2023-2024" dataDxfId="24"/>
    <tableColumn id="2" xr3:uid="{2E7155EB-888D-439C-9E36-47C9AC89B92A}" name="Columna1" dataDxfId="23"/>
    <tableColumn id="3" xr3:uid="{EF0CEA37-31CF-4F5C-87D1-BFE43E99F766}" name="Columna2" dataDxfId="22"/>
    <tableColumn id="4" xr3:uid="{F7AB2284-6C89-4A29-9E66-5F507EC503AC}" name="Columna3" dataDxfId="21"/>
    <tableColumn id="5" xr3:uid="{3774AC68-B43A-4A65-A2E9-84B0B6F66875}" name="Columna4" dataDxfId="20"/>
    <tableColumn id="8" xr3:uid="{CA9EF22D-29E2-4EAE-B820-1DE3481B3A43}" name="Español" dataDxfId="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youtube.com/watch?v=OwzdalM_9_c" TargetMode="External"/><Relationship Id="rId18" Type="http://schemas.openxmlformats.org/officeDocument/2006/relationships/hyperlink" Target="https://www.youtube.com/watch?v=OuQldRxC9WM" TargetMode="External"/><Relationship Id="rId26" Type="http://schemas.openxmlformats.org/officeDocument/2006/relationships/hyperlink" Target="https://www.youtube.com/watch?v=i3PyJPPFJsQ" TargetMode="External"/><Relationship Id="rId39" Type="http://schemas.openxmlformats.org/officeDocument/2006/relationships/hyperlink" Target="https://www.youtube.com/watch?v=rpwi0PjxShU" TargetMode="External"/><Relationship Id="rId21" Type="http://schemas.openxmlformats.org/officeDocument/2006/relationships/hyperlink" Target="https://www.youtube.com/watch?v=whLQp8Pq58g" TargetMode="External"/><Relationship Id="rId34" Type="http://schemas.openxmlformats.org/officeDocument/2006/relationships/hyperlink" Target="https://www.youtube.com/watch?v=k8ibpJ4NKTU" TargetMode="External"/><Relationship Id="rId42" Type="http://schemas.openxmlformats.org/officeDocument/2006/relationships/hyperlink" Target="https://www.youtube.com/watch?v=RBbbPNeLt9c" TargetMode="External"/><Relationship Id="rId47" Type="http://schemas.openxmlformats.org/officeDocument/2006/relationships/hyperlink" Target="https://www.youtube.com/watch?v=pBDC7TRhCYY" TargetMode="External"/><Relationship Id="rId50" Type="http://schemas.openxmlformats.org/officeDocument/2006/relationships/printerSettings" Target="../printerSettings/printerSettings1.bin"/><Relationship Id="rId7" Type="http://schemas.openxmlformats.org/officeDocument/2006/relationships/hyperlink" Target="https://www.youtube.com/watch?v=1ZIDUpjkYkg" TargetMode="External"/><Relationship Id="rId2" Type="http://schemas.openxmlformats.org/officeDocument/2006/relationships/hyperlink" Target="https://www.youtube.com/watch?v=QOoULjmeZ_0" TargetMode="External"/><Relationship Id="rId16" Type="http://schemas.openxmlformats.org/officeDocument/2006/relationships/hyperlink" Target="https://www.youtube.com/watch?v=yNUuh1LJ--E" TargetMode="External"/><Relationship Id="rId29" Type="http://schemas.openxmlformats.org/officeDocument/2006/relationships/hyperlink" Target="https://www.youtube.com/watch?v=yiRuZloI6d0" TargetMode="External"/><Relationship Id="rId11" Type="http://schemas.openxmlformats.org/officeDocument/2006/relationships/hyperlink" Target="https://www.youtube.com/watch?v=QkZqaN8wdf4" TargetMode="External"/><Relationship Id="rId24" Type="http://schemas.openxmlformats.org/officeDocument/2006/relationships/hyperlink" Target="https://www.youtube.com/watch?v=g7vRXBpL10k" TargetMode="External"/><Relationship Id="rId32" Type="http://schemas.openxmlformats.org/officeDocument/2006/relationships/hyperlink" Target="https://www.youtube.com/watch?v=HsegwQSLVi4" TargetMode="External"/><Relationship Id="rId37" Type="http://schemas.openxmlformats.org/officeDocument/2006/relationships/hyperlink" Target="https://www.youtube.com/watch?v=bpvx3uFc48I" TargetMode="External"/><Relationship Id="rId40" Type="http://schemas.openxmlformats.org/officeDocument/2006/relationships/hyperlink" Target="https://www.youtube.com/watch?v=88t9_VW5z6o" TargetMode="External"/><Relationship Id="rId45" Type="http://schemas.openxmlformats.org/officeDocument/2006/relationships/hyperlink" Target="https://www.youtube.com/watch?v=nJ18Li5H2Gw" TargetMode="External"/><Relationship Id="rId5" Type="http://schemas.openxmlformats.org/officeDocument/2006/relationships/hyperlink" Target="https://www.youtube.com/watch?v=xIjwlEoqkTc" TargetMode="External"/><Relationship Id="rId15" Type="http://schemas.openxmlformats.org/officeDocument/2006/relationships/hyperlink" Target="https://www.youtube.com/watch?v=KmGoGRjkxOA" TargetMode="External"/><Relationship Id="rId23" Type="http://schemas.openxmlformats.org/officeDocument/2006/relationships/hyperlink" Target="https://www.youtube.com/watch?v=fwSvlqMZsDQ" TargetMode="External"/><Relationship Id="rId28" Type="http://schemas.openxmlformats.org/officeDocument/2006/relationships/hyperlink" Target="https://www.youtube.com/watch?v=V86NBrzhSAo" TargetMode="External"/><Relationship Id="rId36" Type="http://schemas.openxmlformats.org/officeDocument/2006/relationships/hyperlink" Target="https://www.youtube.com/watch?v=1axSWF5kWVc" TargetMode="External"/><Relationship Id="rId49" Type="http://schemas.openxmlformats.org/officeDocument/2006/relationships/hyperlink" Target="https://www.youtube.com/watch?v=MhwXqKZmy3Y" TargetMode="External"/><Relationship Id="rId10" Type="http://schemas.openxmlformats.org/officeDocument/2006/relationships/hyperlink" Target="https://www.youtube.com/watch?v=rTuBMwY_p9Q" TargetMode="External"/><Relationship Id="rId19" Type="http://schemas.openxmlformats.org/officeDocument/2006/relationships/hyperlink" Target="https://www.youtube.com/watch?v=gEbtIG9EbO4" TargetMode="External"/><Relationship Id="rId31" Type="http://schemas.openxmlformats.org/officeDocument/2006/relationships/hyperlink" Target="https://www.youtube.com/watch?v=KwQwKNU8Q1I" TargetMode="External"/><Relationship Id="rId44" Type="http://schemas.openxmlformats.org/officeDocument/2006/relationships/hyperlink" Target="https://www.youtube.com/watch?v=mAfFgnBZTEQ" TargetMode="External"/><Relationship Id="rId4" Type="http://schemas.openxmlformats.org/officeDocument/2006/relationships/hyperlink" Target="https://www.youtube.com/watch?v=9M7iJL9dGr4" TargetMode="External"/><Relationship Id="rId9" Type="http://schemas.openxmlformats.org/officeDocument/2006/relationships/hyperlink" Target="https://www.youtube.com/watch?v=qo5JMT-K6zw" TargetMode="External"/><Relationship Id="rId14" Type="http://schemas.openxmlformats.org/officeDocument/2006/relationships/hyperlink" Target="https://www.youtube.com/watch?v=Mj9ZrtLyHh0" TargetMode="External"/><Relationship Id="rId22" Type="http://schemas.openxmlformats.org/officeDocument/2006/relationships/hyperlink" Target="https://www.youtube.com/watch?v=oo4lLrdpIBg" TargetMode="External"/><Relationship Id="rId27" Type="http://schemas.openxmlformats.org/officeDocument/2006/relationships/hyperlink" Target="https://www.youtube.com/watch?v=PzhLaLRijl0" TargetMode="External"/><Relationship Id="rId30" Type="http://schemas.openxmlformats.org/officeDocument/2006/relationships/hyperlink" Target="https://www.youtube.com/watch?v=oJ8DIOKwxhU" TargetMode="External"/><Relationship Id="rId35" Type="http://schemas.openxmlformats.org/officeDocument/2006/relationships/hyperlink" Target="https://www.youtube.com/watch?v=Jj8X5vv5LNY" TargetMode="External"/><Relationship Id="rId43" Type="http://schemas.openxmlformats.org/officeDocument/2006/relationships/hyperlink" Target="https://www.youtube.com/watch?v=XuoPNqY5n9A" TargetMode="External"/><Relationship Id="rId48" Type="http://schemas.openxmlformats.org/officeDocument/2006/relationships/hyperlink" Target="https://www.youtube.com/watch?v=Qz-wm_PxJwQ" TargetMode="External"/><Relationship Id="rId8" Type="http://schemas.openxmlformats.org/officeDocument/2006/relationships/hyperlink" Target="https://www.youtube.com/watch?v=amcNuPkMSdY" TargetMode="External"/><Relationship Id="rId51" Type="http://schemas.openxmlformats.org/officeDocument/2006/relationships/table" Target="../tables/table2.xml"/><Relationship Id="rId3" Type="http://schemas.openxmlformats.org/officeDocument/2006/relationships/hyperlink" Target="https://www.youtube.com/watch?v=_Ro7UwTGu-s" TargetMode="External"/><Relationship Id="rId12" Type="http://schemas.openxmlformats.org/officeDocument/2006/relationships/hyperlink" Target="https://www.youtube.com/watch?v=xwdgg6PIhyA" TargetMode="External"/><Relationship Id="rId17" Type="http://schemas.openxmlformats.org/officeDocument/2006/relationships/hyperlink" Target="https://www.youtube.com/watch?v=LEj4ybN6Ovc" TargetMode="External"/><Relationship Id="rId25" Type="http://schemas.openxmlformats.org/officeDocument/2006/relationships/hyperlink" Target="https://www.youtube.com/watch?v=c06HqJKSRBU" TargetMode="External"/><Relationship Id="rId33" Type="http://schemas.openxmlformats.org/officeDocument/2006/relationships/hyperlink" Target="https://www.youtube.com/watch?v=slxWCex0heQ" TargetMode="External"/><Relationship Id="rId38" Type="http://schemas.openxmlformats.org/officeDocument/2006/relationships/hyperlink" Target="https://www.youtube.com/watch?v=DcnvRmnrm0s" TargetMode="External"/><Relationship Id="rId46" Type="http://schemas.openxmlformats.org/officeDocument/2006/relationships/hyperlink" Target="https://www.youtube.com/watch?v=TkI6CtxnIIQ" TargetMode="External"/><Relationship Id="rId20" Type="http://schemas.openxmlformats.org/officeDocument/2006/relationships/hyperlink" Target="https://www.youtube.com/watch?v=tKSM_vijkgE" TargetMode="External"/><Relationship Id="rId41" Type="http://schemas.openxmlformats.org/officeDocument/2006/relationships/hyperlink" Target="https://www.youtube.com/watch?v=Kpyl0DDOr1M" TargetMode="External"/><Relationship Id="rId1" Type="http://schemas.openxmlformats.org/officeDocument/2006/relationships/hyperlink" Target="https://www.youtube.com/watch?v=sYD6wlOh578" TargetMode="External"/><Relationship Id="rId6" Type="http://schemas.openxmlformats.org/officeDocument/2006/relationships/hyperlink" Target="https://www.youtube.com/watch?v=Ay0Bpr5S6ck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pastoralmusical.es/inicio/tsnc" TargetMode="External"/><Relationship Id="rId1" Type="http://schemas.openxmlformats.org/officeDocument/2006/relationships/hyperlink" Target="https://pastoralmusical.es/inicio/gloyola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2CE-482F-4AD5-9E58-F99B41273073}">
  <sheetPr codeName="Hoja1"/>
  <dimension ref="A1:E398"/>
  <sheetViews>
    <sheetView workbookViewId="0">
      <selection activeCell="B2" sqref="B2"/>
    </sheetView>
  </sheetViews>
  <sheetFormatPr baseColWidth="10" defaultRowHeight="14.4" x14ac:dyDescent="0.3"/>
  <cols>
    <col min="1" max="1" width="10.109375" bestFit="1" customWidth="1"/>
    <col min="2" max="2" width="55.5546875" bestFit="1" customWidth="1"/>
    <col min="3" max="3" width="55.5546875" customWidth="1"/>
  </cols>
  <sheetData>
    <row r="1" spans="1:5" x14ac:dyDescent="0.3">
      <c r="A1" t="s">
        <v>646</v>
      </c>
      <c r="B1" t="s">
        <v>791</v>
      </c>
      <c r="C1" t="s">
        <v>478</v>
      </c>
      <c r="D1" t="s">
        <v>1161</v>
      </c>
      <c r="E1" t="s">
        <v>1480</v>
      </c>
    </row>
    <row r="2" spans="1:5" x14ac:dyDescent="0.3">
      <c r="A2" s="16">
        <v>1</v>
      </c>
      <c r="B2" t="s">
        <v>1</v>
      </c>
      <c r="C2" t="s">
        <v>487</v>
      </c>
      <c r="D2" t="str">
        <f>IF(ISNUMBER(MATCH(Tabla4[[#This Row],[Título]],CantoralDB[Título],0)),"OK","-")</f>
        <v>OK</v>
      </c>
      <c r="E2" t="s">
        <v>608</v>
      </c>
    </row>
    <row r="3" spans="1:5" x14ac:dyDescent="0.3">
      <c r="A3" s="16">
        <v>2</v>
      </c>
      <c r="B3" t="s">
        <v>1154</v>
      </c>
      <c r="C3" t="s">
        <v>481</v>
      </c>
      <c r="D3" t="str">
        <f>IF(ISNUMBER(MATCH(Tabla4[[#This Row],[Título]],CantoralDB[Título],0)),"OK","-")</f>
        <v>OK</v>
      </c>
      <c r="E3" t="s">
        <v>795</v>
      </c>
    </row>
    <row r="4" spans="1:5" x14ac:dyDescent="0.3">
      <c r="A4" s="16">
        <v>3</v>
      </c>
      <c r="B4" t="s">
        <v>1155</v>
      </c>
      <c r="C4" t="s">
        <v>2078</v>
      </c>
      <c r="D4" t="str">
        <f>IF(ISNUMBER(MATCH(Tabla4[[#This Row],[Título]],CantoralDB[Título],0)),"OK","-")</f>
        <v>OK</v>
      </c>
      <c r="E4" t="s">
        <v>795</v>
      </c>
    </row>
    <row r="5" spans="1:5" x14ac:dyDescent="0.3">
      <c r="A5" s="16">
        <v>4</v>
      </c>
      <c r="B5" t="s">
        <v>229</v>
      </c>
      <c r="C5" t="s">
        <v>491</v>
      </c>
      <c r="D5" t="str">
        <f>IF(ISNUMBER(MATCH(Tabla4[[#This Row],[Título]],CantoralDB[Título],0)),"OK","-")</f>
        <v>OK</v>
      </c>
      <c r="E5" t="s">
        <v>608</v>
      </c>
    </row>
    <row r="6" spans="1:5" x14ac:dyDescent="0.3">
      <c r="A6" s="16">
        <v>5</v>
      </c>
      <c r="B6" t="s">
        <v>1156</v>
      </c>
      <c r="C6" t="s">
        <v>2077</v>
      </c>
      <c r="D6" t="str">
        <f>IF(ISNUMBER(MATCH(Tabla4[[#This Row],[Título]],CantoralDB[Título],0)),"OK","-")</f>
        <v>OK</v>
      </c>
      <c r="E6" t="s">
        <v>795</v>
      </c>
    </row>
    <row r="7" spans="1:5" x14ac:dyDescent="0.3">
      <c r="A7" s="16">
        <v>6</v>
      </c>
      <c r="B7" t="s">
        <v>1157</v>
      </c>
      <c r="C7" t="s">
        <v>481</v>
      </c>
      <c r="D7" t="str">
        <f>IF(ISNUMBER(MATCH(Tabla4[[#This Row],[Título]],CantoralDB[Título],0)),"OK","-")</f>
        <v>OK</v>
      </c>
      <c r="E7" t="s">
        <v>795</v>
      </c>
    </row>
    <row r="8" spans="1:5" x14ac:dyDescent="0.3">
      <c r="A8" s="16">
        <v>7</v>
      </c>
      <c r="B8" t="s">
        <v>1158</v>
      </c>
      <c r="C8" t="s">
        <v>2077</v>
      </c>
      <c r="D8" t="str">
        <f>IF(ISNUMBER(MATCH(Tabla4[[#This Row],[Título]],CantoralDB[Título],0)),"OK","-")</f>
        <v>-</v>
      </c>
      <c r="E8" t="s">
        <v>795</v>
      </c>
    </row>
    <row r="9" spans="1:5" x14ac:dyDescent="0.3">
      <c r="A9" s="16">
        <v>8</v>
      </c>
      <c r="B9" t="s">
        <v>6</v>
      </c>
      <c r="C9" t="s">
        <v>479</v>
      </c>
      <c r="D9" t="str">
        <f>IF(ISNUMBER(MATCH(Tabla4[[#This Row],[Título]],CantoralDB[Título],0)),"OK","-")</f>
        <v>OK</v>
      </c>
      <c r="E9" t="s">
        <v>608</v>
      </c>
    </row>
    <row r="10" spans="1:5" x14ac:dyDescent="0.3">
      <c r="A10" s="16">
        <v>9</v>
      </c>
      <c r="B10" t="s">
        <v>8</v>
      </c>
      <c r="C10" t="s">
        <v>481</v>
      </c>
      <c r="D10" t="str">
        <f>IF(ISNUMBER(MATCH(Tabla4[[#This Row],[Título]],CantoralDB[Título],0)),"OK","-")</f>
        <v>OK</v>
      </c>
      <c r="E10" t="s">
        <v>608</v>
      </c>
    </row>
    <row r="11" spans="1:5" x14ac:dyDescent="0.3">
      <c r="A11" s="16">
        <v>10</v>
      </c>
      <c r="B11" t="s">
        <v>12</v>
      </c>
      <c r="C11" t="s">
        <v>2143</v>
      </c>
      <c r="D11" t="str">
        <f>IF(ISNUMBER(MATCH(Tabla4[[#This Row],[Título]],CantoralDB[Título],0)),"OK","-")</f>
        <v>OK</v>
      </c>
      <c r="E11" t="s">
        <v>608</v>
      </c>
    </row>
    <row r="12" spans="1:5" x14ac:dyDescent="0.3">
      <c r="A12" s="16">
        <v>11</v>
      </c>
      <c r="B12" t="s">
        <v>1159</v>
      </c>
      <c r="C12" t="s">
        <v>487</v>
      </c>
      <c r="D12" t="str">
        <f>IF(ISNUMBER(MATCH(Tabla4[[#This Row],[Título]],CantoralDB[Título],0)),"OK","-")</f>
        <v>OK</v>
      </c>
      <c r="E12" t="s">
        <v>795</v>
      </c>
    </row>
    <row r="13" spans="1:5" x14ac:dyDescent="0.3">
      <c r="A13" s="16">
        <v>12</v>
      </c>
      <c r="B13" t="s">
        <v>10</v>
      </c>
      <c r="C13" t="s">
        <v>485</v>
      </c>
      <c r="D13" t="str">
        <f>IF(ISNUMBER(MATCH(Tabla4[[#This Row],[Título]],CantoralDB[Título],0)),"OK","-")</f>
        <v>OK</v>
      </c>
      <c r="E13" t="s">
        <v>608</v>
      </c>
    </row>
    <row r="14" spans="1:5" x14ac:dyDescent="0.3">
      <c r="A14" s="16">
        <v>13</v>
      </c>
      <c r="B14" t="s">
        <v>19</v>
      </c>
      <c r="C14" t="s">
        <v>479</v>
      </c>
      <c r="D14" t="str">
        <f>IF(ISNUMBER(MATCH(Tabla4[[#This Row],[Título]],CantoralDB[Título],0)),"OK","-")</f>
        <v>OK</v>
      </c>
      <c r="E14" t="s">
        <v>608</v>
      </c>
    </row>
    <row r="15" spans="1:5" x14ac:dyDescent="0.3">
      <c r="A15" s="16">
        <v>14</v>
      </c>
      <c r="B15" t="s">
        <v>18</v>
      </c>
      <c r="C15" t="s">
        <v>487</v>
      </c>
      <c r="D15" t="str">
        <f>IF(ISNUMBER(MATCH(Tabla4[[#This Row],[Título]],CantoralDB[Título],0)),"OK","-")</f>
        <v>OK</v>
      </c>
      <c r="E15" t="s">
        <v>608</v>
      </c>
    </row>
    <row r="16" spans="1:5" x14ac:dyDescent="0.3">
      <c r="A16" s="16">
        <v>15</v>
      </c>
      <c r="B16" t="s">
        <v>1160</v>
      </c>
      <c r="C16" t="s">
        <v>2079</v>
      </c>
      <c r="D16" t="str">
        <f>IF(ISNUMBER(MATCH(Tabla4[[#This Row],[Título]],CantoralDB[Título],0)),"OK","-")</f>
        <v>OK</v>
      </c>
      <c r="E16" t="s">
        <v>795</v>
      </c>
    </row>
    <row r="17" spans="1:5" x14ac:dyDescent="0.3">
      <c r="A17" s="16">
        <v>16</v>
      </c>
      <c r="B17" t="s">
        <v>11</v>
      </c>
      <c r="C17" t="s">
        <v>491</v>
      </c>
      <c r="D17" t="str">
        <f>IF(ISNUMBER(MATCH(Tabla4[[#This Row],[Título]],CantoralDB[Título],0)),"OK","-")</f>
        <v>OK</v>
      </c>
      <c r="E17" t="s">
        <v>608</v>
      </c>
    </row>
    <row r="18" spans="1:5" x14ac:dyDescent="0.3">
      <c r="A18" s="16">
        <v>17</v>
      </c>
      <c r="B18" t="s">
        <v>1162</v>
      </c>
      <c r="C18" t="s">
        <v>517</v>
      </c>
      <c r="D18" t="str">
        <f>IF(ISNUMBER(MATCH(Tabla4[[#This Row],[Título]],CantoralDB[Título],0)),"OK","-")</f>
        <v>-</v>
      </c>
      <c r="E18" t="s">
        <v>795</v>
      </c>
    </row>
    <row r="19" spans="1:5" x14ac:dyDescent="0.3">
      <c r="A19" s="16">
        <v>18</v>
      </c>
      <c r="B19" t="s">
        <v>1163</v>
      </c>
      <c r="C19" t="s">
        <v>481</v>
      </c>
      <c r="D19" t="str">
        <f>IF(ISNUMBER(MATCH(Tabla4[[#This Row],[Título]],CantoralDB[Título],0)),"OK","-")</f>
        <v>-</v>
      </c>
      <c r="E19" t="s">
        <v>795</v>
      </c>
    </row>
    <row r="20" spans="1:5" x14ac:dyDescent="0.3">
      <c r="A20" s="16">
        <v>19</v>
      </c>
      <c r="B20" t="s">
        <v>9</v>
      </c>
      <c r="C20" t="s">
        <v>481</v>
      </c>
      <c r="D20" t="str">
        <f>IF(ISNUMBER(MATCH(Tabla4[[#This Row],[Título]],CantoralDB[Título],0)),"OK","-")</f>
        <v>OK</v>
      </c>
      <c r="E20" t="s">
        <v>608</v>
      </c>
    </row>
    <row r="21" spans="1:5" x14ac:dyDescent="0.3">
      <c r="A21" s="16">
        <v>20</v>
      </c>
      <c r="B21" t="s">
        <v>13</v>
      </c>
      <c r="C21" t="s">
        <v>483</v>
      </c>
      <c r="D21" t="str">
        <f>IF(ISNUMBER(MATCH(Tabla4[[#This Row],[Título]],CantoralDB[Título],0)),"OK","-")</f>
        <v>OK</v>
      </c>
      <c r="E21" t="s">
        <v>795</v>
      </c>
    </row>
    <row r="22" spans="1:5" x14ac:dyDescent="0.3">
      <c r="A22" s="16">
        <v>21</v>
      </c>
      <c r="B22" t="s">
        <v>21</v>
      </c>
      <c r="C22" t="s">
        <v>481</v>
      </c>
      <c r="D22" t="str">
        <f>IF(ISNUMBER(MATCH(Tabla4[[#This Row],[Título]],CantoralDB[Título],0)),"OK","-")</f>
        <v>OK</v>
      </c>
      <c r="E22" t="s">
        <v>608</v>
      </c>
    </row>
    <row r="23" spans="1:5" x14ac:dyDescent="0.3">
      <c r="A23" s="16">
        <v>22</v>
      </c>
      <c r="B23" t="s">
        <v>1164</v>
      </c>
      <c r="C23" t="s">
        <v>2078</v>
      </c>
      <c r="D23" t="str">
        <f>IF(ISNUMBER(MATCH(Tabla4[[#This Row],[Título]],CantoralDB[Título],0)),"OK","-")</f>
        <v>OK</v>
      </c>
      <c r="E23" t="s">
        <v>608</v>
      </c>
    </row>
    <row r="24" spans="1:5" x14ac:dyDescent="0.3">
      <c r="A24" s="16">
        <v>23</v>
      </c>
      <c r="B24" t="s">
        <v>204</v>
      </c>
      <c r="C24" t="s">
        <v>541</v>
      </c>
      <c r="D24" t="str">
        <f>IF(ISNUMBER(MATCH(Tabla4[[#This Row],[Título]],CantoralDB[Título],0)),"OK","-")</f>
        <v>OK</v>
      </c>
      <c r="E24" t="s">
        <v>608</v>
      </c>
    </row>
    <row r="25" spans="1:5" x14ac:dyDescent="0.3">
      <c r="A25" s="16">
        <v>24</v>
      </c>
      <c r="B25" t="s">
        <v>1165</v>
      </c>
      <c r="C25" t="s">
        <v>479</v>
      </c>
      <c r="D25" t="str">
        <f>IF(ISNUMBER(MATCH(Tabla4[[#This Row],[Título]],CantoralDB[Título],0)),"OK","-")</f>
        <v>OK</v>
      </c>
      <c r="E25" t="s">
        <v>608</v>
      </c>
    </row>
    <row r="26" spans="1:5" x14ac:dyDescent="0.3">
      <c r="A26" s="16">
        <v>25</v>
      </c>
      <c r="B26" t="s">
        <v>1166</v>
      </c>
      <c r="C26" t="s">
        <v>487</v>
      </c>
      <c r="D26" t="str">
        <f>IF(ISNUMBER(MATCH(Tabla4[[#This Row],[Título]],CantoralDB[Título],0)),"OK","-")</f>
        <v>OK</v>
      </c>
      <c r="E26" t="s">
        <v>795</v>
      </c>
    </row>
    <row r="27" spans="1:5" x14ac:dyDescent="0.3">
      <c r="A27" s="16">
        <v>26</v>
      </c>
      <c r="B27" t="s">
        <v>25</v>
      </c>
      <c r="C27" t="s">
        <v>485</v>
      </c>
      <c r="D27" t="str">
        <f>IF(ISNUMBER(MATCH(Tabla4[[#This Row],[Título]],CantoralDB[Título],0)),"OK","-")</f>
        <v>OK</v>
      </c>
      <c r="E27" t="s">
        <v>608</v>
      </c>
    </row>
    <row r="28" spans="1:5" x14ac:dyDescent="0.3">
      <c r="A28" s="16">
        <v>27</v>
      </c>
      <c r="B28" t="s">
        <v>1167</v>
      </c>
      <c r="C28" t="s">
        <v>481</v>
      </c>
      <c r="D28" t="str">
        <f>IF(ISNUMBER(MATCH(Tabla4[[#This Row],[Título]],CantoralDB[Título],0)),"OK","-")</f>
        <v>OK</v>
      </c>
      <c r="E28" t="s">
        <v>795</v>
      </c>
    </row>
    <row r="29" spans="1:5" x14ac:dyDescent="0.3">
      <c r="A29" s="16">
        <v>28</v>
      </c>
      <c r="B29" t="s">
        <v>3</v>
      </c>
      <c r="C29" t="s">
        <v>498</v>
      </c>
      <c r="D29" t="str">
        <f>IF(ISNUMBER(MATCH(Tabla4[[#This Row],[Título]],CantoralDB[Título],0)),"OK","-")</f>
        <v>OK</v>
      </c>
      <c r="E29" t="s">
        <v>608</v>
      </c>
    </row>
    <row r="30" spans="1:5" x14ac:dyDescent="0.3">
      <c r="A30" s="16">
        <v>29</v>
      </c>
      <c r="B30" t="s">
        <v>1168</v>
      </c>
      <c r="C30" t="s">
        <v>2081</v>
      </c>
      <c r="D30" t="str">
        <f>IF(ISNUMBER(MATCH(Tabla4[[#This Row],[Título]],CantoralDB[Título],0)),"OK","-")</f>
        <v>OK</v>
      </c>
      <c r="E30" t="s">
        <v>795</v>
      </c>
    </row>
    <row r="31" spans="1:5" x14ac:dyDescent="0.3">
      <c r="A31" s="16">
        <v>30</v>
      </c>
      <c r="B31" t="s">
        <v>1169</v>
      </c>
      <c r="C31" t="s">
        <v>2082</v>
      </c>
      <c r="D31" t="str">
        <f>IF(ISNUMBER(MATCH(Tabla4[[#This Row],[Título]],CantoralDB[Título],0)),"OK","-")</f>
        <v>OK</v>
      </c>
      <c r="E31" t="s">
        <v>795</v>
      </c>
    </row>
    <row r="32" spans="1:5" x14ac:dyDescent="0.3">
      <c r="A32" s="16">
        <v>31</v>
      </c>
      <c r="B32" t="s">
        <v>4</v>
      </c>
      <c r="C32" t="s">
        <v>2080</v>
      </c>
      <c r="D32" t="str">
        <f>IF(ISNUMBER(MATCH(Tabla4[[#This Row],[Título]],CantoralDB[Título],0)),"OK","-")</f>
        <v>OK</v>
      </c>
      <c r="E32" t="s">
        <v>608</v>
      </c>
    </row>
    <row r="33" spans="1:5" x14ac:dyDescent="0.3">
      <c r="A33" s="16">
        <v>32</v>
      </c>
      <c r="B33" t="s">
        <v>2</v>
      </c>
      <c r="C33" t="s">
        <v>480</v>
      </c>
      <c r="D33" t="str">
        <f>IF(ISNUMBER(MATCH(Tabla4[[#This Row],[Título]],CantoralDB[Título],0)),"OK","-")</f>
        <v>OK</v>
      </c>
      <c r="E33" t="s">
        <v>608</v>
      </c>
    </row>
    <row r="34" spans="1:5" x14ac:dyDescent="0.3">
      <c r="A34" s="16">
        <v>33</v>
      </c>
      <c r="B34" t="s">
        <v>1170</v>
      </c>
      <c r="C34" t="s">
        <v>487</v>
      </c>
      <c r="D34" t="str">
        <f>IF(ISNUMBER(MATCH(Tabla4[[#This Row],[Título]],CantoralDB[Título],0)),"OK","-")</f>
        <v>OK</v>
      </c>
      <c r="E34" t="s">
        <v>795</v>
      </c>
    </row>
    <row r="35" spans="1:5" x14ac:dyDescent="0.3">
      <c r="A35" s="16">
        <v>34</v>
      </c>
      <c r="B35" t="s">
        <v>27</v>
      </c>
      <c r="C35" t="s">
        <v>543</v>
      </c>
      <c r="D35" t="str">
        <f>IF(ISNUMBER(MATCH(Tabla4[[#This Row],[Título]],CantoralDB[Título],0)),"OK","-")</f>
        <v>OK</v>
      </c>
      <c r="E35" t="s">
        <v>608</v>
      </c>
    </row>
    <row r="36" spans="1:5" x14ac:dyDescent="0.3">
      <c r="A36" s="16">
        <v>35</v>
      </c>
      <c r="B36" t="s">
        <v>1171</v>
      </c>
      <c r="C36" t="s">
        <v>491</v>
      </c>
      <c r="D36" t="str">
        <f>IF(ISNUMBER(MATCH(Tabla4[[#This Row],[Título]],CantoralDB[Título],0)),"OK","-")</f>
        <v>OK</v>
      </c>
      <c r="E36" t="s">
        <v>608</v>
      </c>
    </row>
    <row r="37" spans="1:5" x14ac:dyDescent="0.3">
      <c r="A37" s="16">
        <v>36</v>
      </c>
      <c r="B37" t="s">
        <v>1174</v>
      </c>
      <c r="C37" t="s">
        <v>481</v>
      </c>
      <c r="D37" t="str">
        <f>IF(ISNUMBER(MATCH(Tabla4[[#This Row],[Título]],CantoralDB[Título],0)),"OK","-")</f>
        <v>-</v>
      </c>
      <c r="E37" t="s">
        <v>795</v>
      </c>
    </row>
    <row r="38" spans="1:5" x14ac:dyDescent="0.3">
      <c r="A38" s="16">
        <v>37</v>
      </c>
      <c r="B38" t="s">
        <v>1173</v>
      </c>
      <c r="C38" t="s">
        <v>509</v>
      </c>
      <c r="D38" t="str">
        <f>IF(ISNUMBER(MATCH(Tabla4[[#This Row],[Título]],CantoralDB[Título],0)),"OK","-")</f>
        <v>OK</v>
      </c>
      <c r="E38" t="s">
        <v>795</v>
      </c>
    </row>
    <row r="39" spans="1:5" x14ac:dyDescent="0.3">
      <c r="A39" s="16">
        <v>38</v>
      </c>
      <c r="B39" t="s">
        <v>28</v>
      </c>
      <c r="C39" t="s">
        <v>483</v>
      </c>
      <c r="D39" t="str">
        <f>IF(ISNUMBER(MATCH(Tabla4[[#This Row],[Título]],CantoralDB[Título],0)),"OK","-")</f>
        <v>OK</v>
      </c>
      <c r="E39" t="s">
        <v>608</v>
      </c>
    </row>
    <row r="40" spans="1:5" x14ac:dyDescent="0.3">
      <c r="A40" s="16">
        <v>39</v>
      </c>
      <c r="B40" t="s">
        <v>1172</v>
      </c>
      <c r="C40" t="s">
        <v>491</v>
      </c>
      <c r="D40" t="str">
        <f>IF(ISNUMBER(MATCH(Tabla4[[#This Row],[Título]],CantoralDB[Título],0)),"OK","-")</f>
        <v>OK</v>
      </c>
      <c r="E40" t="s">
        <v>795</v>
      </c>
    </row>
    <row r="41" spans="1:5" x14ac:dyDescent="0.3">
      <c r="A41" s="16">
        <v>40</v>
      </c>
      <c r="B41" t="s">
        <v>546</v>
      </c>
      <c r="C41" t="s">
        <v>517</v>
      </c>
      <c r="D41" t="str">
        <f>IF(ISNUMBER(MATCH(Tabla4[[#This Row],[Título]],CantoralDB[Título],0)),"OK","-")</f>
        <v>OK</v>
      </c>
      <c r="E41" t="s">
        <v>608</v>
      </c>
    </row>
    <row r="42" spans="1:5" x14ac:dyDescent="0.3">
      <c r="A42" s="16">
        <v>41</v>
      </c>
      <c r="B42" t="s">
        <v>31</v>
      </c>
      <c r="C42" t="s">
        <v>481</v>
      </c>
      <c r="D42" t="str">
        <f>IF(ISNUMBER(MATCH(Tabla4[[#This Row],[Título]],CantoralDB[Título],0)),"OK","-")</f>
        <v>OK</v>
      </c>
      <c r="E42" t="s">
        <v>608</v>
      </c>
    </row>
    <row r="43" spans="1:5" x14ac:dyDescent="0.3">
      <c r="A43" s="16">
        <v>42</v>
      </c>
      <c r="B43" t="s">
        <v>238</v>
      </c>
      <c r="C43" t="s">
        <v>481</v>
      </c>
      <c r="D43" t="str">
        <f>IF(ISNUMBER(MATCH(Tabla4[[#This Row],[Título]],CantoralDB[Título],0)),"OK","-")</f>
        <v>OK</v>
      </c>
      <c r="E43" t="s">
        <v>608</v>
      </c>
    </row>
    <row r="44" spans="1:5" x14ac:dyDescent="0.3">
      <c r="A44" s="16">
        <v>43</v>
      </c>
      <c r="B44" t="s">
        <v>1175</v>
      </c>
      <c r="C44" t="s">
        <v>2083</v>
      </c>
      <c r="D44" t="str">
        <f>IF(ISNUMBER(MATCH(Tabla4[[#This Row],[Título]],CantoralDB[Título],0)),"OK","-")</f>
        <v>OK</v>
      </c>
      <c r="E44" t="s">
        <v>795</v>
      </c>
    </row>
    <row r="45" spans="1:5" x14ac:dyDescent="0.3">
      <c r="A45" s="16">
        <v>44</v>
      </c>
      <c r="B45" t="s">
        <v>1176</v>
      </c>
      <c r="C45" t="s">
        <v>479</v>
      </c>
      <c r="D45" t="str">
        <f>IF(ISNUMBER(MATCH(Tabla4[[#This Row],[Título]],CantoralDB[Título],0)),"OK","-")</f>
        <v>OK</v>
      </c>
      <c r="E45" t="s">
        <v>795</v>
      </c>
    </row>
    <row r="46" spans="1:5" x14ac:dyDescent="0.3">
      <c r="A46" s="16">
        <v>45</v>
      </c>
      <c r="B46" t="s">
        <v>30</v>
      </c>
      <c r="C46" t="s">
        <v>498</v>
      </c>
      <c r="D46" t="str">
        <f>IF(ISNUMBER(MATCH(Tabla4[[#This Row],[Título]],CantoralDB[Título],0)),"OK","-")</f>
        <v>OK</v>
      </c>
      <c r="E46" t="s">
        <v>608</v>
      </c>
    </row>
    <row r="47" spans="1:5" x14ac:dyDescent="0.3">
      <c r="A47" s="16">
        <v>46</v>
      </c>
      <c r="B47" t="s">
        <v>1177</v>
      </c>
      <c r="C47" t="s">
        <v>2083</v>
      </c>
      <c r="D47" t="str">
        <f>IF(ISNUMBER(MATCH(Tabla4[[#This Row],[Título]],CantoralDB[Título],0)),"OK","-")</f>
        <v>OK</v>
      </c>
      <c r="E47" t="s">
        <v>795</v>
      </c>
    </row>
    <row r="48" spans="1:5" x14ac:dyDescent="0.3">
      <c r="A48" s="16">
        <v>47</v>
      </c>
      <c r="B48" t="s">
        <v>1178</v>
      </c>
      <c r="C48" t="s">
        <v>2084</v>
      </c>
      <c r="D48" t="str">
        <f>IF(ISNUMBER(MATCH(Tabla4[[#This Row],[Título]],CantoralDB[Título],0)),"OK","-")</f>
        <v>-</v>
      </c>
      <c r="E48" t="s">
        <v>795</v>
      </c>
    </row>
    <row r="49" spans="1:5" x14ac:dyDescent="0.3">
      <c r="A49" s="16">
        <v>48</v>
      </c>
      <c r="B49" t="s">
        <v>1179</v>
      </c>
      <c r="C49" t="s">
        <v>485</v>
      </c>
      <c r="D49" t="str">
        <f>IF(ISNUMBER(MATCH(Tabla4[[#This Row],[Título]],CantoralDB[Título],0)),"OK","-")</f>
        <v>OK</v>
      </c>
      <c r="E49" t="s">
        <v>795</v>
      </c>
    </row>
    <row r="50" spans="1:5" x14ac:dyDescent="0.3">
      <c r="A50" s="16">
        <v>49</v>
      </c>
      <c r="B50" t="s">
        <v>1180</v>
      </c>
      <c r="C50" t="s">
        <v>2087</v>
      </c>
      <c r="D50" t="str">
        <f>IF(ISNUMBER(MATCH(Tabla4[[#This Row],[Título]],CantoralDB[Título],0)),"OK","-")</f>
        <v>OK</v>
      </c>
      <c r="E50" t="s">
        <v>795</v>
      </c>
    </row>
    <row r="51" spans="1:5" x14ac:dyDescent="0.3">
      <c r="A51" s="16">
        <v>50</v>
      </c>
      <c r="B51" t="s">
        <v>32</v>
      </c>
      <c r="C51" t="s">
        <v>543</v>
      </c>
      <c r="D51" t="str">
        <f>IF(ISNUMBER(MATCH(Tabla4[[#This Row],[Título]],CantoralDB[Título],0)),"OK","-")</f>
        <v>OK</v>
      </c>
      <c r="E51" t="s">
        <v>608</v>
      </c>
    </row>
    <row r="52" spans="1:5" x14ac:dyDescent="0.3">
      <c r="A52" s="16">
        <v>51</v>
      </c>
      <c r="B52" t="s">
        <v>35</v>
      </c>
      <c r="C52" t="s">
        <v>479</v>
      </c>
      <c r="D52" t="str">
        <f>IF(ISNUMBER(MATCH(Tabla4[[#This Row],[Título]],CantoralDB[Título],0)),"OK","-")</f>
        <v>OK</v>
      </c>
      <c r="E52" t="s">
        <v>608</v>
      </c>
    </row>
    <row r="53" spans="1:5" x14ac:dyDescent="0.3">
      <c r="A53" s="16">
        <v>52</v>
      </c>
      <c r="B53" t="s">
        <v>33</v>
      </c>
      <c r="C53" t="s">
        <v>479</v>
      </c>
      <c r="D53" t="str">
        <f>IF(ISNUMBER(MATCH(Tabla4[[#This Row],[Título]],CantoralDB[Título],0)),"OK","-")</f>
        <v>OK</v>
      </c>
      <c r="E53" t="s">
        <v>608</v>
      </c>
    </row>
    <row r="54" spans="1:5" x14ac:dyDescent="0.3">
      <c r="A54" s="16">
        <v>53</v>
      </c>
      <c r="B54" t="s">
        <v>1181</v>
      </c>
      <c r="C54" t="s">
        <v>509</v>
      </c>
      <c r="D54" t="str">
        <f>IF(ISNUMBER(MATCH(Tabla4[[#This Row],[Título]],CantoralDB[Título],0)),"OK","-")</f>
        <v>OK</v>
      </c>
      <c r="E54" t="s">
        <v>795</v>
      </c>
    </row>
    <row r="55" spans="1:5" x14ac:dyDescent="0.3">
      <c r="A55" s="16" t="s">
        <v>1187</v>
      </c>
      <c r="B55" t="s">
        <v>1182</v>
      </c>
      <c r="C55" t="s">
        <v>486</v>
      </c>
      <c r="D55" t="str">
        <f>IF(ISNUMBER(MATCH(Tabla4[[#This Row],[Título]],CantoralDB[Título],0)),"OK","-")</f>
        <v>OK</v>
      </c>
      <c r="E55" t="s">
        <v>795</v>
      </c>
    </row>
    <row r="56" spans="1:5" x14ac:dyDescent="0.3">
      <c r="A56" s="16">
        <v>54</v>
      </c>
      <c r="B56" t="s">
        <v>1183</v>
      </c>
      <c r="C56" t="s">
        <v>2080</v>
      </c>
      <c r="D56" t="str">
        <f>IF(ISNUMBER(MATCH(Tabla4[[#This Row],[Título]],CantoralDB[Título],0)),"OK","-")</f>
        <v>OK</v>
      </c>
      <c r="E56" t="s">
        <v>795</v>
      </c>
    </row>
    <row r="57" spans="1:5" x14ac:dyDescent="0.3">
      <c r="A57" s="16">
        <v>55</v>
      </c>
      <c r="B57" t="s">
        <v>1184</v>
      </c>
      <c r="C57" t="s">
        <v>479</v>
      </c>
      <c r="D57" t="str">
        <f>IF(ISNUMBER(MATCH(Tabla4[[#This Row],[Título]],CantoralDB[Título],0)),"OK","-")</f>
        <v>OK</v>
      </c>
      <c r="E57" t="s">
        <v>795</v>
      </c>
    </row>
    <row r="58" spans="1:5" x14ac:dyDescent="0.3">
      <c r="A58" s="16">
        <v>56</v>
      </c>
      <c r="B58" t="s">
        <v>1185</v>
      </c>
      <c r="C58" t="s">
        <v>488</v>
      </c>
      <c r="D58" t="str">
        <f>IF(ISNUMBER(MATCH(Tabla4[[#This Row],[Título]],CantoralDB[Título],0)),"OK","-")</f>
        <v>OK</v>
      </c>
      <c r="E58" t="s">
        <v>795</v>
      </c>
    </row>
    <row r="59" spans="1:5" x14ac:dyDescent="0.3">
      <c r="A59" s="16">
        <v>57</v>
      </c>
      <c r="B59" t="s">
        <v>1186</v>
      </c>
      <c r="C59" t="s">
        <v>479</v>
      </c>
      <c r="D59" t="str">
        <f>IF(ISNUMBER(MATCH(Tabla4[[#This Row],[Título]],CantoralDB[Título],0)),"OK","-")</f>
        <v>OK</v>
      </c>
      <c r="E59" t="s">
        <v>795</v>
      </c>
    </row>
    <row r="60" spans="1:5" x14ac:dyDescent="0.3">
      <c r="A60" s="16">
        <v>58</v>
      </c>
      <c r="B60" t="s">
        <v>1188</v>
      </c>
      <c r="C60" t="s">
        <v>479</v>
      </c>
      <c r="D60" t="str">
        <f>IF(ISNUMBER(MATCH(Tabla4[[#This Row],[Título]],CantoralDB[Título],0)),"OK","-")</f>
        <v>OK</v>
      </c>
      <c r="E60" t="s">
        <v>795</v>
      </c>
    </row>
    <row r="61" spans="1:5" x14ac:dyDescent="0.3">
      <c r="A61" s="16">
        <v>59</v>
      </c>
      <c r="B61" t="s">
        <v>41</v>
      </c>
      <c r="C61" t="s">
        <v>479</v>
      </c>
      <c r="D61" t="str">
        <f>IF(ISNUMBER(MATCH(Tabla4[[#This Row],[Título]],CantoralDB[Título],0)),"OK","-")</f>
        <v>OK</v>
      </c>
      <c r="E61" t="s">
        <v>608</v>
      </c>
    </row>
    <row r="62" spans="1:5" x14ac:dyDescent="0.3">
      <c r="A62" s="16">
        <v>60</v>
      </c>
      <c r="B62" t="s">
        <v>36</v>
      </c>
      <c r="C62" t="s">
        <v>487</v>
      </c>
      <c r="D62" t="str">
        <f>IF(ISNUMBER(MATCH(Tabla4[[#This Row],[Título]],CantoralDB[Título],0)),"OK","-")</f>
        <v>OK</v>
      </c>
      <c r="E62" t="s">
        <v>608</v>
      </c>
    </row>
    <row r="63" spans="1:5" x14ac:dyDescent="0.3">
      <c r="A63" s="16">
        <v>61</v>
      </c>
      <c r="B63" t="s">
        <v>1189</v>
      </c>
      <c r="C63" t="s">
        <v>2086</v>
      </c>
      <c r="D63" t="str">
        <f>IF(ISNUMBER(MATCH(Tabla4[[#This Row],[Título]],CantoralDB[Título],0)),"OK","-")</f>
        <v>OK</v>
      </c>
      <c r="E63" t="s">
        <v>795</v>
      </c>
    </row>
    <row r="64" spans="1:5" x14ac:dyDescent="0.3">
      <c r="A64" s="16">
        <v>62</v>
      </c>
      <c r="B64" t="s">
        <v>1190</v>
      </c>
      <c r="C64" t="s">
        <v>481</v>
      </c>
      <c r="D64" t="str">
        <f>IF(ISNUMBER(MATCH(Tabla4[[#This Row],[Título]],CantoralDB[Título],0)),"OK","-")</f>
        <v>OK</v>
      </c>
      <c r="E64" t="s">
        <v>795</v>
      </c>
    </row>
    <row r="65" spans="1:5" x14ac:dyDescent="0.3">
      <c r="A65" s="16">
        <v>63</v>
      </c>
      <c r="B65" t="s">
        <v>40</v>
      </c>
      <c r="C65" t="s">
        <v>479</v>
      </c>
      <c r="D65" t="str">
        <f>IF(ISNUMBER(MATCH(Tabla4[[#This Row],[Título]],CantoralDB[Título],0)),"OK","-")</f>
        <v>OK</v>
      </c>
      <c r="E65" t="s">
        <v>608</v>
      </c>
    </row>
    <row r="66" spans="1:5" x14ac:dyDescent="0.3">
      <c r="A66" s="16">
        <v>64</v>
      </c>
      <c r="B66" t="s">
        <v>1191</v>
      </c>
      <c r="C66" t="s">
        <v>2085</v>
      </c>
      <c r="D66" t="str">
        <f>IF(ISNUMBER(MATCH(Tabla4[[#This Row],[Título]],CantoralDB[Título],0)),"OK","-")</f>
        <v>OK</v>
      </c>
      <c r="E66" t="s">
        <v>795</v>
      </c>
    </row>
    <row r="67" spans="1:5" x14ac:dyDescent="0.3">
      <c r="A67" s="16">
        <v>65</v>
      </c>
      <c r="B67" t="s">
        <v>39</v>
      </c>
      <c r="C67" t="s">
        <v>268</v>
      </c>
      <c r="D67" t="str">
        <f>IF(ISNUMBER(MATCH(Tabla4[[#This Row],[Título]],CantoralDB[Título],0)),"OK","-")</f>
        <v>OK</v>
      </c>
      <c r="E67" t="s">
        <v>608</v>
      </c>
    </row>
    <row r="68" spans="1:5" x14ac:dyDescent="0.3">
      <c r="A68" s="16" t="s">
        <v>1192</v>
      </c>
      <c r="B68" t="s">
        <v>34</v>
      </c>
      <c r="C68" t="s">
        <v>480</v>
      </c>
      <c r="D68" t="str">
        <f>IF(ISNUMBER(MATCH(Tabla4[[#This Row],[Título]],CantoralDB[Título],0)),"OK","-")</f>
        <v>OK</v>
      </c>
      <c r="E68" t="s">
        <v>608</v>
      </c>
    </row>
    <row r="69" spans="1:5" x14ac:dyDescent="0.3">
      <c r="A69" s="16">
        <v>66</v>
      </c>
      <c r="B69" t="s">
        <v>1193</v>
      </c>
      <c r="C69" t="s">
        <v>487</v>
      </c>
      <c r="D69" t="str">
        <f>IF(ISNUMBER(MATCH(Tabla4[[#This Row],[Título]],CantoralDB[Título],0)),"OK","-")</f>
        <v>OK</v>
      </c>
      <c r="E69" t="s">
        <v>795</v>
      </c>
    </row>
    <row r="70" spans="1:5" x14ac:dyDescent="0.3">
      <c r="A70" s="16">
        <v>67</v>
      </c>
      <c r="B70" t="s">
        <v>42</v>
      </c>
      <c r="C70" t="s">
        <v>487</v>
      </c>
      <c r="D70" t="str">
        <f>IF(ISNUMBER(MATCH(Tabla4[[#This Row],[Título]],CantoralDB[Título],0)),"OK","-")</f>
        <v>OK</v>
      </c>
      <c r="E70" t="s">
        <v>608</v>
      </c>
    </row>
    <row r="71" spans="1:5" x14ac:dyDescent="0.3">
      <c r="A71" s="16">
        <v>68</v>
      </c>
      <c r="B71" t="s">
        <v>1194</v>
      </c>
      <c r="C71" t="s">
        <v>479</v>
      </c>
      <c r="D71" t="str">
        <f>IF(ISNUMBER(MATCH(Tabla4[[#This Row],[Título]],CantoralDB[Título],0)),"OK","-")</f>
        <v>OK</v>
      </c>
      <c r="E71" t="s">
        <v>795</v>
      </c>
    </row>
    <row r="72" spans="1:5" x14ac:dyDescent="0.3">
      <c r="A72" s="16">
        <v>69</v>
      </c>
      <c r="B72" t="s">
        <v>1195</v>
      </c>
      <c r="C72" t="s">
        <v>2088</v>
      </c>
      <c r="D72" t="str">
        <f>IF(ISNUMBER(MATCH(Tabla4[[#This Row],[Título]],CantoralDB[Título],0)),"OK","-")</f>
        <v>OK</v>
      </c>
      <c r="E72" t="s">
        <v>795</v>
      </c>
    </row>
    <row r="73" spans="1:5" x14ac:dyDescent="0.3">
      <c r="A73" s="16">
        <v>70</v>
      </c>
      <c r="B73" t="s">
        <v>1196</v>
      </c>
      <c r="C73" t="s">
        <v>483</v>
      </c>
      <c r="D73" t="str">
        <f>IF(ISNUMBER(MATCH(Tabla4[[#This Row],[Título]],CantoralDB[Título],0)),"OK","-")</f>
        <v>OK</v>
      </c>
      <c r="E73" t="s">
        <v>795</v>
      </c>
    </row>
    <row r="74" spans="1:5" x14ac:dyDescent="0.3">
      <c r="A74" s="16">
        <v>71</v>
      </c>
      <c r="B74" t="s">
        <v>1197</v>
      </c>
      <c r="C74" t="s">
        <v>481</v>
      </c>
      <c r="D74" t="str">
        <f>IF(ISNUMBER(MATCH(Tabla4[[#This Row],[Título]],CantoralDB[Título],0)),"OK","-")</f>
        <v>OK</v>
      </c>
      <c r="E74" t="s">
        <v>795</v>
      </c>
    </row>
    <row r="75" spans="1:5" x14ac:dyDescent="0.3">
      <c r="A75" s="16">
        <v>72</v>
      </c>
      <c r="B75" t="s">
        <v>1198</v>
      </c>
      <c r="C75" t="s">
        <v>517</v>
      </c>
      <c r="D75" t="str">
        <f>IF(ISNUMBER(MATCH(Tabla4[[#This Row],[Título]],CantoralDB[Título],0)),"OK","-")</f>
        <v>OK</v>
      </c>
      <c r="E75" t="s">
        <v>795</v>
      </c>
    </row>
    <row r="76" spans="1:5" x14ac:dyDescent="0.3">
      <c r="A76" s="16">
        <v>73</v>
      </c>
      <c r="B76" t="s">
        <v>1199</v>
      </c>
      <c r="C76" t="s">
        <v>491</v>
      </c>
      <c r="D76" t="str">
        <f>IF(ISNUMBER(MATCH(Tabla4[[#This Row],[Título]],CantoralDB[Título],0)),"OK","-")</f>
        <v>-</v>
      </c>
      <c r="E76" t="s">
        <v>795</v>
      </c>
    </row>
    <row r="77" spans="1:5" x14ac:dyDescent="0.3">
      <c r="A77" s="16">
        <v>74</v>
      </c>
      <c r="B77" t="s">
        <v>1200</v>
      </c>
      <c r="C77" t="s">
        <v>2077</v>
      </c>
      <c r="D77" t="str">
        <f>IF(ISNUMBER(MATCH(Tabla4[[#This Row],[Título]],CantoralDB[Título],0)),"OK","-")</f>
        <v>OK</v>
      </c>
      <c r="E77" t="s">
        <v>795</v>
      </c>
    </row>
    <row r="78" spans="1:5" x14ac:dyDescent="0.3">
      <c r="A78" s="16">
        <v>75</v>
      </c>
      <c r="B78" t="s">
        <v>43</v>
      </c>
      <c r="C78" t="s">
        <v>491</v>
      </c>
      <c r="D78" t="str">
        <f>IF(ISNUMBER(MATCH(Tabla4[[#This Row],[Título]],CantoralDB[Título],0)),"OK","-")</f>
        <v>OK</v>
      </c>
      <c r="E78" t="s">
        <v>608</v>
      </c>
    </row>
    <row r="79" spans="1:5" x14ac:dyDescent="0.3">
      <c r="A79" s="16">
        <v>76</v>
      </c>
      <c r="B79" t="s">
        <v>1201</v>
      </c>
      <c r="C79" t="s">
        <v>509</v>
      </c>
      <c r="D79" t="str">
        <f>IF(ISNUMBER(MATCH(Tabla4[[#This Row],[Título]],CantoralDB[Título],0)),"OK","-")</f>
        <v>OK</v>
      </c>
      <c r="E79" t="s">
        <v>795</v>
      </c>
    </row>
    <row r="80" spans="1:5" x14ac:dyDescent="0.3">
      <c r="A80" s="16">
        <v>77</v>
      </c>
      <c r="B80" t="s">
        <v>46</v>
      </c>
      <c r="C80" t="s">
        <v>491</v>
      </c>
      <c r="D80" t="str">
        <f>IF(ISNUMBER(MATCH(Tabla4[[#This Row],[Título]],CantoralDB[Título],0)),"OK","-")</f>
        <v>OK</v>
      </c>
      <c r="E80" t="s">
        <v>608</v>
      </c>
    </row>
    <row r="81" spans="1:5" x14ac:dyDescent="0.3">
      <c r="A81" s="16">
        <v>78</v>
      </c>
      <c r="B81" t="s">
        <v>1202</v>
      </c>
      <c r="C81" t="s">
        <v>509</v>
      </c>
      <c r="D81" t="str">
        <f>IF(ISNUMBER(MATCH(Tabla4[[#This Row],[Título]],CantoralDB[Título],0)),"OK","-")</f>
        <v>OK</v>
      </c>
      <c r="E81" t="s">
        <v>795</v>
      </c>
    </row>
    <row r="82" spans="1:5" x14ac:dyDescent="0.3">
      <c r="A82" s="16">
        <v>79</v>
      </c>
      <c r="B82" t="s">
        <v>2120</v>
      </c>
      <c r="C82" t="s">
        <v>487</v>
      </c>
      <c r="D82" t="str">
        <f>IF(ISNUMBER(MATCH(Tabla4[[#This Row],[Título]],CantoralDB[Título],0)),"OK","-")</f>
        <v>OK</v>
      </c>
      <c r="E82" t="s">
        <v>795</v>
      </c>
    </row>
    <row r="83" spans="1:5" x14ac:dyDescent="0.3">
      <c r="A83" s="16">
        <v>80</v>
      </c>
      <c r="B83" t="s">
        <v>1203</v>
      </c>
      <c r="C83" t="s">
        <v>2087</v>
      </c>
      <c r="D83" t="str">
        <f>IF(ISNUMBER(MATCH(Tabla4[[#This Row],[Título]],CantoralDB[Título],0)),"OK","-")</f>
        <v>OK</v>
      </c>
      <c r="E83" t="s">
        <v>795</v>
      </c>
    </row>
    <row r="84" spans="1:5" x14ac:dyDescent="0.3">
      <c r="A84" s="16">
        <v>81</v>
      </c>
      <c r="B84" t="s">
        <v>1204</v>
      </c>
      <c r="C84" t="s">
        <v>2082</v>
      </c>
      <c r="D84" t="str">
        <f>IF(ISNUMBER(MATCH(Tabla4[[#This Row],[Título]],CantoralDB[Título],0)),"OK","-")</f>
        <v>OK</v>
      </c>
      <c r="E84" t="s">
        <v>608</v>
      </c>
    </row>
    <row r="85" spans="1:5" x14ac:dyDescent="0.3">
      <c r="A85" s="16" t="s">
        <v>1206</v>
      </c>
      <c r="B85" t="s">
        <v>1205</v>
      </c>
      <c r="C85" t="s">
        <v>479</v>
      </c>
      <c r="D85" t="str">
        <f>IF(ISNUMBER(MATCH(Tabla4[[#This Row],[Título]],CantoralDB[Título],0)),"OK","-")</f>
        <v>-</v>
      </c>
      <c r="E85" t="s">
        <v>795</v>
      </c>
    </row>
    <row r="86" spans="1:5" x14ac:dyDescent="0.3">
      <c r="A86" s="16">
        <v>82</v>
      </c>
      <c r="B86" t="s">
        <v>1207</v>
      </c>
      <c r="C86" t="s">
        <v>479</v>
      </c>
      <c r="D86" t="str">
        <f>IF(ISNUMBER(MATCH(Tabla4[[#This Row],[Título]],CantoralDB[Título],0)),"OK","-")</f>
        <v>OK</v>
      </c>
      <c r="E86" t="s">
        <v>795</v>
      </c>
    </row>
    <row r="87" spans="1:5" x14ac:dyDescent="0.3">
      <c r="A87" s="16">
        <v>83</v>
      </c>
      <c r="B87" t="s">
        <v>44</v>
      </c>
      <c r="C87" t="s">
        <v>2089</v>
      </c>
      <c r="D87" t="str">
        <f>IF(ISNUMBER(MATCH(Tabla4[[#This Row],[Título]],CantoralDB[Título],0)),"OK","-")</f>
        <v>OK</v>
      </c>
      <c r="E87" t="s">
        <v>608</v>
      </c>
    </row>
    <row r="88" spans="1:5" x14ac:dyDescent="0.3">
      <c r="A88" s="16">
        <v>84</v>
      </c>
      <c r="B88" t="s">
        <v>47</v>
      </c>
      <c r="C88" t="s">
        <v>485</v>
      </c>
      <c r="D88" t="str">
        <f>IF(ISNUMBER(MATCH(Tabla4[[#This Row],[Título]],CantoralDB[Título],0)),"OK","-")</f>
        <v>OK</v>
      </c>
      <c r="E88" t="s">
        <v>608</v>
      </c>
    </row>
    <row r="89" spans="1:5" x14ac:dyDescent="0.3">
      <c r="A89" s="16">
        <v>85</v>
      </c>
      <c r="B89" t="s">
        <v>1208</v>
      </c>
      <c r="C89" t="s">
        <v>2090</v>
      </c>
      <c r="D89" t="str">
        <f>IF(ISNUMBER(MATCH(Tabla4[[#This Row],[Título]],CantoralDB[Título],0)),"OK","-")</f>
        <v>OK</v>
      </c>
      <c r="E89" t="s">
        <v>795</v>
      </c>
    </row>
    <row r="90" spans="1:5" x14ac:dyDescent="0.3">
      <c r="A90" s="16">
        <v>86</v>
      </c>
      <c r="B90" t="s">
        <v>548</v>
      </c>
      <c r="C90" t="s">
        <v>517</v>
      </c>
      <c r="D90" t="str">
        <f>IF(ISNUMBER(MATCH(Tabla4[[#This Row],[Título]],CantoralDB[Título],0)),"OK","-")</f>
        <v>OK</v>
      </c>
      <c r="E90" t="s">
        <v>608</v>
      </c>
    </row>
    <row r="91" spans="1:5" x14ac:dyDescent="0.3">
      <c r="A91" s="16">
        <v>87</v>
      </c>
      <c r="B91" t="s">
        <v>1209</v>
      </c>
      <c r="C91" t="s">
        <v>479</v>
      </c>
      <c r="D91" t="str">
        <f>IF(ISNUMBER(MATCH(Tabla4[[#This Row],[Título]],CantoralDB[Título],0)),"OK","-")</f>
        <v>OK</v>
      </c>
      <c r="E91" t="s">
        <v>795</v>
      </c>
    </row>
    <row r="92" spans="1:5" x14ac:dyDescent="0.3">
      <c r="A92" s="16">
        <v>88</v>
      </c>
      <c r="B92" t="s">
        <v>1210</v>
      </c>
      <c r="C92" t="s">
        <v>486</v>
      </c>
      <c r="D92" t="str">
        <f>IF(ISNUMBER(MATCH(Tabla4[[#This Row],[Título]],CantoralDB[Título],0)),"OK","-")</f>
        <v>OK</v>
      </c>
      <c r="E92" t="s">
        <v>795</v>
      </c>
    </row>
    <row r="93" spans="1:5" x14ac:dyDescent="0.3">
      <c r="A93" s="16">
        <v>89</v>
      </c>
      <c r="B93" t="s">
        <v>1211</v>
      </c>
      <c r="C93" t="s">
        <v>483</v>
      </c>
      <c r="D93" t="str">
        <f>IF(ISNUMBER(MATCH(Tabla4[[#This Row],[Título]],CantoralDB[Título],0)),"OK","-")</f>
        <v>OK</v>
      </c>
      <c r="E93" t="s">
        <v>795</v>
      </c>
    </row>
    <row r="94" spans="1:5" x14ac:dyDescent="0.3">
      <c r="A94" s="16">
        <v>90</v>
      </c>
      <c r="B94" t="s">
        <v>1212</v>
      </c>
      <c r="C94" t="s">
        <v>487</v>
      </c>
      <c r="D94" t="str">
        <f>IF(ISNUMBER(MATCH(Tabla4[[#This Row],[Título]],CantoralDB[Título],0)),"OK","-")</f>
        <v>OK</v>
      </c>
      <c r="E94" t="s">
        <v>795</v>
      </c>
    </row>
    <row r="95" spans="1:5" x14ac:dyDescent="0.3">
      <c r="A95" s="16">
        <v>91</v>
      </c>
      <c r="B95" t="s">
        <v>1213</v>
      </c>
      <c r="C95" t="s">
        <v>481</v>
      </c>
      <c r="D95" t="str">
        <f>IF(ISNUMBER(MATCH(Tabla4[[#This Row],[Título]],CantoralDB[Título],0)),"OK","-")</f>
        <v>-</v>
      </c>
      <c r="E95" t="s">
        <v>795</v>
      </c>
    </row>
    <row r="96" spans="1:5" x14ac:dyDescent="0.3">
      <c r="A96" s="16">
        <v>92</v>
      </c>
      <c r="B96" t="s">
        <v>54</v>
      </c>
      <c r="C96" t="s">
        <v>543</v>
      </c>
      <c r="D96" t="str">
        <f>IF(ISNUMBER(MATCH(Tabla4[[#This Row],[Título]],CantoralDB[Título],0)),"OK","-")</f>
        <v>OK</v>
      </c>
      <c r="E96" t="s">
        <v>608</v>
      </c>
    </row>
    <row r="97" spans="1:5" x14ac:dyDescent="0.3">
      <c r="A97" s="16">
        <v>93</v>
      </c>
      <c r="B97" t="s">
        <v>1214</v>
      </c>
      <c r="C97" t="s">
        <v>481</v>
      </c>
      <c r="D97" t="str">
        <f>IF(ISNUMBER(MATCH(Tabla4[[#This Row],[Título]],CantoralDB[Título],0)),"OK","-")</f>
        <v>OK</v>
      </c>
      <c r="E97" t="s">
        <v>795</v>
      </c>
    </row>
    <row r="98" spans="1:5" x14ac:dyDescent="0.3">
      <c r="A98" s="16">
        <v>94</v>
      </c>
      <c r="B98" t="s">
        <v>58</v>
      </c>
      <c r="C98" t="s">
        <v>491</v>
      </c>
      <c r="D98" t="str">
        <f>IF(ISNUMBER(MATCH(Tabla4[[#This Row],[Título]],CantoralDB[Título],0)),"OK","-")</f>
        <v>OK</v>
      </c>
      <c r="E98" t="s">
        <v>608</v>
      </c>
    </row>
    <row r="99" spans="1:5" x14ac:dyDescent="0.3">
      <c r="A99" s="16">
        <v>95</v>
      </c>
      <c r="B99" t="s">
        <v>51</v>
      </c>
      <c r="C99" t="s">
        <v>517</v>
      </c>
      <c r="D99" t="str">
        <f>IF(ISNUMBER(MATCH(Tabla4[[#This Row],[Título]],CantoralDB[Título],0)),"OK","-")</f>
        <v>OK</v>
      </c>
      <c r="E99" t="s">
        <v>608</v>
      </c>
    </row>
    <row r="100" spans="1:5" x14ac:dyDescent="0.3">
      <c r="A100" s="16">
        <v>96</v>
      </c>
      <c r="B100" t="s">
        <v>52</v>
      </c>
      <c r="C100" t="s">
        <v>2089</v>
      </c>
      <c r="D100" t="str">
        <f>IF(ISNUMBER(MATCH(Tabla4[[#This Row],[Título]],CantoralDB[Título],0)),"OK","-")</f>
        <v>OK</v>
      </c>
      <c r="E100" t="s">
        <v>608</v>
      </c>
    </row>
    <row r="101" spans="1:5" x14ac:dyDescent="0.3">
      <c r="A101" s="16">
        <v>97</v>
      </c>
      <c r="B101" t="s">
        <v>1216</v>
      </c>
      <c r="C101" t="s">
        <v>2091</v>
      </c>
      <c r="D101" t="str">
        <f>IF(ISNUMBER(MATCH(Tabla4[[#This Row],[Título]],CantoralDB[Título],0)),"OK","-")</f>
        <v>OK</v>
      </c>
      <c r="E101" t="s">
        <v>795</v>
      </c>
    </row>
    <row r="102" spans="1:5" x14ac:dyDescent="0.3">
      <c r="A102" s="16">
        <v>98</v>
      </c>
      <c r="B102" t="s">
        <v>53</v>
      </c>
      <c r="C102" t="s">
        <v>481</v>
      </c>
      <c r="D102" t="str">
        <f>IF(ISNUMBER(MATCH(Tabla4[[#This Row],[Título]],CantoralDB[Título],0)),"OK","-")</f>
        <v>OK</v>
      </c>
      <c r="E102" t="s">
        <v>608</v>
      </c>
    </row>
    <row r="103" spans="1:5" x14ac:dyDescent="0.3">
      <c r="A103" s="16">
        <v>99</v>
      </c>
      <c r="B103" t="s">
        <v>1215</v>
      </c>
      <c r="C103" t="s">
        <v>481</v>
      </c>
      <c r="D103" t="str">
        <f>IF(ISNUMBER(MATCH(Tabla4[[#This Row],[Título]],CantoralDB[Título],0)),"OK","-")</f>
        <v>OK</v>
      </c>
      <c r="E103" t="s">
        <v>795</v>
      </c>
    </row>
    <row r="104" spans="1:5" x14ac:dyDescent="0.3">
      <c r="A104" s="16">
        <v>100</v>
      </c>
      <c r="B104" t="s">
        <v>1217</v>
      </c>
      <c r="C104" t="s">
        <v>481</v>
      </c>
      <c r="D104" t="str">
        <f>IF(ISNUMBER(MATCH(Tabla4[[#This Row],[Título]],CantoralDB[Título],0)),"OK","-")</f>
        <v>OK</v>
      </c>
      <c r="E104" t="s">
        <v>795</v>
      </c>
    </row>
    <row r="105" spans="1:5" x14ac:dyDescent="0.3">
      <c r="A105" s="16">
        <v>101</v>
      </c>
      <c r="B105" t="s">
        <v>57</v>
      </c>
      <c r="C105" t="s">
        <v>517</v>
      </c>
      <c r="D105" t="str">
        <f>IF(ISNUMBER(MATCH(Tabla4[[#This Row],[Título]],CantoralDB[Título],0)),"OK","-")</f>
        <v>OK</v>
      </c>
      <c r="E105" t="s">
        <v>608</v>
      </c>
    </row>
    <row r="106" spans="1:5" x14ac:dyDescent="0.3">
      <c r="A106" s="16">
        <v>102</v>
      </c>
      <c r="B106" t="s">
        <v>1218</v>
      </c>
      <c r="C106" t="s">
        <v>491</v>
      </c>
      <c r="D106" t="str">
        <f>IF(ISNUMBER(MATCH(Tabla4[[#This Row],[Título]],CantoralDB[Título],0)),"OK","-")</f>
        <v>OK</v>
      </c>
      <c r="E106" t="s">
        <v>795</v>
      </c>
    </row>
    <row r="107" spans="1:5" x14ac:dyDescent="0.3">
      <c r="A107" s="16">
        <v>103</v>
      </c>
      <c r="B107" t="s">
        <v>1219</v>
      </c>
      <c r="C107" t="s">
        <v>481</v>
      </c>
      <c r="D107" t="str">
        <f>IF(ISNUMBER(MATCH(Tabla4[[#This Row],[Título]],CantoralDB[Título],0)),"OK","-")</f>
        <v>OK</v>
      </c>
      <c r="E107" t="s">
        <v>795</v>
      </c>
    </row>
    <row r="108" spans="1:5" x14ac:dyDescent="0.3">
      <c r="A108" s="16">
        <v>104</v>
      </c>
      <c r="B108" t="s">
        <v>55</v>
      </c>
      <c r="C108" t="s">
        <v>517</v>
      </c>
      <c r="D108" t="str">
        <f>IF(ISNUMBER(MATCH(Tabla4[[#This Row],[Título]],CantoralDB[Título],0)),"OK","-")</f>
        <v>OK</v>
      </c>
      <c r="E108" t="s">
        <v>608</v>
      </c>
    </row>
    <row r="109" spans="1:5" x14ac:dyDescent="0.3">
      <c r="A109" s="16">
        <v>105</v>
      </c>
      <c r="B109" t="s">
        <v>1245</v>
      </c>
      <c r="C109" t="s">
        <v>483</v>
      </c>
      <c r="D109" t="str">
        <f>IF(ISNUMBER(MATCH(Tabla4[[#This Row],[Título]],CantoralDB[Título],0)),"OK","-")</f>
        <v>OK</v>
      </c>
      <c r="E109" t="s">
        <v>795</v>
      </c>
    </row>
    <row r="110" spans="1:5" x14ac:dyDescent="0.3">
      <c r="A110" s="16">
        <v>106</v>
      </c>
      <c r="B110" t="s">
        <v>62</v>
      </c>
      <c r="C110" t="s">
        <v>483</v>
      </c>
      <c r="D110" t="str">
        <f>IF(ISNUMBER(MATCH(Tabla4[[#This Row],[Título]],CantoralDB[Título],0)),"OK","-")</f>
        <v>OK</v>
      </c>
      <c r="E110" t="s">
        <v>608</v>
      </c>
    </row>
    <row r="111" spans="1:5" x14ac:dyDescent="0.3">
      <c r="A111" s="16">
        <v>107</v>
      </c>
      <c r="B111" t="s">
        <v>56</v>
      </c>
      <c r="C111" t="s">
        <v>517</v>
      </c>
      <c r="D111" t="str">
        <f>IF(ISNUMBER(MATCH(Tabla4[[#This Row],[Título]],CantoralDB[Título],0)),"OK","-")</f>
        <v>OK</v>
      </c>
      <c r="E111" t="s">
        <v>608</v>
      </c>
    </row>
    <row r="112" spans="1:5" x14ac:dyDescent="0.3">
      <c r="A112" s="16">
        <v>108</v>
      </c>
      <c r="B112" t="s">
        <v>2121</v>
      </c>
      <c r="C112" t="s">
        <v>491</v>
      </c>
      <c r="D112" t="str">
        <f>IF(ISNUMBER(MATCH(Tabla4[[#This Row],[Título]],CantoralDB[Título],0)),"OK","-")</f>
        <v>OK</v>
      </c>
      <c r="E112" t="s">
        <v>795</v>
      </c>
    </row>
    <row r="113" spans="1:5" x14ac:dyDescent="0.3">
      <c r="A113" s="16">
        <v>109</v>
      </c>
      <c r="B113" t="s">
        <v>1246</v>
      </c>
      <c r="C113" t="s">
        <v>503</v>
      </c>
      <c r="D113" t="str">
        <f>IF(ISNUMBER(MATCH(Tabla4[[#This Row],[Título]],CantoralDB[Título],0)),"OK","-")</f>
        <v>OK</v>
      </c>
      <c r="E113" t="s">
        <v>795</v>
      </c>
    </row>
    <row r="114" spans="1:5" x14ac:dyDescent="0.3">
      <c r="A114" s="16">
        <v>110</v>
      </c>
      <c r="B114" t="s">
        <v>1247</v>
      </c>
      <c r="C114" t="s">
        <v>481</v>
      </c>
      <c r="D114" t="str">
        <f>IF(ISNUMBER(MATCH(Tabla4[[#This Row],[Título]],CantoralDB[Título],0)),"OK","-")</f>
        <v>OK</v>
      </c>
      <c r="E114" t="s">
        <v>795</v>
      </c>
    </row>
    <row r="115" spans="1:5" x14ac:dyDescent="0.3">
      <c r="A115" s="16">
        <v>111</v>
      </c>
      <c r="B115" t="s">
        <v>61</v>
      </c>
      <c r="C115" t="s">
        <v>484</v>
      </c>
      <c r="D115" t="str">
        <f>IF(ISNUMBER(MATCH(Tabla4[[#This Row],[Título]],CantoralDB[Título],0)),"OK","-")</f>
        <v>OK</v>
      </c>
      <c r="E115" t="s">
        <v>608</v>
      </c>
    </row>
    <row r="116" spans="1:5" x14ac:dyDescent="0.3">
      <c r="A116" s="16">
        <v>112</v>
      </c>
      <c r="B116" t="s">
        <v>1250</v>
      </c>
      <c r="C116" t="s">
        <v>2077</v>
      </c>
      <c r="D116" t="str">
        <f>IF(ISNUMBER(MATCH(Tabla4[[#This Row],[Título]],CantoralDB[Título],0)),"OK","-")</f>
        <v>OK</v>
      </c>
      <c r="E116" t="s">
        <v>795</v>
      </c>
    </row>
    <row r="117" spans="1:5" x14ac:dyDescent="0.3">
      <c r="A117" s="16">
        <v>113</v>
      </c>
      <c r="B117" t="s">
        <v>66</v>
      </c>
      <c r="C117" t="s">
        <v>487</v>
      </c>
      <c r="D117" t="str">
        <f>IF(ISNUMBER(MATCH(Tabla4[[#This Row],[Título]],CantoralDB[Título],0)),"OK","-")</f>
        <v>OK</v>
      </c>
      <c r="E117" t="s">
        <v>608</v>
      </c>
    </row>
    <row r="118" spans="1:5" x14ac:dyDescent="0.3">
      <c r="A118" s="16">
        <v>114</v>
      </c>
      <c r="B118" t="s">
        <v>1249</v>
      </c>
      <c r="C118" t="s">
        <v>488</v>
      </c>
      <c r="D118" t="str">
        <f>IF(ISNUMBER(MATCH(Tabla4[[#This Row],[Título]],CantoralDB[Título],0)),"OK","-")</f>
        <v>OK</v>
      </c>
      <c r="E118" t="s">
        <v>795</v>
      </c>
    </row>
    <row r="119" spans="1:5" x14ac:dyDescent="0.3">
      <c r="A119" s="16">
        <v>115</v>
      </c>
      <c r="B119" t="s">
        <v>1248</v>
      </c>
      <c r="C119" t="s">
        <v>483</v>
      </c>
      <c r="D119" t="str">
        <f>IF(ISNUMBER(MATCH(Tabla4[[#This Row],[Título]],CantoralDB[Título],0)),"OK","-")</f>
        <v>OK</v>
      </c>
      <c r="E119" t="s">
        <v>795</v>
      </c>
    </row>
    <row r="120" spans="1:5" x14ac:dyDescent="0.3">
      <c r="A120" s="16">
        <v>116</v>
      </c>
      <c r="B120" t="s">
        <v>64</v>
      </c>
      <c r="C120" t="s">
        <v>479</v>
      </c>
      <c r="D120" t="str">
        <f>IF(ISNUMBER(MATCH(Tabla4[[#This Row],[Título]],CantoralDB[Título],0)),"OK","-")</f>
        <v>-</v>
      </c>
      <c r="E120" t="s">
        <v>608</v>
      </c>
    </row>
    <row r="121" spans="1:5" x14ac:dyDescent="0.3">
      <c r="A121" s="16">
        <v>117</v>
      </c>
      <c r="B121" t="s">
        <v>1251</v>
      </c>
      <c r="C121" t="s">
        <v>491</v>
      </c>
      <c r="D121" t="str">
        <f>IF(ISNUMBER(MATCH(Tabla4[[#This Row],[Título]],CantoralDB[Título],0)),"OK","-")</f>
        <v>-</v>
      </c>
      <c r="E121" t="s">
        <v>795</v>
      </c>
    </row>
    <row r="122" spans="1:5" x14ac:dyDescent="0.3">
      <c r="A122" s="16">
        <v>118</v>
      </c>
      <c r="B122" t="s">
        <v>1252</v>
      </c>
      <c r="C122" t="s">
        <v>503</v>
      </c>
      <c r="D122" t="str">
        <f>IF(ISNUMBER(MATCH(Tabla4[[#This Row],[Título]],CantoralDB[Título],0)),"OK","-")</f>
        <v>OK</v>
      </c>
      <c r="E122" t="s">
        <v>795</v>
      </c>
    </row>
    <row r="123" spans="1:5" x14ac:dyDescent="0.3">
      <c r="A123" s="16">
        <v>119</v>
      </c>
      <c r="B123" t="s">
        <v>1253</v>
      </c>
      <c r="C123" t="s">
        <v>2079</v>
      </c>
      <c r="D123" t="str">
        <f>IF(ISNUMBER(MATCH(Tabla4[[#This Row],[Título]],CantoralDB[Título],0)),"OK","-")</f>
        <v>OK</v>
      </c>
      <c r="E123" t="s">
        <v>795</v>
      </c>
    </row>
    <row r="124" spans="1:5" x14ac:dyDescent="0.3">
      <c r="A124" s="16">
        <v>120</v>
      </c>
      <c r="B124" t="s">
        <v>1254</v>
      </c>
      <c r="C124" t="s">
        <v>486</v>
      </c>
      <c r="D124" t="str">
        <f>IF(ISNUMBER(MATCH(Tabla4[[#This Row],[Título]],CantoralDB[Título],0)),"OK","-")</f>
        <v>OK</v>
      </c>
      <c r="E124" t="s">
        <v>795</v>
      </c>
    </row>
    <row r="125" spans="1:5" x14ac:dyDescent="0.3">
      <c r="A125" s="16">
        <v>121</v>
      </c>
      <c r="B125" t="s">
        <v>933</v>
      </c>
      <c r="C125" t="s">
        <v>491</v>
      </c>
      <c r="D125" t="str">
        <f>IF(ISNUMBER(MATCH(Tabla4[[#This Row],[Título]],CantoralDB[Título],0)),"OK","-")</f>
        <v>OK</v>
      </c>
      <c r="E125" t="s">
        <v>608</v>
      </c>
    </row>
    <row r="126" spans="1:5" x14ac:dyDescent="0.3">
      <c r="A126" s="16">
        <v>122</v>
      </c>
      <c r="B126" t="s">
        <v>65</v>
      </c>
      <c r="C126" t="s">
        <v>485</v>
      </c>
      <c r="D126" t="str">
        <f>IF(ISNUMBER(MATCH(Tabla4[[#This Row],[Título]],CantoralDB[Título],0)),"OK","-")</f>
        <v>OK</v>
      </c>
      <c r="E126" t="s">
        <v>608</v>
      </c>
    </row>
    <row r="127" spans="1:5" x14ac:dyDescent="0.3">
      <c r="A127" s="16">
        <v>123</v>
      </c>
      <c r="B127" t="s">
        <v>1255</v>
      </c>
      <c r="C127" t="s">
        <v>2092</v>
      </c>
      <c r="D127" t="str">
        <f>IF(ISNUMBER(MATCH(Tabla4[[#This Row],[Título]],CantoralDB[Título],0)),"OK","-")</f>
        <v>OK</v>
      </c>
      <c r="E127" t="s">
        <v>795</v>
      </c>
    </row>
    <row r="128" spans="1:5" x14ac:dyDescent="0.3">
      <c r="A128" s="16">
        <v>124</v>
      </c>
      <c r="B128" t="s">
        <v>71</v>
      </c>
      <c r="C128" t="s">
        <v>2094</v>
      </c>
      <c r="D128" t="str">
        <f>IF(ISNUMBER(MATCH(Tabla4[[#This Row],[Título]],CantoralDB[Título],0)),"OK","-")</f>
        <v>OK</v>
      </c>
      <c r="E128" t="s">
        <v>608</v>
      </c>
    </row>
    <row r="129" spans="1:5" x14ac:dyDescent="0.3">
      <c r="A129" s="16">
        <v>125</v>
      </c>
      <c r="B129" t="s">
        <v>1256</v>
      </c>
      <c r="C129" t="s">
        <v>491</v>
      </c>
      <c r="D129" t="str">
        <f>IF(ISNUMBER(MATCH(Tabla4[[#This Row],[Título]],CantoralDB[Título],0)),"OK","-")</f>
        <v>OK</v>
      </c>
      <c r="E129" t="s">
        <v>795</v>
      </c>
    </row>
    <row r="130" spans="1:5" x14ac:dyDescent="0.3">
      <c r="A130" s="16">
        <v>126</v>
      </c>
      <c r="B130" t="s">
        <v>1257</v>
      </c>
      <c r="C130" t="s">
        <v>479</v>
      </c>
      <c r="D130" t="str">
        <f>IF(ISNUMBER(MATCH(Tabla4[[#This Row],[Título]],CantoralDB[Título],0)),"OK","-")</f>
        <v>OK</v>
      </c>
      <c r="E130" t="s">
        <v>795</v>
      </c>
    </row>
    <row r="131" spans="1:5" x14ac:dyDescent="0.3">
      <c r="A131" s="16">
        <v>127</v>
      </c>
      <c r="B131" t="s">
        <v>505</v>
      </c>
      <c r="C131" t="s">
        <v>2093</v>
      </c>
      <c r="D131" t="str">
        <f>IF(ISNUMBER(MATCH(Tabla4[[#This Row],[Título]],CantoralDB[Título],0)),"OK","-")</f>
        <v>OK</v>
      </c>
      <c r="E131" t="s">
        <v>608</v>
      </c>
    </row>
    <row r="132" spans="1:5" x14ac:dyDescent="0.3">
      <c r="A132" s="16">
        <v>128</v>
      </c>
      <c r="B132" t="s">
        <v>67</v>
      </c>
      <c r="C132" t="s">
        <v>481</v>
      </c>
      <c r="D132" t="str">
        <f>IF(ISNUMBER(MATCH(Tabla4[[#This Row],[Título]],CantoralDB[Título],0)),"OK","-")</f>
        <v>OK</v>
      </c>
      <c r="E132" t="s">
        <v>608</v>
      </c>
    </row>
    <row r="133" spans="1:5" x14ac:dyDescent="0.3">
      <c r="A133" s="16">
        <v>129</v>
      </c>
      <c r="B133" t="s">
        <v>1258</v>
      </c>
      <c r="C133" t="s">
        <v>498</v>
      </c>
      <c r="D133" t="str">
        <f>IF(ISNUMBER(MATCH(Tabla4[[#This Row],[Título]],CantoralDB[Título],0)),"OK","-")</f>
        <v>OK</v>
      </c>
      <c r="E133" t="s">
        <v>795</v>
      </c>
    </row>
    <row r="134" spans="1:5" x14ac:dyDescent="0.3">
      <c r="A134" s="16">
        <v>130</v>
      </c>
      <c r="B134" t="s">
        <v>1259</v>
      </c>
      <c r="C134" t="s">
        <v>480</v>
      </c>
      <c r="D134" t="str">
        <f>IF(ISNUMBER(MATCH(Tabla4[[#This Row],[Título]],CantoralDB[Título],0)),"OK","-")</f>
        <v>OK</v>
      </c>
      <c r="E134" t="s">
        <v>795</v>
      </c>
    </row>
    <row r="135" spans="1:5" x14ac:dyDescent="0.3">
      <c r="A135" s="16">
        <v>131</v>
      </c>
      <c r="B135" t="s">
        <v>1260</v>
      </c>
      <c r="C135" t="s">
        <v>2095</v>
      </c>
      <c r="D135" t="str">
        <f>IF(ISNUMBER(MATCH(Tabla4[[#This Row],[Título]],CantoralDB[Título],0)),"OK","-")</f>
        <v>OK</v>
      </c>
      <c r="E135" t="s">
        <v>795</v>
      </c>
    </row>
    <row r="136" spans="1:5" x14ac:dyDescent="0.3">
      <c r="A136" s="16">
        <v>132</v>
      </c>
      <c r="B136" t="s">
        <v>1261</v>
      </c>
      <c r="C136" t="s">
        <v>2085</v>
      </c>
      <c r="D136" t="str">
        <f>IF(ISNUMBER(MATCH(Tabla4[[#This Row],[Título]],CantoralDB[Título],0)),"OK","-")</f>
        <v>OK</v>
      </c>
      <c r="E136" t="s">
        <v>795</v>
      </c>
    </row>
    <row r="137" spans="1:5" x14ac:dyDescent="0.3">
      <c r="A137" s="16">
        <v>133</v>
      </c>
      <c r="B137" t="s">
        <v>1262</v>
      </c>
      <c r="C137" t="s">
        <v>483</v>
      </c>
      <c r="D137" t="str">
        <f>IF(ISNUMBER(MATCH(Tabla4[[#This Row],[Título]],CantoralDB[Título],0)),"OK","-")</f>
        <v>OK</v>
      </c>
      <c r="E137" t="s">
        <v>795</v>
      </c>
    </row>
    <row r="138" spans="1:5" x14ac:dyDescent="0.3">
      <c r="A138" s="16">
        <v>134</v>
      </c>
      <c r="B138" t="s">
        <v>1263</v>
      </c>
      <c r="C138" t="s">
        <v>2083</v>
      </c>
      <c r="D138" t="str">
        <f>IF(ISNUMBER(MATCH(Tabla4[[#This Row],[Título]],CantoralDB[Título],0)),"OK","-")</f>
        <v>OK</v>
      </c>
      <c r="E138" t="s">
        <v>795</v>
      </c>
    </row>
    <row r="139" spans="1:5" x14ac:dyDescent="0.3">
      <c r="A139" s="16">
        <v>135</v>
      </c>
      <c r="B139" t="s">
        <v>1264</v>
      </c>
      <c r="C139" t="s">
        <v>503</v>
      </c>
      <c r="D139" t="str">
        <f>IF(ISNUMBER(MATCH(Tabla4[[#This Row],[Título]],CantoralDB[Título],0)),"OK","-")</f>
        <v>OK</v>
      </c>
      <c r="E139" t="s">
        <v>795</v>
      </c>
    </row>
    <row r="140" spans="1:5" x14ac:dyDescent="0.3">
      <c r="A140" s="16">
        <v>136</v>
      </c>
      <c r="B140" t="s">
        <v>75</v>
      </c>
      <c r="C140" t="s">
        <v>479</v>
      </c>
      <c r="D140" t="str">
        <f>IF(ISNUMBER(MATCH(Tabla4[[#This Row],[Título]],CantoralDB[Título],0)),"OK","-")</f>
        <v>OK</v>
      </c>
      <c r="E140" t="s">
        <v>608</v>
      </c>
    </row>
    <row r="141" spans="1:5" x14ac:dyDescent="0.3">
      <c r="A141" s="16">
        <v>137</v>
      </c>
      <c r="B141" t="s">
        <v>1265</v>
      </c>
      <c r="C141" t="s">
        <v>479</v>
      </c>
      <c r="D141" t="str">
        <f>IF(ISNUMBER(MATCH(Tabla4[[#This Row],[Título]],CantoralDB[Título],0)),"OK","-")</f>
        <v>OK</v>
      </c>
      <c r="E141" t="s">
        <v>795</v>
      </c>
    </row>
    <row r="142" spans="1:5" x14ac:dyDescent="0.3">
      <c r="A142" s="16">
        <v>138</v>
      </c>
      <c r="B142" t="s">
        <v>77</v>
      </c>
      <c r="C142" t="s">
        <v>479</v>
      </c>
      <c r="D142" t="str">
        <f>IF(ISNUMBER(MATCH(Tabla4[[#This Row],[Título]],CantoralDB[Título],0)),"OK","-")</f>
        <v>OK</v>
      </c>
      <c r="E142" t="s">
        <v>608</v>
      </c>
    </row>
    <row r="143" spans="1:5" x14ac:dyDescent="0.3">
      <c r="A143" s="16">
        <v>139</v>
      </c>
      <c r="B143" t="s">
        <v>76</v>
      </c>
      <c r="C143" t="s">
        <v>2093</v>
      </c>
      <c r="D143" t="str">
        <f>IF(ISNUMBER(MATCH(Tabla4[[#This Row],[Título]],CantoralDB[Título],0)),"OK","-")</f>
        <v>OK</v>
      </c>
      <c r="E143" t="s">
        <v>608</v>
      </c>
    </row>
    <row r="144" spans="1:5" x14ac:dyDescent="0.3">
      <c r="A144" s="16">
        <v>140</v>
      </c>
      <c r="B144" t="s">
        <v>78</v>
      </c>
      <c r="C144" t="s">
        <v>491</v>
      </c>
      <c r="D144" t="str">
        <f>IF(ISNUMBER(MATCH(Tabla4[[#This Row],[Título]],CantoralDB[Título],0)),"OK","-")</f>
        <v>OK</v>
      </c>
      <c r="E144" t="s">
        <v>608</v>
      </c>
    </row>
    <row r="145" spans="1:5" x14ac:dyDescent="0.3">
      <c r="A145" s="16">
        <v>141</v>
      </c>
      <c r="B145" t="s">
        <v>80</v>
      </c>
      <c r="C145" t="s">
        <v>2096</v>
      </c>
      <c r="D145" t="str">
        <f>IF(ISNUMBER(MATCH(Tabla4[[#This Row],[Título]],CantoralDB[Título],0)),"OK","-")</f>
        <v>OK</v>
      </c>
      <c r="E145" t="s">
        <v>608</v>
      </c>
    </row>
    <row r="146" spans="1:5" x14ac:dyDescent="0.3">
      <c r="A146" s="16">
        <v>142</v>
      </c>
      <c r="B146" t="s">
        <v>79</v>
      </c>
      <c r="C146" t="s">
        <v>483</v>
      </c>
      <c r="D146" t="str">
        <f>IF(ISNUMBER(MATCH(Tabla4[[#This Row],[Título]],CantoralDB[Título],0)),"OK","-")</f>
        <v>OK</v>
      </c>
      <c r="E146" t="s">
        <v>608</v>
      </c>
    </row>
    <row r="147" spans="1:5" x14ac:dyDescent="0.3">
      <c r="A147" s="16">
        <v>143</v>
      </c>
      <c r="B147" t="s">
        <v>82</v>
      </c>
      <c r="C147" t="s">
        <v>2143</v>
      </c>
      <c r="D147" t="str">
        <f>IF(ISNUMBER(MATCH(Tabla4[[#This Row],[Título]],CantoralDB[Título],0)),"OK","-")</f>
        <v>OK</v>
      </c>
      <c r="E147" t="s">
        <v>608</v>
      </c>
    </row>
    <row r="148" spans="1:5" x14ac:dyDescent="0.3">
      <c r="A148" s="16">
        <v>144</v>
      </c>
      <c r="B148" t="s">
        <v>81</v>
      </c>
      <c r="C148" t="s">
        <v>2143</v>
      </c>
      <c r="D148" t="str">
        <f>IF(ISNUMBER(MATCH(Tabla4[[#This Row],[Título]],CantoralDB[Título],0)),"OK","-")</f>
        <v>OK</v>
      </c>
      <c r="E148" t="s">
        <v>608</v>
      </c>
    </row>
    <row r="149" spans="1:5" x14ac:dyDescent="0.3">
      <c r="A149" s="16">
        <v>145</v>
      </c>
      <c r="B149" t="s">
        <v>83</v>
      </c>
      <c r="C149" t="s">
        <v>483</v>
      </c>
      <c r="D149" t="str">
        <f>IF(ISNUMBER(MATCH(Tabla4[[#This Row],[Título]],CantoralDB[Título],0)),"OK","-")</f>
        <v>OK</v>
      </c>
      <c r="E149" t="s">
        <v>608</v>
      </c>
    </row>
    <row r="150" spans="1:5" x14ac:dyDescent="0.3">
      <c r="A150" s="16">
        <v>146</v>
      </c>
      <c r="B150" t="s">
        <v>1266</v>
      </c>
      <c r="C150" t="s">
        <v>2097</v>
      </c>
      <c r="D150" t="str">
        <f>IF(ISNUMBER(MATCH(Tabla4[[#This Row],[Título]],CantoralDB[Título],0)),"OK","-")</f>
        <v>OK</v>
      </c>
      <c r="E150" t="s">
        <v>795</v>
      </c>
    </row>
    <row r="151" spans="1:5" x14ac:dyDescent="0.3">
      <c r="A151" s="16">
        <v>147</v>
      </c>
      <c r="B151" t="s">
        <v>1267</v>
      </c>
      <c r="C151" t="s">
        <v>480</v>
      </c>
      <c r="D151" t="str">
        <f>IF(ISNUMBER(MATCH(Tabla4[[#This Row],[Título]],CantoralDB[Título],0)),"OK","-")</f>
        <v>OK</v>
      </c>
      <c r="E151" t="s">
        <v>795</v>
      </c>
    </row>
    <row r="152" spans="1:5" x14ac:dyDescent="0.3">
      <c r="A152" s="16">
        <v>148</v>
      </c>
      <c r="B152" t="s">
        <v>1268</v>
      </c>
      <c r="C152" t="s">
        <v>2079</v>
      </c>
      <c r="D152" t="str">
        <f>IF(ISNUMBER(MATCH(Tabla4[[#This Row],[Título]],CantoralDB[Título],0)),"OK","-")</f>
        <v>-</v>
      </c>
      <c r="E152" t="s">
        <v>795</v>
      </c>
    </row>
    <row r="153" spans="1:5" x14ac:dyDescent="0.3">
      <c r="A153" s="16">
        <v>149</v>
      </c>
      <c r="B153" t="s">
        <v>1269</v>
      </c>
      <c r="C153" t="s">
        <v>480</v>
      </c>
      <c r="D153" t="str">
        <f>IF(ISNUMBER(MATCH(Tabla4[[#This Row],[Título]],CantoralDB[Título],0)),"OK","-")</f>
        <v>OK</v>
      </c>
      <c r="E153" t="s">
        <v>795</v>
      </c>
    </row>
    <row r="154" spans="1:5" x14ac:dyDescent="0.3">
      <c r="A154" s="16">
        <v>150</v>
      </c>
      <c r="B154" t="s">
        <v>1270</v>
      </c>
      <c r="C154" t="s">
        <v>2094</v>
      </c>
      <c r="D154" t="str">
        <f>IF(ISNUMBER(MATCH(Tabla4[[#This Row],[Título]],CantoralDB[Título],0)),"OK","-")</f>
        <v>OK</v>
      </c>
      <c r="E154" t="s">
        <v>795</v>
      </c>
    </row>
    <row r="155" spans="1:5" x14ac:dyDescent="0.3">
      <c r="A155" s="16">
        <v>151</v>
      </c>
      <c r="B155" t="s">
        <v>1271</v>
      </c>
      <c r="C155" t="s">
        <v>487</v>
      </c>
      <c r="D155" t="str">
        <f>IF(ISNUMBER(MATCH(Tabla4[[#This Row],[Título]],CantoralDB[Título],0)),"OK","-")</f>
        <v>OK</v>
      </c>
      <c r="E155" t="s">
        <v>795</v>
      </c>
    </row>
    <row r="156" spans="1:5" x14ac:dyDescent="0.3">
      <c r="A156" s="16">
        <v>152</v>
      </c>
      <c r="B156" t="s">
        <v>86</v>
      </c>
      <c r="C156" t="s">
        <v>486</v>
      </c>
      <c r="D156" t="str">
        <f>IF(ISNUMBER(MATCH(Tabla4[[#This Row],[Título]],CantoralDB[Título],0)),"OK","-")</f>
        <v>OK</v>
      </c>
      <c r="E156" t="s">
        <v>608</v>
      </c>
    </row>
    <row r="157" spans="1:5" x14ac:dyDescent="0.3">
      <c r="A157" s="16">
        <v>153</v>
      </c>
      <c r="B157" t="s">
        <v>1272</v>
      </c>
      <c r="C157" t="s">
        <v>503</v>
      </c>
      <c r="D157" t="str">
        <f>IF(ISNUMBER(MATCH(Tabla4[[#This Row],[Título]],CantoralDB[Título],0)),"OK","-")</f>
        <v>OK</v>
      </c>
      <c r="E157" t="s">
        <v>795</v>
      </c>
    </row>
    <row r="158" spans="1:5" x14ac:dyDescent="0.3">
      <c r="A158" s="16">
        <v>154</v>
      </c>
      <c r="B158" t="s">
        <v>1273</v>
      </c>
      <c r="C158" t="s">
        <v>479</v>
      </c>
      <c r="D158" t="str">
        <f>IF(ISNUMBER(MATCH(Tabla4[[#This Row],[Título]],CantoralDB[Título],0)),"OK","-")</f>
        <v>OK</v>
      </c>
      <c r="E158" t="s">
        <v>795</v>
      </c>
    </row>
    <row r="159" spans="1:5" x14ac:dyDescent="0.3">
      <c r="A159" s="16">
        <v>155</v>
      </c>
      <c r="B159" t="s">
        <v>1274</v>
      </c>
      <c r="C159" t="s">
        <v>487</v>
      </c>
      <c r="D159" t="str">
        <f>IF(ISNUMBER(MATCH(Tabla4[[#This Row],[Título]],CantoralDB[Título],0)),"OK","-")</f>
        <v>OK</v>
      </c>
      <c r="E159" t="s">
        <v>795</v>
      </c>
    </row>
    <row r="160" spans="1:5" x14ac:dyDescent="0.3">
      <c r="A160" s="16">
        <v>156</v>
      </c>
      <c r="B160" t="s">
        <v>1275</v>
      </c>
      <c r="C160" t="s">
        <v>479</v>
      </c>
      <c r="D160" t="str">
        <f>IF(ISNUMBER(MATCH(Tabla4[[#This Row],[Título]],CantoralDB[Título],0)),"OK","-")</f>
        <v>OK</v>
      </c>
      <c r="E160" t="s">
        <v>795</v>
      </c>
    </row>
    <row r="161" spans="1:5" x14ac:dyDescent="0.3">
      <c r="A161" s="16">
        <v>157</v>
      </c>
      <c r="B161" t="s">
        <v>929</v>
      </c>
      <c r="C161" t="s">
        <v>268</v>
      </c>
      <c r="D161" t="str">
        <f>IF(ISNUMBER(MATCH(Tabla4[[#This Row],[Título]],CantoralDB[Título],0)),"OK","-")</f>
        <v>OK</v>
      </c>
      <c r="E161" t="s">
        <v>608</v>
      </c>
    </row>
    <row r="162" spans="1:5" x14ac:dyDescent="0.3">
      <c r="A162" s="16">
        <v>158</v>
      </c>
      <c r="B162" t="s">
        <v>87</v>
      </c>
      <c r="C162" t="s">
        <v>543</v>
      </c>
      <c r="D162" t="str">
        <f>IF(ISNUMBER(MATCH(Tabla4[[#This Row],[Título]],CantoralDB[Título],0)),"OK","-")</f>
        <v>OK</v>
      </c>
      <c r="E162" t="s">
        <v>608</v>
      </c>
    </row>
    <row r="163" spans="1:5" x14ac:dyDescent="0.3">
      <c r="A163" s="16">
        <v>159</v>
      </c>
      <c r="B163" t="s">
        <v>1276</v>
      </c>
      <c r="C163" t="s">
        <v>479</v>
      </c>
      <c r="D163" t="str">
        <f>IF(ISNUMBER(MATCH(Tabla4[[#This Row],[Título]],CantoralDB[Título],0)),"OK","-")</f>
        <v>OK</v>
      </c>
      <c r="E163" t="s">
        <v>795</v>
      </c>
    </row>
    <row r="164" spans="1:5" x14ac:dyDescent="0.3">
      <c r="A164" s="16">
        <v>160</v>
      </c>
      <c r="B164" t="s">
        <v>1277</v>
      </c>
      <c r="C164" t="s">
        <v>481</v>
      </c>
      <c r="D164" t="str">
        <f>IF(ISNUMBER(MATCH(Tabla4[[#This Row],[Título]],CantoralDB[Título],0)),"OK","-")</f>
        <v>OK</v>
      </c>
      <c r="E164" t="s">
        <v>795</v>
      </c>
    </row>
    <row r="165" spans="1:5" x14ac:dyDescent="0.3">
      <c r="A165" s="16">
        <v>161</v>
      </c>
      <c r="B165" t="s">
        <v>1278</v>
      </c>
      <c r="C165" t="s">
        <v>481</v>
      </c>
      <c r="D165" t="str">
        <f>IF(ISNUMBER(MATCH(Tabla4[[#This Row],[Título]],CantoralDB[Título],0)),"OK","-")</f>
        <v>OK</v>
      </c>
      <c r="E165" t="s">
        <v>795</v>
      </c>
    </row>
    <row r="166" spans="1:5" x14ac:dyDescent="0.3">
      <c r="A166" s="16">
        <v>162</v>
      </c>
      <c r="B166" t="s">
        <v>2122</v>
      </c>
      <c r="C166" t="s">
        <v>498</v>
      </c>
      <c r="D166" t="str">
        <f>IF(ISNUMBER(MATCH(Tabla4[[#This Row],[Título]],CantoralDB[Título],0)),"OK","-")</f>
        <v>OK</v>
      </c>
      <c r="E166" t="s">
        <v>795</v>
      </c>
    </row>
    <row r="167" spans="1:5" x14ac:dyDescent="0.3">
      <c r="A167" s="16">
        <v>163</v>
      </c>
      <c r="B167" t="s">
        <v>88</v>
      </c>
      <c r="C167" t="s">
        <v>491</v>
      </c>
      <c r="D167" t="str">
        <f>IF(ISNUMBER(MATCH(Tabla4[[#This Row],[Título]],CantoralDB[Título],0)),"OK","-")</f>
        <v>OK</v>
      </c>
      <c r="E167" t="s">
        <v>608</v>
      </c>
    </row>
    <row r="168" spans="1:5" x14ac:dyDescent="0.3">
      <c r="A168" s="16">
        <v>164</v>
      </c>
      <c r="B168" t="s">
        <v>128</v>
      </c>
      <c r="C168" t="s">
        <v>491</v>
      </c>
      <c r="D168" t="str">
        <f>IF(ISNUMBER(MATCH(Tabla4[[#This Row],[Título]],CantoralDB[Título],0)),"OK","-")</f>
        <v>OK</v>
      </c>
      <c r="E168" t="s">
        <v>608</v>
      </c>
    </row>
    <row r="169" spans="1:5" x14ac:dyDescent="0.3">
      <c r="A169" s="16">
        <v>165</v>
      </c>
      <c r="B169" t="s">
        <v>1279</v>
      </c>
      <c r="C169" t="s">
        <v>2080</v>
      </c>
      <c r="D169" t="str">
        <f>IF(ISNUMBER(MATCH(Tabla4[[#This Row],[Título]],CantoralDB[Título],0)),"OK","-")</f>
        <v>OK</v>
      </c>
      <c r="E169" t="s">
        <v>795</v>
      </c>
    </row>
    <row r="170" spans="1:5" x14ac:dyDescent="0.3">
      <c r="A170" s="16">
        <v>166</v>
      </c>
      <c r="B170" t="s">
        <v>94</v>
      </c>
      <c r="C170" t="s">
        <v>487</v>
      </c>
      <c r="D170" t="str">
        <f>IF(ISNUMBER(MATCH(Tabla4[[#This Row],[Título]],CantoralDB[Título],0)),"OK","-")</f>
        <v>OK</v>
      </c>
      <c r="E170" t="s">
        <v>608</v>
      </c>
    </row>
    <row r="171" spans="1:5" x14ac:dyDescent="0.3">
      <c r="A171" s="16">
        <v>167</v>
      </c>
      <c r="B171" t="s">
        <v>1280</v>
      </c>
      <c r="C171" t="s">
        <v>479</v>
      </c>
      <c r="D171" t="str">
        <f>IF(ISNUMBER(MATCH(Tabla4[[#This Row],[Título]],CantoralDB[Título],0)),"OK","-")</f>
        <v>OK</v>
      </c>
      <c r="E171" t="s">
        <v>795</v>
      </c>
    </row>
    <row r="172" spans="1:5" x14ac:dyDescent="0.3">
      <c r="A172" s="16">
        <v>168</v>
      </c>
      <c r="B172" t="s">
        <v>93</v>
      </c>
      <c r="C172" t="s">
        <v>2096</v>
      </c>
      <c r="D172" t="str">
        <f>IF(ISNUMBER(MATCH(Tabla4[[#This Row],[Título]],CantoralDB[Título],0)),"OK","-")</f>
        <v>OK</v>
      </c>
      <c r="E172" t="s">
        <v>608</v>
      </c>
    </row>
    <row r="173" spans="1:5" x14ac:dyDescent="0.3">
      <c r="A173" s="16">
        <v>169</v>
      </c>
      <c r="B173" t="s">
        <v>1281</v>
      </c>
      <c r="C173" t="s">
        <v>498</v>
      </c>
      <c r="D173" t="str">
        <f>IF(ISNUMBER(MATCH(Tabla4[[#This Row],[Título]],CantoralDB[Título],0)),"OK","-")</f>
        <v>OK</v>
      </c>
      <c r="E173" t="s">
        <v>795</v>
      </c>
    </row>
    <row r="174" spans="1:5" x14ac:dyDescent="0.3">
      <c r="A174" s="16">
        <v>170</v>
      </c>
      <c r="B174" t="s">
        <v>1282</v>
      </c>
      <c r="C174" t="s">
        <v>517</v>
      </c>
      <c r="D174" t="str">
        <f>IF(ISNUMBER(MATCH(Tabla4[[#This Row],[Título]],CantoralDB[Título],0)),"OK","-")</f>
        <v>OK</v>
      </c>
      <c r="E174" t="s">
        <v>795</v>
      </c>
    </row>
    <row r="175" spans="1:5" x14ac:dyDescent="0.3">
      <c r="A175" s="16">
        <v>171</v>
      </c>
      <c r="B175" t="s">
        <v>551</v>
      </c>
      <c r="C175" t="s">
        <v>541</v>
      </c>
      <c r="D175" t="str">
        <f>IF(ISNUMBER(MATCH(Tabla4[[#This Row],[Título]],CantoralDB[Título],0)),"OK","-")</f>
        <v>OK</v>
      </c>
      <c r="E175" t="s">
        <v>608</v>
      </c>
    </row>
    <row r="176" spans="1:5" x14ac:dyDescent="0.3">
      <c r="A176" s="16">
        <v>172</v>
      </c>
      <c r="B176" t="s">
        <v>1283</v>
      </c>
      <c r="C176" t="s">
        <v>509</v>
      </c>
      <c r="D176" t="str">
        <f>IF(ISNUMBER(MATCH(Tabla4[[#This Row],[Título]],CantoralDB[Título],0)),"OK","-")</f>
        <v>OK</v>
      </c>
      <c r="E176" t="s">
        <v>795</v>
      </c>
    </row>
    <row r="177" spans="1:5" x14ac:dyDescent="0.3">
      <c r="A177" s="16">
        <v>173</v>
      </c>
      <c r="B177" t="s">
        <v>415</v>
      </c>
      <c r="C177" t="s">
        <v>268</v>
      </c>
      <c r="D177" t="str">
        <f>IF(ISNUMBER(MATCH(Tabla4[[#This Row],[Título]],CantoralDB[Título],0)),"OK","-")</f>
        <v>OK</v>
      </c>
      <c r="E177" t="s">
        <v>608</v>
      </c>
    </row>
    <row r="178" spans="1:5" x14ac:dyDescent="0.3">
      <c r="A178" s="16">
        <v>174</v>
      </c>
      <c r="B178" t="s">
        <v>1284</v>
      </c>
      <c r="C178" t="s">
        <v>491</v>
      </c>
      <c r="D178" t="str">
        <f>IF(ISNUMBER(MATCH(Tabla4[[#This Row],[Título]],CantoralDB[Título],0)),"OK","-")</f>
        <v>OK</v>
      </c>
      <c r="E178" t="s">
        <v>795</v>
      </c>
    </row>
    <row r="179" spans="1:5" x14ac:dyDescent="0.3">
      <c r="A179" s="16">
        <v>175</v>
      </c>
      <c r="B179" t="s">
        <v>1285</v>
      </c>
      <c r="C179" t="s">
        <v>480</v>
      </c>
      <c r="D179" t="str">
        <f>IF(ISNUMBER(MATCH(Tabla4[[#This Row],[Título]],CantoralDB[Título],0)),"OK","-")</f>
        <v>OK</v>
      </c>
      <c r="E179" t="s">
        <v>608</v>
      </c>
    </row>
    <row r="180" spans="1:5" x14ac:dyDescent="0.3">
      <c r="A180" s="16">
        <v>176</v>
      </c>
      <c r="B180" t="s">
        <v>1286</v>
      </c>
      <c r="C180" t="s">
        <v>2086</v>
      </c>
      <c r="D180" t="str">
        <f>IF(ISNUMBER(MATCH(Tabla4[[#This Row],[Título]],CantoralDB[Título],0)),"OK","-")</f>
        <v>OK</v>
      </c>
      <c r="E180" t="s">
        <v>795</v>
      </c>
    </row>
    <row r="181" spans="1:5" x14ac:dyDescent="0.3">
      <c r="A181" s="16">
        <v>177</v>
      </c>
      <c r="B181" t="s">
        <v>1287</v>
      </c>
      <c r="C181" t="s">
        <v>2098</v>
      </c>
      <c r="D181" t="str">
        <f>IF(ISNUMBER(MATCH(Tabla4[[#This Row],[Título]],CantoralDB[Título],0)),"OK","-")</f>
        <v>OK</v>
      </c>
      <c r="E181" t="s">
        <v>795</v>
      </c>
    </row>
    <row r="182" spans="1:5" x14ac:dyDescent="0.3">
      <c r="A182" s="16">
        <v>178</v>
      </c>
      <c r="B182" t="s">
        <v>1288</v>
      </c>
      <c r="C182" t="s">
        <v>491</v>
      </c>
      <c r="D182" t="str">
        <f>IF(ISNUMBER(MATCH(Tabla4[[#This Row],[Título]],CantoralDB[Título],0)),"OK","-")</f>
        <v>OK</v>
      </c>
      <c r="E182" t="s">
        <v>795</v>
      </c>
    </row>
    <row r="183" spans="1:5" x14ac:dyDescent="0.3">
      <c r="A183" s="16">
        <v>179</v>
      </c>
      <c r="B183" t="s">
        <v>1289</v>
      </c>
      <c r="C183" t="s">
        <v>479</v>
      </c>
      <c r="D183" t="str">
        <f>IF(ISNUMBER(MATCH(Tabla4[[#This Row],[Título]],CantoralDB[Título],0)),"OK","-")</f>
        <v>OK</v>
      </c>
      <c r="E183" t="s">
        <v>795</v>
      </c>
    </row>
    <row r="184" spans="1:5" x14ac:dyDescent="0.3">
      <c r="A184" s="16">
        <v>180</v>
      </c>
      <c r="B184" t="s">
        <v>1290</v>
      </c>
      <c r="C184" t="s">
        <v>2099</v>
      </c>
      <c r="D184" t="str">
        <f>IF(ISNUMBER(MATCH(Tabla4[[#This Row],[Título]],CantoralDB[Título],0)),"OK","-")</f>
        <v>OK</v>
      </c>
      <c r="E184" t="s">
        <v>795</v>
      </c>
    </row>
    <row r="185" spans="1:5" x14ac:dyDescent="0.3">
      <c r="A185" s="16">
        <v>181</v>
      </c>
      <c r="B185" t="s">
        <v>1291</v>
      </c>
      <c r="C185" t="s">
        <v>486</v>
      </c>
      <c r="D185" t="str">
        <f>IF(ISNUMBER(MATCH(Tabla4[[#This Row],[Título]],CantoralDB[Título],0)),"OK","-")</f>
        <v>OK</v>
      </c>
      <c r="E185" t="s">
        <v>795</v>
      </c>
    </row>
    <row r="186" spans="1:5" x14ac:dyDescent="0.3">
      <c r="A186" s="16">
        <v>182</v>
      </c>
      <c r="B186" t="s">
        <v>1292</v>
      </c>
      <c r="C186" t="s">
        <v>2100</v>
      </c>
      <c r="D186" t="str">
        <f>IF(ISNUMBER(MATCH(Tabla4[[#This Row],[Título]],CantoralDB[Título],0)),"OK","-")</f>
        <v>OK</v>
      </c>
      <c r="E186" t="s">
        <v>795</v>
      </c>
    </row>
    <row r="187" spans="1:5" x14ac:dyDescent="0.3">
      <c r="A187" s="16">
        <v>183</v>
      </c>
      <c r="B187" t="s">
        <v>1293</v>
      </c>
      <c r="C187" t="s">
        <v>2093</v>
      </c>
      <c r="D187" t="str">
        <f>IF(ISNUMBER(MATCH(Tabla4[[#This Row],[Título]],CantoralDB[Título],0)),"OK","-")</f>
        <v>OK</v>
      </c>
      <c r="E187" t="s">
        <v>795</v>
      </c>
    </row>
    <row r="188" spans="1:5" x14ac:dyDescent="0.3">
      <c r="A188" s="16">
        <v>184</v>
      </c>
      <c r="B188" t="s">
        <v>2123</v>
      </c>
      <c r="C188" t="s">
        <v>479</v>
      </c>
      <c r="D188" t="str">
        <f>IF(ISNUMBER(MATCH(Tabla4[[#This Row],[Título]],CantoralDB[Título],0)),"OK","-")</f>
        <v>OK</v>
      </c>
      <c r="E188" t="s">
        <v>795</v>
      </c>
    </row>
    <row r="189" spans="1:5" x14ac:dyDescent="0.3">
      <c r="A189" s="16">
        <v>185</v>
      </c>
      <c r="B189" t="s">
        <v>1294</v>
      </c>
      <c r="C189" t="s">
        <v>503</v>
      </c>
      <c r="D189" t="str">
        <f>IF(ISNUMBER(MATCH(Tabla4[[#This Row],[Título]],CantoralDB[Título],0)),"OK","-")</f>
        <v>-</v>
      </c>
      <c r="E189" t="s">
        <v>795</v>
      </c>
    </row>
    <row r="190" spans="1:5" x14ac:dyDescent="0.3">
      <c r="A190" s="16">
        <v>186</v>
      </c>
      <c r="B190" t="s">
        <v>1295</v>
      </c>
      <c r="C190" t="s">
        <v>481</v>
      </c>
      <c r="D190" t="str">
        <f>IF(ISNUMBER(MATCH(Tabla4[[#This Row],[Título]],CantoralDB[Título],0)),"OK","-")</f>
        <v>-</v>
      </c>
      <c r="E190" t="s">
        <v>795</v>
      </c>
    </row>
    <row r="191" spans="1:5" x14ac:dyDescent="0.3">
      <c r="A191" s="16">
        <v>187</v>
      </c>
      <c r="B191" t="s">
        <v>421</v>
      </c>
      <c r="C191" t="s">
        <v>268</v>
      </c>
      <c r="D191" t="str">
        <f>IF(ISNUMBER(MATCH(Tabla4[[#This Row],[Título]],CantoralDB[Título],0)),"OK","-")</f>
        <v>OK</v>
      </c>
      <c r="E191" t="s">
        <v>795</v>
      </c>
    </row>
    <row r="192" spans="1:5" x14ac:dyDescent="0.3">
      <c r="A192" s="16">
        <v>188</v>
      </c>
      <c r="B192" t="s">
        <v>1296</v>
      </c>
      <c r="C192" t="s">
        <v>509</v>
      </c>
      <c r="D192" t="str">
        <f>IF(ISNUMBER(MATCH(Tabla4[[#This Row],[Título]],CantoralDB[Título],0)),"OK","-")</f>
        <v>OK</v>
      </c>
      <c r="E192" t="s">
        <v>795</v>
      </c>
    </row>
    <row r="193" spans="1:5" x14ac:dyDescent="0.3">
      <c r="A193" s="16">
        <v>189</v>
      </c>
      <c r="B193" t="s">
        <v>100</v>
      </c>
      <c r="C193" t="s">
        <v>479</v>
      </c>
      <c r="D193" t="str">
        <f>IF(ISNUMBER(MATCH(Tabla4[[#This Row],[Título]],CantoralDB[Título],0)),"OK","-")</f>
        <v>OK</v>
      </c>
      <c r="E193" t="s">
        <v>608</v>
      </c>
    </row>
    <row r="194" spans="1:5" x14ac:dyDescent="0.3">
      <c r="A194" s="16">
        <v>190</v>
      </c>
      <c r="B194" t="s">
        <v>1230</v>
      </c>
      <c r="C194" t="s">
        <v>2079</v>
      </c>
      <c r="D194" t="str">
        <f>IF(ISNUMBER(MATCH(Tabla4[[#This Row],[Título]],CantoralDB[Título],0)),"OK","-")</f>
        <v>OK</v>
      </c>
      <c r="E194" t="s">
        <v>795</v>
      </c>
    </row>
    <row r="195" spans="1:5" x14ac:dyDescent="0.3">
      <c r="A195" s="16">
        <v>191</v>
      </c>
      <c r="B195" t="s">
        <v>101</v>
      </c>
      <c r="C195" t="s">
        <v>503</v>
      </c>
      <c r="D195" t="str">
        <f>IF(ISNUMBER(MATCH(Tabla4[[#This Row],[Título]],CantoralDB[Título],0)),"OK","-")</f>
        <v>OK</v>
      </c>
      <c r="E195" t="s">
        <v>608</v>
      </c>
    </row>
    <row r="196" spans="1:5" x14ac:dyDescent="0.3">
      <c r="A196" s="16">
        <v>192</v>
      </c>
      <c r="B196" t="s">
        <v>104</v>
      </c>
      <c r="C196" t="s">
        <v>509</v>
      </c>
      <c r="D196" t="str">
        <f>IF(ISNUMBER(MATCH(Tabla4[[#This Row],[Título]],CantoralDB[Título],0)),"OK","-")</f>
        <v>OK</v>
      </c>
      <c r="E196" t="s">
        <v>608</v>
      </c>
    </row>
    <row r="197" spans="1:5" x14ac:dyDescent="0.3">
      <c r="A197" s="16">
        <v>193</v>
      </c>
      <c r="B197" t="s">
        <v>102</v>
      </c>
      <c r="C197" t="s">
        <v>483</v>
      </c>
      <c r="D197" t="str">
        <f>IF(ISNUMBER(MATCH(Tabla4[[#This Row],[Título]],CantoralDB[Título],0)),"OK","-")</f>
        <v>OK</v>
      </c>
      <c r="E197" t="s">
        <v>608</v>
      </c>
    </row>
    <row r="198" spans="1:5" x14ac:dyDescent="0.3">
      <c r="A198" s="16">
        <v>194</v>
      </c>
      <c r="B198" t="s">
        <v>1297</v>
      </c>
      <c r="C198" t="s">
        <v>2078</v>
      </c>
      <c r="D198" t="str">
        <f>IF(ISNUMBER(MATCH(Tabla4[[#This Row],[Título]],CantoralDB[Título],0)),"OK","-")</f>
        <v>OK</v>
      </c>
      <c r="E198" t="s">
        <v>795</v>
      </c>
    </row>
    <row r="199" spans="1:5" x14ac:dyDescent="0.3">
      <c r="A199" s="16">
        <v>195</v>
      </c>
      <c r="B199" t="s">
        <v>107</v>
      </c>
      <c r="C199" t="s">
        <v>2077</v>
      </c>
      <c r="D199" t="str">
        <f>IF(ISNUMBER(MATCH(Tabla4[[#This Row],[Título]],CantoralDB[Título],0)),"OK","-")</f>
        <v>OK</v>
      </c>
      <c r="E199" t="s">
        <v>608</v>
      </c>
    </row>
    <row r="200" spans="1:5" x14ac:dyDescent="0.3">
      <c r="A200" s="16">
        <v>196</v>
      </c>
      <c r="B200" t="s">
        <v>1298</v>
      </c>
      <c r="C200" t="s">
        <v>484</v>
      </c>
      <c r="D200" t="str">
        <f>IF(ISNUMBER(MATCH(Tabla4[[#This Row],[Título]],CantoralDB[Título],0)),"OK","-")</f>
        <v>OK</v>
      </c>
      <c r="E200" t="s">
        <v>795</v>
      </c>
    </row>
    <row r="201" spans="1:5" x14ac:dyDescent="0.3">
      <c r="A201" s="16">
        <v>197</v>
      </c>
      <c r="B201" t="s">
        <v>1299</v>
      </c>
      <c r="C201" t="s">
        <v>488</v>
      </c>
      <c r="D201" t="str">
        <f>IF(ISNUMBER(MATCH(Tabla4[[#This Row],[Título]],CantoralDB[Título],0)),"OK","-")</f>
        <v>OK</v>
      </c>
      <c r="E201" t="s">
        <v>795</v>
      </c>
    </row>
    <row r="202" spans="1:5" x14ac:dyDescent="0.3">
      <c r="A202" s="16">
        <v>198</v>
      </c>
      <c r="B202" t="s">
        <v>106</v>
      </c>
      <c r="C202" t="s">
        <v>2101</v>
      </c>
      <c r="D202" t="str">
        <f>IF(ISNUMBER(MATCH(Tabla4[[#This Row],[Título]],CantoralDB[Título],0)),"OK","-")</f>
        <v>OK</v>
      </c>
      <c r="E202" t="s">
        <v>608</v>
      </c>
    </row>
    <row r="203" spans="1:5" x14ac:dyDescent="0.3">
      <c r="A203" s="16">
        <v>199</v>
      </c>
      <c r="B203" t="s">
        <v>1300</v>
      </c>
      <c r="C203" t="s">
        <v>2085</v>
      </c>
      <c r="D203" t="str">
        <f>IF(ISNUMBER(MATCH(Tabla4[[#This Row],[Título]],CantoralDB[Título],0)),"OK","-")</f>
        <v>OK</v>
      </c>
      <c r="E203" t="s">
        <v>795</v>
      </c>
    </row>
    <row r="204" spans="1:5" x14ac:dyDescent="0.3">
      <c r="A204" s="16">
        <v>200</v>
      </c>
      <c r="B204" t="s">
        <v>110</v>
      </c>
      <c r="C204" t="s">
        <v>503</v>
      </c>
      <c r="D204" t="str">
        <f>IF(ISNUMBER(MATCH(Tabla4[[#This Row],[Título]],CantoralDB[Título],0)),"OK","-")</f>
        <v>OK</v>
      </c>
      <c r="E204" t="s">
        <v>608</v>
      </c>
    </row>
    <row r="205" spans="1:5" x14ac:dyDescent="0.3">
      <c r="A205" s="16">
        <v>201</v>
      </c>
      <c r="B205" t="s">
        <v>109</v>
      </c>
      <c r="C205" t="s">
        <v>484</v>
      </c>
      <c r="D205" t="str">
        <f>IF(ISNUMBER(MATCH(Tabla4[[#This Row],[Título]],CantoralDB[Título],0)),"OK","-")</f>
        <v>OK</v>
      </c>
      <c r="E205" t="s">
        <v>608</v>
      </c>
    </row>
    <row r="206" spans="1:5" x14ac:dyDescent="0.3">
      <c r="A206" s="16">
        <v>202</v>
      </c>
      <c r="B206" t="s">
        <v>116</v>
      </c>
      <c r="C206" t="s">
        <v>509</v>
      </c>
      <c r="D206" t="str">
        <f>IF(ISNUMBER(MATCH(Tabla4[[#This Row],[Título]],CantoralDB[Título],0)),"OK","-")</f>
        <v>OK</v>
      </c>
      <c r="E206" t="s">
        <v>608</v>
      </c>
    </row>
    <row r="207" spans="1:5" x14ac:dyDescent="0.3">
      <c r="A207" s="16">
        <v>203</v>
      </c>
      <c r="B207" t="s">
        <v>114</v>
      </c>
      <c r="C207" t="s">
        <v>491</v>
      </c>
      <c r="D207" t="str">
        <f>IF(ISNUMBER(MATCH(Tabla4[[#This Row],[Título]],CantoralDB[Título],0)),"OK","-")</f>
        <v>OK</v>
      </c>
      <c r="E207" t="s">
        <v>608</v>
      </c>
    </row>
    <row r="208" spans="1:5" x14ac:dyDescent="0.3">
      <c r="A208" s="16">
        <v>204</v>
      </c>
      <c r="B208" t="s">
        <v>1301</v>
      </c>
      <c r="C208" t="s">
        <v>2085</v>
      </c>
      <c r="D208" t="str">
        <f>IF(ISNUMBER(MATCH(Tabla4[[#This Row],[Título]],CantoralDB[Título],0)),"OK","-")</f>
        <v>OK</v>
      </c>
      <c r="E208" t="s">
        <v>795</v>
      </c>
    </row>
    <row r="209" spans="1:5" x14ac:dyDescent="0.3">
      <c r="A209" s="16">
        <v>205</v>
      </c>
      <c r="B209" t="s">
        <v>117</v>
      </c>
      <c r="C209" t="s">
        <v>509</v>
      </c>
      <c r="D209" t="str">
        <f>IF(ISNUMBER(MATCH(Tabla4[[#This Row],[Título]],CantoralDB[Título],0)),"OK","-")</f>
        <v>OK</v>
      </c>
      <c r="E209" t="s">
        <v>608</v>
      </c>
    </row>
    <row r="210" spans="1:5" x14ac:dyDescent="0.3">
      <c r="A210" s="16">
        <v>206</v>
      </c>
      <c r="B210" t="s">
        <v>1302</v>
      </c>
      <c r="C210" t="s">
        <v>487</v>
      </c>
      <c r="D210" t="str">
        <f>IF(ISNUMBER(MATCH(Tabla4[[#This Row],[Título]],CantoralDB[Título],0)),"OK","-")</f>
        <v>OK</v>
      </c>
      <c r="E210" t="s">
        <v>795</v>
      </c>
    </row>
    <row r="211" spans="1:5" x14ac:dyDescent="0.3">
      <c r="A211" s="16">
        <v>207</v>
      </c>
      <c r="B211" t="s">
        <v>1303</v>
      </c>
      <c r="C211" t="s">
        <v>481</v>
      </c>
      <c r="D211" t="str">
        <f>IF(ISNUMBER(MATCH(Tabla4[[#This Row],[Título]],CantoralDB[Título],0)),"OK","-")</f>
        <v>-</v>
      </c>
      <c r="E211" t="s">
        <v>795</v>
      </c>
    </row>
    <row r="212" spans="1:5" x14ac:dyDescent="0.3">
      <c r="A212" s="16">
        <v>208</v>
      </c>
      <c r="B212" t="s">
        <v>247</v>
      </c>
      <c r="C212" t="s">
        <v>486</v>
      </c>
      <c r="D212" t="str">
        <f>IF(ISNUMBER(MATCH(Tabla4[[#This Row],[Título]],CantoralDB[Título],0)),"OK","-")</f>
        <v>OK</v>
      </c>
      <c r="E212" t="s">
        <v>608</v>
      </c>
    </row>
    <row r="213" spans="1:5" x14ac:dyDescent="0.3">
      <c r="A213" s="16">
        <v>209</v>
      </c>
      <c r="B213" t="s">
        <v>186</v>
      </c>
      <c r="C213" t="s">
        <v>488</v>
      </c>
      <c r="D213" t="str">
        <f>IF(ISNUMBER(MATCH(Tabla4[[#This Row],[Título]],CantoralDB[Título],0)),"OK","-")</f>
        <v>OK</v>
      </c>
      <c r="E213" t="s">
        <v>608</v>
      </c>
    </row>
    <row r="214" spans="1:5" x14ac:dyDescent="0.3">
      <c r="A214" s="16">
        <v>210</v>
      </c>
      <c r="B214" t="s">
        <v>1243</v>
      </c>
      <c r="C214" t="s">
        <v>503</v>
      </c>
      <c r="D214" t="str">
        <f>IF(ISNUMBER(MATCH(Tabla4[[#This Row],[Título]],CantoralDB[Título],0)),"OK","-")</f>
        <v>OK</v>
      </c>
      <c r="E214" t="s">
        <v>795</v>
      </c>
    </row>
    <row r="215" spans="1:5" x14ac:dyDescent="0.3">
      <c r="A215" s="16">
        <v>211</v>
      </c>
      <c r="B215" t="s">
        <v>118</v>
      </c>
      <c r="C215" t="s">
        <v>479</v>
      </c>
      <c r="D215" t="str">
        <f>IF(ISNUMBER(MATCH(Tabla4[[#This Row],[Título]],CantoralDB[Título],0)),"OK","-")</f>
        <v>OK</v>
      </c>
      <c r="E215" t="s">
        <v>608</v>
      </c>
    </row>
    <row r="216" spans="1:5" x14ac:dyDescent="0.3">
      <c r="A216" s="16">
        <v>212</v>
      </c>
      <c r="B216" t="s">
        <v>1304</v>
      </c>
      <c r="C216" t="s">
        <v>491</v>
      </c>
      <c r="D216" t="str">
        <f>IF(ISNUMBER(MATCH(Tabla4[[#This Row],[Título]],CantoralDB[Título],0)),"OK","-")</f>
        <v>OK</v>
      </c>
      <c r="E216" t="s">
        <v>795</v>
      </c>
    </row>
    <row r="217" spans="1:5" x14ac:dyDescent="0.3">
      <c r="A217" s="16">
        <v>213</v>
      </c>
      <c r="B217" t="s">
        <v>1305</v>
      </c>
      <c r="C217" t="s">
        <v>488</v>
      </c>
      <c r="D217" t="str">
        <f>IF(ISNUMBER(MATCH(Tabla4[[#This Row],[Título]],CantoralDB[Título],0)),"OK","-")</f>
        <v>-</v>
      </c>
      <c r="E217" t="s">
        <v>795</v>
      </c>
    </row>
    <row r="218" spans="1:5" x14ac:dyDescent="0.3">
      <c r="A218" s="16">
        <v>214</v>
      </c>
      <c r="B218" t="s">
        <v>113</v>
      </c>
      <c r="C218" t="s">
        <v>503</v>
      </c>
      <c r="D218" t="str">
        <f>IF(ISNUMBER(MATCH(Tabla4[[#This Row],[Título]],CantoralDB[Título],0)),"OK","-")</f>
        <v>OK</v>
      </c>
      <c r="E218" t="s">
        <v>608</v>
      </c>
    </row>
    <row r="219" spans="1:5" x14ac:dyDescent="0.3">
      <c r="A219" s="16">
        <v>215</v>
      </c>
      <c r="B219" t="s">
        <v>1306</v>
      </c>
      <c r="C219" t="s">
        <v>480</v>
      </c>
      <c r="D219" t="str">
        <f>IF(ISNUMBER(MATCH(Tabla4[[#This Row],[Título]],CantoralDB[Título],0)),"OK","-")</f>
        <v>OK</v>
      </c>
      <c r="E219" t="s">
        <v>795</v>
      </c>
    </row>
    <row r="220" spans="1:5" x14ac:dyDescent="0.3">
      <c r="A220" s="16">
        <v>216</v>
      </c>
      <c r="B220" t="s">
        <v>1307</v>
      </c>
      <c r="C220" t="s">
        <v>2143</v>
      </c>
      <c r="D220" t="str">
        <f>IF(ISNUMBER(MATCH(Tabla4[[#This Row],[Título]],CantoralDB[Título],0)),"OK","-")</f>
        <v>OK</v>
      </c>
      <c r="E220" t="s">
        <v>795</v>
      </c>
    </row>
    <row r="221" spans="1:5" x14ac:dyDescent="0.3">
      <c r="A221" s="16">
        <v>217</v>
      </c>
      <c r="B221" t="s">
        <v>121</v>
      </c>
      <c r="C221" t="s">
        <v>486</v>
      </c>
      <c r="D221" t="str">
        <f>IF(ISNUMBER(MATCH(Tabla4[[#This Row],[Título]],CantoralDB[Título],0)),"OK","-")</f>
        <v>OK</v>
      </c>
      <c r="E221" t="s">
        <v>608</v>
      </c>
    </row>
    <row r="222" spans="1:5" x14ac:dyDescent="0.3">
      <c r="A222" s="16">
        <v>218</v>
      </c>
      <c r="B222" t="s">
        <v>1308</v>
      </c>
      <c r="C222" t="s">
        <v>2087</v>
      </c>
      <c r="D222" t="str">
        <f>IF(ISNUMBER(MATCH(Tabla4[[#This Row],[Título]],CantoralDB[Título],0)),"OK","-")</f>
        <v>OK</v>
      </c>
      <c r="E222" t="s">
        <v>795</v>
      </c>
    </row>
    <row r="223" spans="1:5" x14ac:dyDescent="0.3">
      <c r="A223" s="16">
        <v>219</v>
      </c>
      <c r="B223" t="s">
        <v>1309</v>
      </c>
      <c r="C223" t="s">
        <v>2102</v>
      </c>
      <c r="D223" t="str">
        <f>IF(ISNUMBER(MATCH(Tabla4[[#This Row],[Título]],CantoralDB[Título],0)),"OK","-")</f>
        <v>OK</v>
      </c>
      <c r="E223" t="s">
        <v>795</v>
      </c>
    </row>
    <row r="224" spans="1:5" x14ac:dyDescent="0.3">
      <c r="A224" s="16">
        <v>220</v>
      </c>
      <c r="B224" t="s">
        <v>122</v>
      </c>
      <c r="C224" t="s">
        <v>491</v>
      </c>
      <c r="D224" t="str">
        <f>IF(ISNUMBER(MATCH(Tabla4[[#This Row],[Título]],CantoralDB[Título],0)),"OK","-")</f>
        <v>OK</v>
      </c>
      <c r="E224" t="s">
        <v>608</v>
      </c>
    </row>
    <row r="225" spans="1:5" x14ac:dyDescent="0.3">
      <c r="A225" s="16">
        <v>221</v>
      </c>
      <c r="B225" t="s">
        <v>119</v>
      </c>
      <c r="C225" t="s">
        <v>487</v>
      </c>
      <c r="D225" t="str">
        <f>IF(ISNUMBER(MATCH(Tabla4[[#This Row],[Título]],CantoralDB[Título],0)),"OK","-")</f>
        <v>OK</v>
      </c>
      <c r="E225" t="s">
        <v>608</v>
      </c>
    </row>
    <row r="226" spans="1:5" x14ac:dyDescent="0.3">
      <c r="A226" s="16">
        <v>222</v>
      </c>
      <c r="B226" t="s">
        <v>123</v>
      </c>
      <c r="C226" t="s">
        <v>491</v>
      </c>
      <c r="D226" t="str">
        <f>IF(ISNUMBER(MATCH(Tabla4[[#This Row],[Título]],CantoralDB[Título],0)),"OK","-")</f>
        <v>OK</v>
      </c>
      <c r="E226" t="s">
        <v>608</v>
      </c>
    </row>
    <row r="227" spans="1:5" x14ac:dyDescent="0.3">
      <c r="A227" s="16">
        <v>223</v>
      </c>
      <c r="B227" t="s">
        <v>1310</v>
      </c>
      <c r="C227" t="s">
        <v>2085</v>
      </c>
      <c r="D227" t="str">
        <f>IF(ISNUMBER(MATCH(Tabla4[[#This Row],[Título]],CantoralDB[Título],0)),"OK","-")</f>
        <v>OK</v>
      </c>
      <c r="E227" t="s">
        <v>795</v>
      </c>
    </row>
    <row r="228" spans="1:5" x14ac:dyDescent="0.3">
      <c r="A228" s="16">
        <v>224</v>
      </c>
      <c r="B228" t="s">
        <v>1311</v>
      </c>
      <c r="C228" t="s">
        <v>2099</v>
      </c>
      <c r="D228" t="str">
        <f>IF(ISNUMBER(MATCH(Tabla4[[#This Row],[Título]],CantoralDB[Título],0)),"OK","-")</f>
        <v>OK</v>
      </c>
      <c r="E228" t="s">
        <v>795</v>
      </c>
    </row>
    <row r="229" spans="1:5" x14ac:dyDescent="0.3">
      <c r="A229" s="16">
        <v>225</v>
      </c>
      <c r="B229" t="s">
        <v>126</v>
      </c>
      <c r="C229" t="s">
        <v>578</v>
      </c>
      <c r="D229" t="str">
        <f>IF(ISNUMBER(MATCH(Tabla4[[#This Row],[Título]],CantoralDB[Título],0)),"OK","-")</f>
        <v>OK</v>
      </c>
      <c r="E229" t="s">
        <v>608</v>
      </c>
    </row>
    <row r="230" spans="1:5" x14ac:dyDescent="0.3">
      <c r="A230" s="16">
        <v>226</v>
      </c>
      <c r="B230" t="s">
        <v>1312</v>
      </c>
      <c r="C230" t="s">
        <v>484</v>
      </c>
      <c r="D230" t="str">
        <f>IF(ISNUMBER(MATCH(Tabla4[[#This Row],[Título]],CantoralDB[Título],0)),"OK","-")</f>
        <v>OK</v>
      </c>
      <c r="E230" t="s">
        <v>795</v>
      </c>
    </row>
    <row r="231" spans="1:5" x14ac:dyDescent="0.3">
      <c r="A231" s="16">
        <v>227</v>
      </c>
      <c r="B231" t="s">
        <v>125</v>
      </c>
      <c r="C231" t="s">
        <v>481</v>
      </c>
      <c r="D231" t="str">
        <f>IF(ISNUMBER(MATCH(Tabla4[[#This Row],[Título]],CantoralDB[Título],0)),"OK","-")</f>
        <v>OK</v>
      </c>
      <c r="E231" t="s">
        <v>608</v>
      </c>
    </row>
    <row r="232" spans="1:5" x14ac:dyDescent="0.3">
      <c r="A232" s="16">
        <v>228</v>
      </c>
      <c r="B232" t="s">
        <v>1313</v>
      </c>
      <c r="C232" t="s">
        <v>2103</v>
      </c>
      <c r="D232" t="str">
        <f>IF(ISNUMBER(MATCH(Tabla4[[#This Row],[Título]],CantoralDB[Título],0)),"OK","-")</f>
        <v>-</v>
      </c>
      <c r="E232" t="s">
        <v>795</v>
      </c>
    </row>
    <row r="233" spans="1:5" x14ac:dyDescent="0.3">
      <c r="A233" s="16">
        <v>229</v>
      </c>
      <c r="B233" t="s">
        <v>1314</v>
      </c>
      <c r="C233" t="s">
        <v>509</v>
      </c>
      <c r="D233" t="str">
        <f>IF(ISNUMBER(MATCH(Tabla4[[#This Row],[Título]],CantoralDB[Título],0)),"OK","-")</f>
        <v>OK</v>
      </c>
      <c r="E233" t="s">
        <v>795</v>
      </c>
    </row>
    <row r="234" spans="1:5" x14ac:dyDescent="0.3">
      <c r="A234" s="16">
        <v>230</v>
      </c>
      <c r="B234" t="s">
        <v>1315</v>
      </c>
      <c r="C234" t="s">
        <v>2077</v>
      </c>
      <c r="D234" t="str">
        <f>IF(ISNUMBER(MATCH(Tabla4[[#This Row],[Título]],CantoralDB[Título],0)),"OK","-")</f>
        <v>OK</v>
      </c>
      <c r="E234" t="s">
        <v>795</v>
      </c>
    </row>
    <row r="235" spans="1:5" x14ac:dyDescent="0.3">
      <c r="A235" s="16">
        <v>231</v>
      </c>
      <c r="B235" t="s">
        <v>527</v>
      </c>
      <c r="C235" t="s">
        <v>518</v>
      </c>
      <c r="D235" t="str">
        <f>IF(ISNUMBER(MATCH(Tabla4[[#This Row],[Título]],CantoralDB[Título],0)),"OK","-")</f>
        <v>OK</v>
      </c>
      <c r="E235" t="s">
        <v>608</v>
      </c>
    </row>
    <row r="236" spans="1:5" x14ac:dyDescent="0.3">
      <c r="A236" s="16">
        <v>232</v>
      </c>
      <c r="B236" t="s">
        <v>1316</v>
      </c>
      <c r="C236" t="s">
        <v>481</v>
      </c>
      <c r="D236" t="str">
        <f>IF(ISNUMBER(MATCH(Tabla4[[#This Row],[Título]],CantoralDB[Título],0)),"OK","-")</f>
        <v>-</v>
      </c>
      <c r="E236" t="s">
        <v>795</v>
      </c>
    </row>
    <row r="237" spans="1:5" x14ac:dyDescent="0.3">
      <c r="A237" s="16">
        <v>233</v>
      </c>
      <c r="B237" t="s">
        <v>132</v>
      </c>
      <c r="C237" t="s">
        <v>503</v>
      </c>
      <c r="D237" t="str">
        <f>IF(ISNUMBER(MATCH(Tabla4[[#This Row],[Título]],CantoralDB[Título],0)),"OK","-")</f>
        <v>OK</v>
      </c>
      <c r="E237" t="s">
        <v>608</v>
      </c>
    </row>
    <row r="238" spans="1:5" x14ac:dyDescent="0.3">
      <c r="A238" s="16">
        <v>234</v>
      </c>
      <c r="B238" t="s">
        <v>134</v>
      </c>
      <c r="C238" t="s">
        <v>517</v>
      </c>
      <c r="D238" t="str">
        <f>IF(ISNUMBER(MATCH(Tabla4[[#This Row],[Título]],CantoralDB[Título],0)),"OK","-")</f>
        <v>OK</v>
      </c>
      <c r="E238" t="s">
        <v>608</v>
      </c>
    </row>
    <row r="239" spans="1:5" x14ac:dyDescent="0.3">
      <c r="A239" s="16">
        <v>235</v>
      </c>
      <c r="B239" t="s">
        <v>135</v>
      </c>
      <c r="C239" t="s">
        <v>517</v>
      </c>
      <c r="D239" t="str">
        <f>IF(ISNUMBER(MATCH(Tabla4[[#This Row],[Título]],CantoralDB[Título],0)),"OK","-")</f>
        <v>OK</v>
      </c>
      <c r="E239" t="s">
        <v>608</v>
      </c>
    </row>
    <row r="240" spans="1:5" x14ac:dyDescent="0.3">
      <c r="A240" s="16">
        <v>236</v>
      </c>
      <c r="B240" t="s">
        <v>1317</v>
      </c>
      <c r="C240" t="s">
        <v>503</v>
      </c>
      <c r="D240" t="str">
        <f>IF(ISNUMBER(MATCH(Tabla4[[#This Row],[Título]],CantoralDB[Título],0)),"OK","-")</f>
        <v>OK</v>
      </c>
      <c r="E240" t="s">
        <v>795</v>
      </c>
    </row>
    <row r="241" spans="1:5" x14ac:dyDescent="0.3">
      <c r="A241" s="16">
        <v>237</v>
      </c>
      <c r="B241" t="s">
        <v>138</v>
      </c>
      <c r="C241" t="s">
        <v>543</v>
      </c>
      <c r="D241" t="str">
        <f>IF(ISNUMBER(MATCH(Tabla4[[#This Row],[Título]],CantoralDB[Título],0)),"OK","-")</f>
        <v>OK</v>
      </c>
      <c r="E241" t="s">
        <v>608</v>
      </c>
    </row>
    <row r="242" spans="1:5" x14ac:dyDescent="0.3">
      <c r="A242" s="16">
        <v>238</v>
      </c>
      <c r="B242" t="s">
        <v>1318</v>
      </c>
      <c r="C242" t="s">
        <v>2084</v>
      </c>
      <c r="D242" t="str">
        <f>IF(ISNUMBER(MATCH(Tabla4[[#This Row],[Título]],CantoralDB[Título],0)),"OK","-")</f>
        <v>OK</v>
      </c>
      <c r="E242" t="s">
        <v>795</v>
      </c>
    </row>
    <row r="243" spans="1:5" x14ac:dyDescent="0.3">
      <c r="A243" s="16">
        <v>239</v>
      </c>
      <c r="B243" t="s">
        <v>1319</v>
      </c>
      <c r="C243" t="s">
        <v>543</v>
      </c>
      <c r="D243" t="str">
        <f>IF(ISNUMBER(MATCH(Tabla4[[#This Row],[Título]],CantoralDB[Título],0)),"OK","-")</f>
        <v>OK</v>
      </c>
      <c r="E243" t="s">
        <v>795</v>
      </c>
    </row>
    <row r="244" spans="1:5" x14ac:dyDescent="0.3">
      <c r="A244" s="16">
        <v>240</v>
      </c>
      <c r="B244" t="s">
        <v>1320</v>
      </c>
      <c r="C244" t="s">
        <v>481</v>
      </c>
      <c r="D244" t="str">
        <f>IF(ISNUMBER(MATCH(Tabla4[[#This Row],[Título]],CantoralDB[Título],0)),"OK","-")</f>
        <v>OK</v>
      </c>
      <c r="E244" t="s">
        <v>795</v>
      </c>
    </row>
    <row r="245" spans="1:5" x14ac:dyDescent="0.3">
      <c r="A245" s="16">
        <v>241</v>
      </c>
      <c r="B245" t="s">
        <v>137</v>
      </c>
      <c r="C245" t="s">
        <v>483</v>
      </c>
      <c r="D245" t="str">
        <f>IF(ISNUMBER(MATCH(Tabla4[[#This Row],[Título]],CantoralDB[Título],0)),"OK","-")</f>
        <v>OK</v>
      </c>
      <c r="E245" t="s">
        <v>608</v>
      </c>
    </row>
    <row r="246" spans="1:5" x14ac:dyDescent="0.3">
      <c r="A246" s="16">
        <v>242</v>
      </c>
      <c r="B246" t="s">
        <v>1321</v>
      </c>
      <c r="C246" t="s">
        <v>2100</v>
      </c>
      <c r="D246" t="str">
        <f>IF(ISNUMBER(MATCH(Tabla4[[#This Row],[Título]],CantoralDB[Título],0)),"OK","-")</f>
        <v>OK</v>
      </c>
      <c r="E246" t="s">
        <v>795</v>
      </c>
    </row>
    <row r="247" spans="1:5" x14ac:dyDescent="0.3">
      <c r="A247" s="16">
        <v>243</v>
      </c>
      <c r="B247" t="s">
        <v>1322</v>
      </c>
      <c r="C247" t="s">
        <v>491</v>
      </c>
      <c r="D247" t="str">
        <f>IF(ISNUMBER(MATCH(Tabla4[[#This Row],[Título]],CantoralDB[Título],0)),"OK","-")</f>
        <v>OK</v>
      </c>
      <c r="E247" t="s">
        <v>795</v>
      </c>
    </row>
    <row r="248" spans="1:5" x14ac:dyDescent="0.3">
      <c r="A248" s="16">
        <v>244</v>
      </c>
      <c r="B248" t="s">
        <v>1323</v>
      </c>
      <c r="C248" t="s">
        <v>479</v>
      </c>
      <c r="D248" t="str">
        <f>IF(ISNUMBER(MATCH(Tabla4[[#This Row],[Título]],CantoralDB[Título],0)),"OK","-")</f>
        <v>OK</v>
      </c>
      <c r="E248" t="s">
        <v>795</v>
      </c>
    </row>
    <row r="249" spans="1:5" x14ac:dyDescent="0.3">
      <c r="A249" s="16">
        <v>245</v>
      </c>
      <c r="B249" t="s">
        <v>1235</v>
      </c>
      <c r="C249" t="s">
        <v>481</v>
      </c>
      <c r="D249" t="str">
        <f>IF(ISNUMBER(MATCH(Tabla4[[#This Row],[Título]],CantoralDB[Título],0)),"OK","-")</f>
        <v>OK</v>
      </c>
      <c r="E249" t="s">
        <v>608</v>
      </c>
    </row>
    <row r="250" spans="1:5" x14ac:dyDescent="0.3">
      <c r="A250" s="16">
        <v>246</v>
      </c>
      <c r="B250" t="s">
        <v>1324</v>
      </c>
      <c r="C250" t="s">
        <v>543</v>
      </c>
      <c r="D250" t="str">
        <f>IF(ISNUMBER(MATCH(Tabla4[[#This Row],[Título]],CantoralDB[Título],0)),"OK","-")</f>
        <v>OK</v>
      </c>
      <c r="E250" t="s">
        <v>795</v>
      </c>
    </row>
    <row r="251" spans="1:5" x14ac:dyDescent="0.3">
      <c r="A251" s="16" t="s">
        <v>2104</v>
      </c>
      <c r="B251" t="s">
        <v>1325</v>
      </c>
      <c r="C251" t="s">
        <v>486</v>
      </c>
      <c r="D251" t="str">
        <f>IF(ISNUMBER(MATCH(Tabla4[[#This Row],[Título]],CantoralDB[Título],0)),"OK","-")</f>
        <v>OK</v>
      </c>
      <c r="E251" t="s">
        <v>795</v>
      </c>
    </row>
    <row r="252" spans="1:5" x14ac:dyDescent="0.3">
      <c r="A252" s="16">
        <v>247</v>
      </c>
      <c r="B252" t="s">
        <v>1326</v>
      </c>
      <c r="C252" t="s">
        <v>480</v>
      </c>
      <c r="D252" t="str">
        <f>IF(ISNUMBER(MATCH(Tabla4[[#This Row],[Título]],CantoralDB[Título],0)),"OK","-")</f>
        <v>OK</v>
      </c>
      <c r="E252" t="s">
        <v>795</v>
      </c>
    </row>
    <row r="253" spans="1:5" x14ac:dyDescent="0.3">
      <c r="A253" s="16">
        <v>248</v>
      </c>
      <c r="B253" t="s">
        <v>2105</v>
      </c>
      <c r="C253" t="s">
        <v>517</v>
      </c>
      <c r="D253" t="str">
        <f>IF(ISNUMBER(MATCH(Tabla4[[#This Row],[Título]],CantoralDB[Título],0)),"OK","-")</f>
        <v>OK</v>
      </c>
      <c r="E253" t="s">
        <v>795</v>
      </c>
    </row>
    <row r="254" spans="1:5" x14ac:dyDescent="0.3">
      <c r="A254" s="16">
        <v>249</v>
      </c>
      <c r="B254" t="s">
        <v>1327</v>
      </c>
      <c r="C254" t="s">
        <v>2083</v>
      </c>
      <c r="D254" t="str">
        <f>IF(ISNUMBER(MATCH(Tabla4[[#This Row],[Título]],CantoralDB[Título],0)),"OK","-")</f>
        <v>-</v>
      </c>
      <c r="E254" t="s">
        <v>795</v>
      </c>
    </row>
    <row r="255" spans="1:5" x14ac:dyDescent="0.3">
      <c r="A255" s="16">
        <v>250</v>
      </c>
      <c r="B255" t="s">
        <v>1328</v>
      </c>
      <c r="C255" t="s">
        <v>2083</v>
      </c>
      <c r="D255" t="str">
        <f>IF(ISNUMBER(MATCH(Tabla4[[#This Row],[Título]],CantoralDB[Título],0)),"OK","-")</f>
        <v>-</v>
      </c>
      <c r="E255" t="s">
        <v>795</v>
      </c>
    </row>
    <row r="256" spans="1:5" x14ac:dyDescent="0.3">
      <c r="A256" s="16">
        <v>251</v>
      </c>
      <c r="B256" t="s">
        <v>597</v>
      </c>
      <c r="C256" t="s">
        <v>483</v>
      </c>
      <c r="D256" t="str">
        <f>IF(ISNUMBER(MATCH(Tabla4[[#This Row],[Título]],CantoralDB[Título],0)),"OK","-")</f>
        <v>OK</v>
      </c>
      <c r="E256" t="s">
        <v>608</v>
      </c>
    </row>
    <row r="257" spans="1:5" x14ac:dyDescent="0.3">
      <c r="A257" s="16">
        <v>252</v>
      </c>
      <c r="B257" t="s">
        <v>1329</v>
      </c>
      <c r="C257" t="s">
        <v>484</v>
      </c>
      <c r="D257" t="str">
        <f>IF(ISNUMBER(MATCH(Tabla4[[#This Row],[Título]],CantoralDB[Título],0)),"OK","-")</f>
        <v>OK</v>
      </c>
      <c r="E257" t="s">
        <v>795</v>
      </c>
    </row>
    <row r="258" spans="1:5" x14ac:dyDescent="0.3">
      <c r="A258" s="16">
        <v>253</v>
      </c>
      <c r="B258" t="s">
        <v>1330</v>
      </c>
      <c r="C258" t="s">
        <v>2099</v>
      </c>
      <c r="D258" t="str">
        <f>IF(ISNUMBER(MATCH(Tabla4[[#This Row],[Título]],CantoralDB[Título],0)),"OK","-")</f>
        <v>OK</v>
      </c>
      <c r="E258" t="s">
        <v>795</v>
      </c>
    </row>
    <row r="259" spans="1:5" x14ac:dyDescent="0.3">
      <c r="A259" s="16">
        <v>254</v>
      </c>
      <c r="B259" t="s">
        <v>148</v>
      </c>
      <c r="C259" t="s">
        <v>491</v>
      </c>
      <c r="D259" t="str">
        <f>IF(ISNUMBER(MATCH(Tabla4[[#This Row],[Título]],CantoralDB[Título],0)),"OK","-")</f>
        <v>OK</v>
      </c>
      <c r="E259" t="s">
        <v>608</v>
      </c>
    </row>
    <row r="260" spans="1:5" x14ac:dyDescent="0.3">
      <c r="A260" s="16">
        <v>255</v>
      </c>
      <c r="B260" t="s">
        <v>142</v>
      </c>
      <c r="C260" t="s">
        <v>503</v>
      </c>
      <c r="D260" t="str">
        <f>IF(ISNUMBER(MATCH(Tabla4[[#This Row],[Título]],CantoralDB[Título],0)),"OK","-")</f>
        <v>OK</v>
      </c>
      <c r="E260" t="s">
        <v>608</v>
      </c>
    </row>
    <row r="261" spans="1:5" x14ac:dyDescent="0.3">
      <c r="A261" s="16">
        <v>256</v>
      </c>
      <c r="B261" t="s">
        <v>1331</v>
      </c>
      <c r="C261" t="s">
        <v>543</v>
      </c>
      <c r="D261" t="str">
        <f>IF(ISNUMBER(MATCH(Tabla4[[#This Row],[Título]],CantoralDB[Título],0)),"OK","-")</f>
        <v>OK</v>
      </c>
      <c r="E261" t="s">
        <v>795</v>
      </c>
    </row>
    <row r="262" spans="1:5" x14ac:dyDescent="0.3">
      <c r="A262" s="16">
        <v>257</v>
      </c>
      <c r="B262" t="s">
        <v>141</v>
      </c>
      <c r="C262" t="s">
        <v>509</v>
      </c>
      <c r="D262" t="str">
        <f>IF(ISNUMBER(MATCH(Tabla4[[#This Row],[Título]],CantoralDB[Título],0)),"OK","-")</f>
        <v>OK</v>
      </c>
      <c r="E262" t="s">
        <v>608</v>
      </c>
    </row>
    <row r="263" spans="1:5" x14ac:dyDescent="0.3">
      <c r="A263" s="16">
        <v>258</v>
      </c>
      <c r="B263" t="s">
        <v>140</v>
      </c>
      <c r="C263" t="s">
        <v>491</v>
      </c>
      <c r="D263" t="str">
        <f>IF(ISNUMBER(MATCH(Tabla4[[#This Row],[Título]],CantoralDB[Título],0)),"OK","-")</f>
        <v>OK</v>
      </c>
      <c r="E263" t="s">
        <v>608</v>
      </c>
    </row>
    <row r="264" spans="1:5" x14ac:dyDescent="0.3">
      <c r="A264" s="16">
        <v>259</v>
      </c>
      <c r="B264" t="s">
        <v>1332</v>
      </c>
      <c r="C264" t="s">
        <v>503</v>
      </c>
      <c r="D264" t="str">
        <f>IF(ISNUMBER(MATCH(Tabla4[[#This Row],[Título]],CantoralDB[Título],0)),"OK","-")</f>
        <v>-</v>
      </c>
      <c r="E264" t="s">
        <v>795</v>
      </c>
    </row>
    <row r="265" spans="1:5" x14ac:dyDescent="0.3">
      <c r="A265" s="16">
        <v>260</v>
      </c>
      <c r="B265" t="s">
        <v>1333</v>
      </c>
      <c r="C265" t="s">
        <v>543</v>
      </c>
      <c r="D265" t="str">
        <f>IF(ISNUMBER(MATCH(Tabla4[[#This Row],[Título]],CantoralDB[Título],0)),"OK","-")</f>
        <v>OK</v>
      </c>
      <c r="E265" t="s">
        <v>795</v>
      </c>
    </row>
    <row r="266" spans="1:5" x14ac:dyDescent="0.3">
      <c r="A266" s="16">
        <v>261</v>
      </c>
      <c r="B266" t="s">
        <v>1334</v>
      </c>
      <c r="C266" t="s">
        <v>479</v>
      </c>
      <c r="D266" t="str">
        <f>IF(ISNUMBER(MATCH(Tabla4[[#This Row],[Título]],CantoralDB[Título],0)),"OK","-")</f>
        <v>-</v>
      </c>
      <c r="E266" t="s">
        <v>795</v>
      </c>
    </row>
    <row r="267" spans="1:5" x14ac:dyDescent="0.3">
      <c r="A267" s="16">
        <v>262</v>
      </c>
      <c r="B267" t="s">
        <v>147</v>
      </c>
      <c r="C267" t="s">
        <v>491</v>
      </c>
      <c r="D267" t="str">
        <f>IF(ISNUMBER(MATCH(Tabla4[[#This Row],[Título]],CantoralDB[Título],0)),"OK","-")</f>
        <v>OK</v>
      </c>
      <c r="E267" t="s">
        <v>608</v>
      </c>
    </row>
    <row r="268" spans="1:5" x14ac:dyDescent="0.3">
      <c r="A268" s="16">
        <v>263</v>
      </c>
      <c r="B268" t="s">
        <v>1335</v>
      </c>
      <c r="C268" t="s">
        <v>2077</v>
      </c>
      <c r="D268" t="str">
        <f>IF(ISNUMBER(MATCH(Tabla4[[#This Row],[Título]],CantoralDB[Título],0)),"OK","-")</f>
        <v>OK</v>
      </c>
      <c r="E268" t="s">
        <v>795</v>
      </c>
    </row>
    <row r="269" spans="1:5" x14ac:dyDescent="0.3">
      <c r="A269" s="16">
        <v>264</v>
      </c>
      <c r="B269" t="s">
        <v>149</v>
      </c>
      <c r="C269" t="s">
        <v>487</v>
      </c>
      <c r="D269" t="str">
        <f>IF(ISNUMBER(MATCH(Tabla4[[#This Row],[Título]],CantoralDB[Título],0)),"OK","-")</f>
        <v>OK</v>
      </c>
      <c r="E269" t="s">
        <v>608</v>
      </c>
    </row>
    <row r="270" spans="1:5" x14ac:dyDescent="0.3">
      <c r="A270" s="16">
        <v>265</v>
      </c>
      <c r="B270" t="s">
        <v>145</v>
      </c>
      <c r="C270" t="s">
        <v>503</v>
      </c>
      <c r="D270" t="str">
        <f>IF(ISNUMBER(MATCH(Tabla4[[#This Row],[Título]],CantoralDB[Título],0)),"OK","-")</f>
        <v>OK</v>
      </c>
      <c r="E270" t="s">
        <v>608</v>
      </c>
    </row>
    <row r="271" spans="1:5" x14ac:dyDescent="0.3">
      <c r="A271" s="16">
        <v>266</v>
      </c>
      <c r="B271" t="s">
        <v>143</v>
      </c>
      <c r="C271" t="s">
        <v>483</v>
      </c>
      <c r="D271" t="str">
        <f>IF(ISNUMBER(MATCH(Tabla4[[#This Row],[Título]],CantoralDB[Título],0)),"OK","-")</f>
        <v>OK</v>
      </c>
      <c r="E271" t="s">
        <v>608</v>
      </c>
    </row>
    <row r="272" spans="1:5" x14ac:dyDescent="0.3">
      <c r="A272" s="16">
        <v>267</v>
      </c>
      <c r="B272" t="s">
        <v>1336</v>
      </c>
      <c r="C272" t="s">
        <v>2081</v>
      </c>
      <c r="D272" t="str">
        <f>IF(ISNUMBER(MATCH(Tabla4[[#This Row],[Título]],CantoralDB[Título],0)),"OK","-")</f>
        <v>OK</v>
      </c>
      <c r="E272" t="s">
        <v>795</v>
      </c>
    </row>
    <row r="273" spans="1:5" x14ac:dyDescent="0.3">
      <c r="A273" s="16">
        <v>268</v>
      </c>
      <c r="B273" t="s">
        <v>1337</v>
      </c>
      <c r="C273" t="s">
        <v>2078</v>
      </c>
      <c r="D273" t="str">
        <f>IF(ISNUMBER(MATCH(Tabla4[[#This Row],[Título]],CantoralDB[Título],0)),"OK","-")</f>
        <v>OK</v>
      </c>
      <c r="E273" t="s">
        <v>795</v>
      </c>
    </row>
    <row r="274" spans="1:5" x14ac:dyDescent="0.3">
      <c r="A274" s="16">
        <v>269</v>
      </c>
      <c r="B274" t="s">
        <v>1338</v>
      </c>
      <c r="C274" t="s">
        <v>491</v>
      </c>
      <c r="D274" t="str">
        <f>IF(ISNUMBER(MATCH(Tabla4[[#This Row],[Título]],CantoralDB[Título],0)),"OK","-")</f>
        <v>OK</v>
      </c>
      <c r="E274" t="s">
        <v>795</v>
      </c>
    </row>
    <row r="275" spans="1:5" x14ac:dyDescent="0.3">
      <c r="A275" s="16">
        <v>270</v>
      </c>
      <c r="B275" t="s">
        <v>152</v>
      </c>
      <c r="C275" t="s">
        <v>503</v>
      </c>
      <c r="D275" t="str">
        <f>IF(ISNUMBER(MATCH(Tabla4[[#This Row],[Título]],CantoralDB[Título],0)),"OK","-")</f>
        <v>OK</v>
      </c>
      <c r="E275" t="s">
        <v>608</v>
      </c>
    </row>
    <row r="276" spans="1:5" x14ac:dyDescent="0.3">
      <c r="A276" s="16">
        <v>271</v>
      </c>
      <c r="B276" t="s">
        <v>153</v>
      </c>
      <c r="C276" t="s">
        <v>483</v>
      </c>
      <c r="D276" t="str">
        <f>IF(ISNUMBER(MATCH(Tabla4[[#This Row],[Título]],CantoralDB[Título],0)),"OK","-")</f>
        <v>OK</v>
      </c>
      <c r="E276" t="s">
        <v>608</v>
      </c>
    </row>
    <row r="277" spans="1:5" x14ac:dyDescent="0.3">
      <c r="A277" s="16">
        <v>272</v>
      </c>
      <c r="B277" t="s">
        <v>477</v>
      </c>
      <c r="C277" t="s">
        <v>491</v>
      </c>
      <c r="D277" t="str">
        <f>IF(ISNUMBER(MATCH(Tabla4[[#This Row],[Título]],CantoralDB[Título],0)),"OK","-")</f>
        <v>OK</v>
      </c>
      <c r="E277" t="s">
        <v>608</v>
      </c>
    </row>
    <row r="278" spans="1:5" x14ac:dyDescent="0.3">
      <c r="A278" s="16">
        <v>273</v>
      </c>
      <c r="B278" t="s">
        <v>1339</v>
      </c>
      <c r="C278" t="s">
        <v>2084</v>
      </c>
      <c r="D278" t="str">
        <f>IF(ISNUMBER(MATCH(Tabla4[[#This Row],[Título]],CantoralDB[Título],0)),"OK","-")</f>
        <v>OK</v>
      </c>
      <c r="E278" t="s">
        <v>795</v>
      </c>
    </row>
    <row r="279" spans="1:5" x14ac:dyDescent="0.3">
      <c r="A279" s="16">
        <v>274</v>
      </c>
      <c r="B279" t="s">
        <v>154</v>
      </c>
      <c r="C279" t="s">
        <v>483</v>
      </c>
      <c r="D279" t="str">
        <f>IF(ISNUMBER(MATCH(Tabla4[[#This Row],[Título]],CantoralDB[Título],0)),"OK","-")</f>
        <v>OK</v>
      </c>
      <c r="E279" t="s">
        <v>608</v>
      </c>
    </row>
    <row r="280" spans="1:5" x14ac:dyDescent="0.3">
      <c r="A280" s="16">
        <v>275</v>
      </c>
      <c r="B280" t="s">
        <v>155</v>
      </c>
      <c r="C280" t="s">
        <v>485</v>
      </c>
      <c r="D280" t="str">
        <f>IF(ISNUMBER(MATCH(Tabla4[[#This Row],[Título]],CantoralDB[Título],0)),"OK","-")</f>
        <v>OK</v>
      </c>
      <c r="E280" t="s">
        <v>608</v>
      </c>
    </row>
    <row r="281" spans="1:5" x14ac:dyDescent="0.3">
      <c r="A281" s="16" t="s">
        <v>2106</v>
      </c>
      <c r="B281" t="s">
        <v>1340</v>
      </c>
      <c r="C281" t="s">
        <v>486</v>
      </c>
      <c r="D281" t="str">
        <f>IF(ISNUMBER(MATCH(Tabla4[[#This Row],[Título]],CantoralDB[Título],0)),"OK","-")</f>
        <v>OK</v>
      </c>
      <c r="E281" t="s">
        <v>795</v>
      </c>
    </row>
    <row r="282" spans="1:5" x14ac:dyDescent="0.3">
      <c r="A282" s="16">
        <v>276</v>
      </c>
      <c r="B282" t="s">
        <v>2107</v>
      </c>
      <c r="C282" t="s">
        <v>480</v>
      </c>
      <c r="D282" t="str">
        <f>IF(ISNUMBER(MATCH(Tabla4[[#This Row],[Título]],CantoralDB[Título],0)),"OK","-")</f>
        <v>OK</v>
      </c>
      <c r="E282" t="s">
        <v>795</v>
      </c>
    </row>
    <row r="283" spans="1:5" x14ac:dyDescent="0.3">
      <c r="A283" s="16">
        <v>277</v>
      </c>
      <c r="B283" t="s">
        <v>157</v>
      </c>
      <c r="C283" t="s">
        <v>491</v>
      </c>
      <c r="D283" t="str">
        <f>IF(ISNUMBER(MATCH(Tabla4[[#This Row],[Título]],CantoralDB[Título],0)),"OK","-")</f>
        <v>OK</v>
      </c>
      <c r="E283" t="s">
        <v>608</v>
      </c>
    </row>
    <row r="284" spans="1:5" x14ac:dyDescent="0.3">
      <c r="A284" s="16">
        <v>278</v>
      </c>
      <c r="B284" t="s">
        <v>163</v>
      </c>
      <c r="C284" t="s">
        <v>483</v>
      </c>
      <c r="D284" t="str">
        <f>IF(ISNUMBER(MATCH(Tabla4[[#This Row],[Título]],CantoralDB[Título],0)),"OK","-")</f>
        <v>OK</v>
      </c>
      <c r="E284" t="s">
        <v>608</v>
      </c>
    </row>
    <row r="285" spans="1:5" x14ac:dyDescent="0.3">
      <c r="A285" s="16">
        <v>279</v>
      </c>
      <c r="B285" t="s">
        <v>1341</v>
      </c>
      <c r="C285" t="s">
        <v>2086</v>
      </c>
      <c r="D285" t="str">
        <f>IF(ISNUMBER(MATCH(Tabla4[[#This Row],[Título]],CantoralDB[Título],0)),"OK","-")</f>
        <v>OK</v>
      </c>
      <c r="E285" t="s">
        <v>795</v>
      </c>
    </row>
    <row r="286" spans="1:5" x14ac:dyDescent="0.3">
      <c r="A286" s="16">
        <v>280</v>
      </c>
      <c r="B286" t="s">
        <v>1342</v>
      </c>
      <c r="C286" t="s">
        <v>2108</v>
      </c>
      <c r="D286" t="str">
        <f>IF(ISNUMBER(MATCH(Tabla4[[#This Row],[Título]],CantoralDB[Título],0)),"OK","-")</f>
        <v>OK</v>
      </c>
      <c r="E286" t="s">
        <v>795</v>
      </c>
    </row>
    <row r="287" spans="1:5" x14ac:dyDescent="0.3">
      <c r="A287" s="16">
        <v>281</v>
      </c>
      <c r="B287" t="s">
        <v>1343</v>
      </c>
      <c r="C287" t="s">
        <v>481</v>
      </c>
      <c r="D287" t="str">
        <f>IF(ISNUMBER(MATCH(Tabla4[[#This Row],[Título]],CantoralDB[Título],0)),"OK","-")</f>
        <v>-</v>
      </c>
      <c r="E287" t="s">
        <v>795</v>
      </c>
    </row>
    <row r="288" spans="1:5" x14ac:dyDescent="0.3">
      <c r="A288" s="16">
        <v>282</v>
      </c>
      <c r="B288" t="s">
        <v>1241</v>
      </c>
      <c r="C288" t="s">
        <v>543</v>
      </c>
      <c r="D288" t="str">
        <f>IF(ISNUMBER(MATCH(Tabla4[[#This Row],[Título]],CantoralDB[Título],0)),"OK","-")</f>
        <v>OK</v>
      </c>
      <c r="E288" t="s">
        <v>795</v>
      </c>
    </row>
    <row r="289" spans="1:5" x14ac:dyDescent="0.3">
      <c r="A289" s="16">
        <v>283</v>
      </c>
      <c r="B289" t="s">
        <v>160</v>
      </c>
      <c r="C289" t="s">
        <v>479</v>
      </c>
      <c r="D289" t="str">
        <f>IF(ISNUMBER(MATCH(Tabla4[[#This Row],[Título]],CantoralDB[Título],0)),"OK","-")</f>
        <v>OK</v>
      </c>
      <c r="E289" t="s">
        <v>608</v>
      </c>
    </row>
    <row r="290" spans="1:5" x14ac:dyDescent="0.3">
      <c r="A290" s="16">
        <v>284</v>
      </c>
      <c r="B290" t="s">
        <v>156</v>
      </c>
      <c r="C290" t="s">
        <v>479</v>
      </c>
      <c r="D290" t="str">
        <f>IF(ISNUMBER(MATCH(Tabla4[[#This Row],[Título]],CantoralDB[Título],0)),"OK","-")</f>
        <v>OK</v>
      </c>
      <c r="E290" t="s">
        <v>608</v>
      </c>
    </row>
    <row r="291" spans="1:5" x14ac:dyDescent="0.3">
      <c r="A291" s="16">
        <v>285</v>
      </c>
      <c r="B291" t="s">
        <v>158</v>
      </c>
      <c r="C291" t="s">
        <v>518</v>
      </c>
      <c r="D291" t="str">
        <f>IF(ISNUMBER(MATCH(Tabla4[[#This Row],[Título]],CantoralDB[Título],0)),"OK","-")</f>
        <v>OK</v>
      </c>
      <c r="E291" t="s">
        <v>608</v>
      </c>
    </row>
    <row r="292" spans="1:5" x14ac:dyDescent="0.3">
      <c r="A292" s="16">
        <v>286</v>
      </c>
      <c r="B292" t="s">
        <v>162</v>
      </c>
      <c r="C292" t="s">
        <v>2109</v>
      </c>
      <c r="D292" t="str">
        <f>IF(ISNUMBER(MATCH(Tabla4[[#This Row],[Título]],CantoralDB[Título],0)),"OK","-")</f>
        <v>OK</v>
      </c>
      <c r="E292" t="s">
        <v>608</v>
      </c>
    </row>
    <row r="293" spans="1:5" x14ac:dyDescent="0.3">
      <c r="A293" s="16">
        <v>287</v>
      </c>
      <c r="B293" t="s">
        <v>1344</v>
      </c>
      <c r="C293" t="s">
        <v>485</v>
      </c>
      <c r="D293" t="str">
        <f>IF(ISNUMBER(MATCH(Tabla4[[#This Row],[Título]],CantoralDB[Título],0)),"OK","-")</f>
        <v>OK</v>
      </c>
      <c r="E293" t="s">
        <v>795</v>
      </c>
    </row>
    <row r="294" spans="1:5" x14ac:dyDescent="0.3">
      <c r="A294" s="16">
        <v>288</v>
      </c>
      <c r="B294" t="s">
        <v>1345</v>
      </c>
      <c r="C294" t="s">
        <v>2080</v>
      </c>
      <c r="D294" t="str">
        <f>IF(ISNUMBER(MATCH(Tabla4[[#This Row],[Título]],CantoralDB[Título],0)),"OK","-")</f>
        <v>OK</v>
      </c>
      <c r="E294" t="s">
        <v>795</v>
      </c>
    </row>
    <row r="295" spans="1:5" x14ac:dyDescent="0.3">
      <c r="A295" s="16">
        <v>289</v>
      </c>
      <c r="B295" t="s">
        <v>1346</v>
      </c>
      <c r="C295" t="s">
        <v>517</v>
      </c>
      <c r="D295" t="str">
        <f>IF(ISNUMBER(MATCH(Tabla4[[#This Row],[Título]],CantoralDB[Título],0)),"OK","-")</f>
        <v>OK</v>
      </c>
      <c r="E295" t="s">
        <v>608</v>
      </c>
    </row>
    <row r="296" spans="1:5" x14ac:dyDescent="0.3">
      <c r="A296" s="16">
        <v>290</v>
      </c>
      <c r="B296" t="s">
        <v>1347</v>
      </c>
      <c r="C296" t="s">
        <v>479</v>
      </c>
      <c r="D296" t="str">
        <f>IF(ISNUMBER(MATCH(Tabla4[[#This Row],[Título]],CantoralDB[Título],0)),"OK","-")</f>
        <v>OK</v>
      </c>
      <c r="E296" t="s">
        <v>795</v>
      </c>
    </row>
    <row r="297" spans="1:5" x14ac:dyDescent="0.3">
      <c r="A297" s="16">
        <v>291</v>
      </c>
      <c r="B297" t="s">
        <v>1348</v>
      </c>
      <c r="C297" t="s">
        <v>486</v>
      </c>
      <c r="D297" t="str">
        <f>IF(ISNUMBER(MATCH(Tabla4[[#This Row],[Título]],CantoralDB[Título],0)),"OK","-")</f>
        <v>OK</v>
      </c>
      <c r="E297" t="s">
        <v>795</v>
      </c>
    </row>
    <row r="298" spans="1:5" x14ac:dyDescent="0.3">
      <c r="A298" s="16">
        <v>292</v>
      </c>
      <c r="B298" t="s">
        <v>1349</v>
      </c>
      <c r="C298" t="s">
        <v>483</v>
      </c>
      <c r="D298" t="str">
        <f>IF(ISNUMBER(MATCH(Tabla4[[#This Row],[Título]],CantoralDB[Título],0)),"OK","-")</f>
        <v>OK</v>
      </c>
      <c r="E298" t="s">
        <v>795</v>
      </c>
    </row>
    <row r="299" spans="1:5" x14ac:dyDescent="0.3">
      <c r="A299" s="16">
        <v>293</v>
      </c>
      <c r="B299" t="s">
        <v>2119</v>
      </c>
      <c r="C299" t="s">
        <v>2085</v>
      </c>
      <c r="D299" t="str">
        <f>IF(ISNUMBER(MATCH(Tabla4[[#This Row],[Título]],CantoralDB[Título],0)),"OK","-")</f>
        <v>OK</v>
      </c>
      <c r="E299" t="s">
        <v>795</v>
      </c>
    </row>
    <row r="300" spans="1:5" x14ac:dyDescent="0.3">
      <c r="A300" s="16">
        <v>294</v>
      </c>
      <c r="B300" t="s">
        <v>169</v>
      </c>
      <c r="C300" t="s">
        <v>488</v>
      </c>
      <c r="D300" t="str">
        <f>IF(ISNUMBER(MATCH(Tabla4[[#This Row],[Título]],CantoralDB[Título],0)),"OK","-")</f>
        <v>OK</v>
      </c>
      <c r="E300" t="s">
        <v>608</v>
      </c>
    </row>
    <row r="301" spans="1:5" x14ac:dyDescent="0.3">
      <c r="A301" s="16">
        <v>295</v>
      </c>
      <c r="B301" t="s">
        <v>1350</v>
      </c>
      <c r="C301" t="s">
        <v>509</v>
      </c>
      <c r="D301" t="str">
        <f>IF(ISNUMBER(MATCH(Tabla4[[#This Row],[Título]],CantoralDB[Título],0)),"OK","-")</f>
        <v>OK</v>
      </c>
      <c r="E301" t="s">
        <v>795</v>
      </c>
    </row>
    <row r="302" spans="1:5" x14ac:dyDescent="0.3">
      <c r="A302" s="16">
        <v>296</v>
      </c>
      <c r="B302" t="s">
        <v>1351</v>
      </c>
      <c r="C302" t="s">
        <v>479</v>
      </c>
      <c r="D302" t="str">
        <f>IF(ISNUMBER(MATCH(Tabla4[[#This Row],[Título]],CantoralDB[Título],0)),"OK","-")</f>
        <v>OK</v>
      </c>
      <c r="E302" t="s">
        <v>795</v>
      </c>
    </row>
    <row r="303" spans="1:5" x14ac:dyDescent="0.3">
      <c r="A303" s="16">
        <v>297</v>
      </c>
      <c r="B303" t="s">
        <v>1242</v>
      </c>
      <c r="C303" t="s">
        <v>491</v>
      </c>
      <c r="D303" t="str">
        <f>IF(ISNUMBER(MATCH(Tabla4[[#This Row],[Título]],CantoralDB[Título],0)),"OK","-")</f>
        <v>-</v>
      </c>
      <c r="E303" t="s">
        <v>795</v>
      </c>
    </row>
    <row r="304" spans="1:5" x14ac:dyDescent="0.3">
      <c r="A304" s="16">
        <v>300</v>
      </c>
      <c r="B304" t="s">
        <v>1220</v>
      </c>
      <c r="D304" t="str">
        <f>IF(ISNUMBER(MATCH(Tabla4[[#This Row],[Título]],CantoralDB[Título],0)),"OK","-")</f>
        <v>OK</v>
      </c>
      <c r="E304" t="s">
        <v>795</v>
      </c>
    </row>
    <row r="305" spans="1:5" x14ac:dyDescent="0.3">
      <c r="A305" s="16">
        <v>301</v>
      </c>
      <c r="B305" t="s">
        <v>1223</v>
      </c>
      <c r="D305" t="str">
        <f>IF(ISNUMBER(MATCH(Tabla4[[#This Row],[Título]],CantoralDB[Título],0)),"OK","-")</f>
        <v>OK</v>
      </c>
      <c r="E305" t="s">
        <v>795</v>
      </c>
    </row>
    <row r="306" spans="1:5" x14ac:dyDescent="0.3">
      <c r="A306" s="16">
        <v>302</v>
      </c>
      <c r="B306" t="s">
        <v>1224</v>
      </c>
      <c r="D306" t="str">
        <f>IF(ISNUMBER(MATCH(Tabla4[[#This Row],[Título]],CantoralDB[Título],0)),"OK","-")</f>
        <v>OK</v>
      </c>
      <c r="E306" t="s">
        <v>795</v>
      </c>
    </row>
    <row r="307" spans="1:5" x14ac:dyDescent="0.3">
      <c r="A307" s="16">
        <v>303</v>
      </c>
      <c r="B307" t="s">
        <v>69</v>
      </c>
      <c r="D307" t="str">
        <f>IF(ISNUMBER(MATCH(Tabla4[[#This Row],[Título]],CantoralDB[Título],0)),"OK","-")</f>
        <v>OK</v>
      </c>
      <c r="E307" t="s">
        <v>608</v>
      </c>
    </row>
    <row r="308" spans="1:5" x14ac:dyDescent="0.3">
      <c r="A308" s="16">
        <v>304</v>
      </c>
      <c r="B308" t="s">
        <v>1352</v>
      </c>
      <c r="D308" t="str">
        <f>IF(ISNUMBER(MATCH(Tabla4[[#This Row],[Título]],CantoralDB[Título],0)),"OK","-")</f>
        <v>OK</v>
      </c>
      <c r="E308" t="s">
        <v>795</v>
      </c>
    </row>
    <row r="309" spans="1:5" x14ac:dyDescent="0.3">
      <c r="A309" s="16">
        <v>305</v>
      </c>
      <c r="B309" t="s">
        <v>1353</v>
      </c>
      <c r="D309" t="str">
        <f>IF(ISNUMBER(MATCH(Tabla4[[#This Row],[Título]],CantoralDB[Título],0)),"OK","-")</f>
        <v>OK</v>
      </c>
      <c r="E309" t="s">
        <v>795</v>
      </c>
    </row>
    <row r="310" spans="1:5" x14ac:dyDescent="0.3">
      <c r="A310" s="16">
        <v>306</v>
      </c>
      <c r="B310" t="s">
        <v>1227</v>
      </c>
      <c r="D310" t="str">
        <f>IF(ISNUMBER(MATCH(Tabla4[[#This Row],[Título]],CantoralDB[Título],0)),"OK","-")</f>
        <v>OK</v>
      </c>
      <c r="E310" t="s">
        <v>795</v>
      </c>
    </row>
    <row r="311" spans="1:5" x14ac:dyDescent="0.3">
      <c r="A311" s="16">
        <v>307</v>
      </c>
      <c r="B311" t="s">
        <v>1228</v>
      </c>
      <c r="D311" t="str">
        <f>IF(ISNUMBER(MATCH(Tabla4[[#This Row],[Título]],CantoralDB[Título],0)),"OK","-")</f>
        <v>OK</v>
      </c>
      <c r="E311" t="s">
        <v>795</v>
      </c>
    </row>
    <row r="312" spans="1:5" x14ac:dyDescent="0.3">
      <c r="A312" s="16">
        <v>308</v>
      </c>
      <c r="B312" t="s">
        <v>1354</v>
      </c>
      <c r="D312" t="str">
        <f>IF(ISNUMBER(MATCH(Tabla4[[#This Row],[Título]],CantoralDB[Título],0)),"OK","-")</f>
        <v>OK</v>
      </c>
      <c r="E312" t="s">
        <v>795</v>
      </c>
    </row>
    <row r="313" spans="1:5" x14ac:dyDescent="0.3">
      <c r="A313" s="16">
        <v>309</v>
      </c>
      <c r="B313" t="s">
        <v>1355</v>
      </c>
      <c r="D313" t="str">
        <f>IF(ISNUMBER(MATCH(Tabla4[[#This Row],[Título]],CantoralDB[Título],0)),"OK","-")</f>
        <v>OK</v>
      </c>
      <c r="E313" t="s">
        <v>795</v>
      </c>
    </row>
    <row r="314" spans="1:5" x14ac:dyDescent="0.3">
      <c r="A314" s="16">
        <v>310</v>
      </c>
      <c r="B314" t="s">
        <v>144</v>
      </c>
      <c r="D314" t="str">
        <f>IF(ISNUMBER(MATCH(Tabla4[[#This Row],[Título]],CantoralDB[Título],0)),"OK","-")</f>
        <v>OK</v>
      </c>
      <c r="E314" t="s">
        <v>608</v>
      </c>
    </row>
    <row r="315" spans="1:5" x14ac:dyDescent="0.3">
      <c r="A315" s="16">
        <v>311</v>
      </c>
      <c r="B315" t="s">
        <v>1356</v>
      </c>
      <c r="D315" t="str">
        <f>IF(ISNUMBER(MATCH(Tabla4[[#This Row],[Título]],CantoralDB[Título],0)),"OK","-")</f>
        <v>OK</v>
      </c>
      <c r="E315" t="s">
        <v>795</v>
      </c>
    </row>
    <row r="316" spans="1:5" x14ac:dyDescent="0.3">
      <c r="A316" s="16">
        <v>312</v>
      </c>
      <c r="B316" t="s">
        <v>1239</v>
      </c>
      <c r="D316" t="str">
        <f>IF(ISNUMBER(MATCH(Tabla4[[#This Row],[Título]],CantoralDB[Título],0)),"OK","-")</f>
        <v>-</v>
      </c>
      <c r="E316" t="s">
        <v>795</v>
      </c>
    </row>
    <row r="317" spans="1:5" x14ac:dyDescent="0.3">
      <c r="A317" s="16">
        <v>313</v>
      </c>
      <c r="B317" t="s">
        <v>111</v>
      </c>
      <c r="D317" t="str">
        <f>IF(ISNUMBER(MATCH(Tabla4[[#This Row],[Título]],CantoralDB[Título],0)),"OK","-")</f>
        <v>OK</v>
      </c>
      <c r="E317" t="s">
        <v>608</v>
      </c>
    </row>
    <row r="318" spans="1:5" x14ac:dyDescent="0.3">
      <c r="A318" s="16">
        <v>314</v>
      </c>
      <c r="B318" t="s">
        <v>1482</v>
      </c>
      <c r="D318" t="str">
        <f>IF(ISNUMBER(MATCH(Tabla4[[#This Row],[Título]],CantoralDB[Título],0)),"OK","-")</f>
        <v>OK</v>
      </c>
      <c r="E318" t="s">
        <v>795</v>
      </c>
    </row>
    <row r="319" spans="1:5" x14ac:dyDescent="0.3">
      <c r="A319" s="16">
        <v>315</v>
      </c>
      <c r="B319" t="s">
        <v>1357</v>
      </c>
      <c r="D319" t="str">
        <f>IF(ISNUMBER(MATCH(Tabla4[[#This Row],[Título]],CantoralDB[Título],0)),"OK","-")</f>
        <v>OK</v>
      </c>
      <c r="E319" t="s">
        <v>795</v>
      </c>
    </row>
    <row r="320" spans="1:5" x14ac:dyDescent="0.3">
      <c r="A320" s="16">
        <v>401</v>
      </c>
      <c r="B320" t="s">
        <v>5</v>
      </c>
      <c r="D320" t="str">
        <f>IF(ISNUMBER(MATCH(Tabla4[[#This Row],[Título]],CantoralDB[Título],0)),"OK","-")</f>
        <v>-</v>
      </c>
    </row>
    <row r="321" spans="1:4" x14ac:dyDescent="0.3">
      <c r="A321" s="16">
        <v>402</v>
      </c>
      <c r="B321" t="s">
        <v>7</v>
      </c>
      <c r="D321" t="str">
        <f>IF(ISNUMBER(MATCH(Tabla4[[#This Row],[Título]],CantoralDB[Título],0)),"OK","-")</f>
        <v>OK</v>
      </c>
    </row>
    <row r="322" spans="1:4" x14ac:dyDescent="0.3">
      <c r="A322" s="16">
        <v>403</v>
      </c>
      <c r="B322" t="s">
        <v>14</v>
      </c>
      <c r="D322" t="str">
        <f>IF(ISNUMBER(MATCH(Tabla4[[#This Row],[Título]],CantoralDB[Título],0)),"OK","-")</f>
        <v>OK</v>
      </c>
    </row>
    <row r="323" spans="1:4" x14ac:dyDescent="0.3">
      <c r="A323" s="16">
        <v>404</v>
      </c>
      <c r="B323" t="s">
        <v>1244</v>
      </c>
      <c r="D323" t="str">
        <f>IF(ISNUMBER(MATCH(Tabla4[[#This Row],[Título]],CantoralDB[Título],0)),"OK","-")</f>
        <v>-</v>
      </c>
    </row>
    <row r="324" spans="1:4" x14ac:dyDescent="0.3">
      <c r="A324" s="16">
        <v>405</v>
      </c>
      <c r="B324" t="s">
        <v>15</v>
      </c>
      <c r="D324" t="str">
        <f>IF(ISNUMBER(MATCH(Tabla4[[#This Row],[Título]],CantoralDB[Título],0)),"OK","-")</f>
        <v>OK</v>
      </c>
    </row>
    <row r="325" spans="1:4" x14ac:dyDescent="0.3">
      <c r="A325" s="16">
        <v>406</v>
      </c>
      <c r="B325" t="s">
        <v>16</v>
      </c>
      <c r="D325" t="str">
        <f>IF(ISNUMBER(MATCH(Tabla4[[#This Row],[Título]],CantoralDB[Título],0)),"OK","-")</f>
        <v>OK</v>
      </c>
    </row>
    <row r="326" spans="1:4" x14ac:dyDescent="0.3">
      <c r="A326" s="16">
        <v>407</v>
      </c>
      <c r="B326" t="s">
        <v>20</v>
      </c>
      <c r="D326" t="str">
        <f>IF(ISNUMBER(MATCH(Tabla4[[#This Row],[Título]],CantoralDB[Título],0)),"OK","-")</f>
        <v>OK</v>
      </c>
    </row>
    <row r="327" spans="1:4" x14ac:dyDescent="0.3">
      <c r="A327" s="16">
        <v>408</v>
      </c>
      <c r="B327" t="s">
        <v>22</v>
      </c>
      <c r="D327" t="str">
        <f>IF(ISNUMBER(MATCH(Tabla4[[#This Row],[Título]],CantoralDB[Título],0)),"OK","-")</f>
        <v>OK</v>
      </c>
    </row>
    <row r="328" spans="1:4" x14ac:dyDescent="0.3">
      <c r="A328" s="16">
        <v>409</v>
      </c>
      <c r="B328" t="s">
        <v>23</v>
      </c>
      <c r="D328" t="str">
        <f>IF(ISNUMBER(MATCH(Tabla4[[#This Row],[Título]],CantoralDB[Título],0)),"OK","-")</f>
        <v>OK</v>
      </c>
    </row>
    <row r="329" spans="1:4" x14ac:dyDescent="0.3">
      <c r="A329" s="16">
        <v>410</v>
      </c>
      <c r="B329" t="s">
        <v>24</v>
      </c>
      <c r="D329" t="str">
        <f>IF(ISNUMBER(MATCH(Tabla4[[#This Row],[Título]],CantoralDB[Título],0)),"OK","-")</f>
        <v>OK</v>
      </c>
    </row>
    <row r="330" spans="1:4" x14ac:dyDescent="0.3">
      <c r="A330" s="16">
        <v>411</v>
      </c>
      <c r="B330" t="s">
        <v>26</v>
      </c>
      <c r="D330" t="str">
        <f>IF(ISNUMBER(MATCH(Tabla4[[#This Row],[Título]],CantoralDB[Título],0)),"OK","-")</f>
        <v>OK</v>
      </c>
    </row>
    <row r="331" spans="1:4" x14ac:dyDescent="0.3">
      <c r="A331" s="16">
        <v>412</v>
      </c>
      <c r="B331" t="s">
        <v>1221</v>
      </c>
      <c r="D331" t="str">
        <f>IF(ISNUMBER(MATCH(Tabla4[[#This Row],[Título]],CantoralDB[Título],0)),"OK","-")</f>
        <v>OK</v>
      </c>
    </row>
    <row r="332" spans="1:4" x14ac:dyDescent="0.3">
      <c r="A332" s="16">
        <v>413</v>
      </c>
      <c r="B332" t="s">
        <v>29</v>
      </c>
      <c r="D332" t="str">
        <f>IF(ISNUMBER(MATCH(Tabla4[[#This Row],[Título]],CantoralDB[Título],0)),"OK","-")</f>
        <v>OK</v>
      </c>
    </row>
    <row r="333" spans="1:4" x14ac:dyDescent="0.3">
      <c r="A333" s="16">
        <v>414</v>
      </c>
      <c r="B333" t="s">
        <v>37</v>
      </c>
      <c r="D333" t="str">
        <f>IF(ISNUMBER(MATCH(Tabla4[[#This Row],[Título]],CantoralDB[Título],0)),"OK","-")</f>
        <v>OK</v>
      </c>
    </row>
    <row r="334" spans="1:4" x14ac:dyDescent="0.3">
      <c r="A334" s="16">
        <v>415</v>
      </c>
      <c r="B334" t="s">
        <v>38</v>
      </c>
      <c r="D334" t="str">
        <f>IF(ISNUMBER(MATCH(Tabla4[[#This Row],[Título]],CantoralDB[Título],0)),"OK","-")</f>
        <v>OK</v>
      </c>
    </row>
    <row r="335" spans="1:4" x14ac:dyDescent="0.3">
      <c r="A335" s="16">
        <v>416</v>
      </c>
      <c r="B335" t="s">
        <v>1225</v>
      </c>
      <c r="D335" t="str">
        <f>IF(ISNUMBER(MATCH(Tabla4[[#This Row],[Título]],CantoralDB[Título],0)),"OK","-")</f>
        <v>-</v>
      </c>
    </row>
    <row r="336" spans="1:4" x14ac:dyDescent="0.3">
      <c r="A336" s="16">
        <v>417</v>
      </c>
      <c r="B336" t="s">
        <v>45</v>
      </c>
      <c r="D336" t="str">
        <f>IF(ISNUMBER(MATCH(Tabla4[[#This Row],[Título]],CantoralDB[Título],0)),"OK","-")</f>
        <v>OK</v>
      </c>
    </row>
    <row r="337" spans="1:4" x14ac:dyDescent="0.3">
      <c r="A337" s="16">
        <v>418</v>
      </c>
      <c r="B337" t="s">
        <v>48</v>
      </c>
      <c r="D337" t="str">
        <f>IF(ISNUMBER(MATCH(Tabla4[[#This Row],[Título]],CantoralDB[Título],0)),"OK","-")</f>
        <v>OK</v>
      </c>
    </row>
    <row r="338" spans="1:4" x14ac:dyDescent="0.3">
      <c r="A338" s="16">
        <v>419</v>
      </c>
      <c r="B338" t="s">
        <v>49</v>
      </c>
      <c r="D338" t="str">
        <f>IF(ISNUMBER(MATCH(Tabla4[[#This Row],[Título]],CantoralDB[Título],0)),"OK","-")</f>
        <v>OK</v>
      </c>
    </row>
    <row r="339" spans="1:4" x14ac:dyDescent="0.3">
      <c r="A339" s="16">
        <v>420</v>
      </c>
      <c r="B339" t="s">
        <v>50</v>
      </c>
      <c r="D339" t="str">
        <f>IF(ISNUMBER(MATCH(Tabla4[[#This Row],[Título]],CantoralDB[Título],0)),"OK","-")</f>
        <v>OK</v>
      </c>
    </row>
    <row r="340" spans="1:4" x14ac:dyDescent="0.3">
      <c r="A340" s="16">
        <v>421</v>
      </c>
      <c r="B340" t="s">
        <v>1222</v>
      </c>
      <c r="D340" t="str">
        <f>IF(ISNUMBER(MATCH(Tabla4[[#This Row],[Título]],CantoralDB[Título],0)),"OK","-")</f>
        <v>-</v>
      </c>
    </row>
    <row r="341" spans="1:4" x14ac:dyDescent="0.3">
      <c r="A341" s="16">
        <v>422</v>
      </c>
      <c r="B341" t="s">
        <v>1226</v>
      </c>
      <c r="D341" t="str">
        <f>IF(ISNUMBER(MATCH(Tabla4[[#This Row],[Título]],CantoralDB[Título],0)),"OK","-")</f>
        <v>OK</v>
      </c>
    </row>
    <row r="342" spans="1:4" x14ac:dyDescent="0.3">
      <c r="A342" s="16">
        <v>423</v>
      </c>
      <c r="B342" t="s">
        <v>59</v>
      </c>
      <c r="D342" t="str">
        <f>IF(ISNUMBER(MATCH(Tabla4[[#This Row],[Título]],CantoralDB[Título],0)),"OK","-")</f>
        <v>OK</v>
      </c>
    </row>
    <row r="343" spans="1:4" x14ac:dyDescent="0.3">
      <c r="A343" s="16">
        <v>424</v>
      </c>
      <c r="B343" t="s">
        <v>60</v>
      </c>
      <c r="D343" t="str">
        <f>IF(ISNUMBER(MATCH(Tabla4[[#This Row],[Título]],CantoralDB[Título],0)),"OK","-")</f>
        <v>OK</v>
      </c>
    </row>
    <row r="344" spans="1:4" x14ac:dyDescent="0.3">
      <c r="A344" s="16">
        <v>425</v>
      </c>
      <c r="B344" t="s">
        <v>63</v>
      </c>
      <c r="D344" t="str">
        <f>IF(ISNUMBER(MATCH(Tabla4[[#This Row],[Título]],CantoralDB[Título],0)),"OK","-")</f>
        <v>OK</v>
      </c>
    </row>
    <row r="345" spans="1:4" x14ac:dyDescent="0.3">
      <c r="A345" s="16">
        <v>426</v>
      </c>
      <c r="B345" t="s">
        <v>68</v>
      </c>
      <c r="D345" t="str">
        <f>IF(ISNUMBER(MATCH(Tabla4[[#This Row],[Título]],CantoralDB[Título],0)),"OK","-")</f>
        <v>OK</v>
      </c>
    </row>
    <row r="346" spans="1:4" x14ac:dyDescent="0.3">
      <c r="A346" s="16">
        <v>427</v>
      </c>
      <c r="B346" t="s">
        <v>70</v>
      </c>
      <c r="D346" t="str">
        <f>IF(ISNUMBER(MATCH(Tabla4[[#This Row],[Título]],CantoralDB[Título],0)),"OK","-")</f>
        <v>OK</v>
      </c>
    </row>
    <row r="347" spans="1:4" x14ac:dyDescent="0.3">
      <c r="A347" s="16">
        <v>428</v>
      </c>
      <c r="B347" t="s">
        <v>72</v>
      </c>
      <c r="D347" t="str">
        <f>IF(ISNUMBER(MATCH(Tabla4[[#This Row],[Título]],CantoralDB[Título],0)),"OK","-")</f>
        <v>OK</v>
      </c>
    </row>
    <row r="348" spans="1:4" x14ac:dyDescent="0.3">
      <c r="A348" s="16">
        <v>429</v>
      </c>
      <c r="B348" t="s">
        <v>73</v>
      </c>
      <c r="D348" t="str">
        <f>IF(ISNUMBER(MATCH(Tabla4[[#This Row],[Título]],CantoralDB[Título],0)),"OK","-")</f>
        <v>OK</v>
      </c>
    </row>
    <row r="349" spans="1:4" x14ac:dyDescent="0.3">
      <c r="A349" s="16">
        <v>430</v>
      </c>
      <c r="B349" t="s">
        <v>74</v>
      </c>
      <c r="D349" t="str">
        <f>IF(ISNUMBER(MATCH(Tabla4[[#This Row],[Título]],CantoralDB[Título],0)),"OK","-")</f>
        <v>OK</v>
      </c>
    </row>
    <row r="350" spans="1:4" x14ac:dyDescent="0.3">
      <c r="A350" s="16">
        <v>431</v>
      </c>
      <c r="B350" t="s">
        <v>84</v>
      </c>
      <c r="D350" t="str">
        <f>IF(ISNUMBER(MATCH(Tabla4[[#This Row],[Título]],CantoralDB[Título],0)),"OK","-")</f>
        <v>OK</v>
      </c>
    </row>
    <row r="351" spans="1:4" x14ac:dyDescent="0.3">
      <c r="A351" s="16">
        <v>432</v>
      </c>
      <c r="B351" t="s">
        <v>85</v>
      </c>
      <c r="D351" t="str">
        <f>IF(ISNUMBER(MATCH(Tabla4[[#This Row],[Título]],CantoralDB[Título],0)),"OK","-")</f>
        <v>OK</v>
      </c>
    </row>
    <row r="352" spans="1:4" x14ac:dyDescent="0.3">
      <c r="A352" s="16">
        <v>433</v>
      </c>
      <c r="B352" t="s">
        <v>89</v>
      </c>
      <c r="D352" t="str">
        <f>IF(ISNUMBER(MATCH(Tabla4[[#This Row],[Título]],CantoralDB[Título],0)),"OK","-")</f>
        <v>OK</v>
      </c>
    </row>
    <row r="353" spans="1:4" x14ac:dyDescent="0.3">
      <c r="A353" s="16">
        <v>434</v>
      </c>
      <c r="B353" t="s">
        <v>90</v>
      </c>
      <c r="D353" t="str">
        <f>IF(ISNUMBER(MATCH(Tabla4[[#This Row],[Título]],CantoralDB[Título],0)),"OK","-")</f>
        <v>OK</v>
      </c>
    </row>
    <row r="354" spans="1:4" x14ac:dyDescent="0.3">
      <c r="A354" s="16">
        <v>435</v>
      </c>
      <c r="B354" t="s">
        <v>91</v>
      </c>
      <c r="D354" t="str">
        <f>IF(ISNUMBER(MATCH(Tabla4[[#This Row],[Título]],CantoralDB[Título],0)),"OK","-")</f>
        <v>OK</v>
      </c>
    </row>
    <row r="355" spans="1:4" x14ac:dyDescent="0.3">
      <c r="A355" s="16">
        <v>436</v>
      </c>
      <c r="B355" t="s">
        <v>92</v>
      </c>
      <c r="D355" t="str">
        <f>IF(ISNUMBER(MATCH(Tabla4[[#This Row],[Título]],CantoralDB[Título],0)),"OK","-")</f>
        <v>OK</v>
      </c>
    </row>
    <row r="356" spans="1:4" x14ac:dyDescent="0.3">
      <c r="A356" s="16">
        <v>437</v>
      </c>
      <c r="B356" t="s">
        <v>1229</v>
      </c>
      <c r="D356" t="str">
        <f>IF(ISNUMBER(MATCH(Tabla4[[#This Row],[Título]],CantoralDB[Título],0)),"OK","-")</f>
        <v>-</v>
      </c>
    </row>
    <row r="357" spans="1:4" x14ac:dyDescent="0.3">
      <c r="A357" s="16">
        <v>438</v>
      </c>
      <c r="B357" t="s">
        <v>95</v>
      </c>
      <c r="D357" t="str">
        <f>IF(ISNUMBER(MATCH(Tabla4[[#This Row],[Título]],CantoralDB[Título],0)),"OK","-")</f>
        <v>OK</v>
      </c>
    </row>
    <row r="358" spans="1:4" x14ac:dyDescent="0.3">
      <c r="A358" s="16">
        <v>439</v>
      </c>
      <c r="B358" t="s">
        <v>96</v>
      </c>
      <c r="D358" t="str">
        <f>IF(ISNUMBER(MATCH(Tabla4[[#This Row],[Título]],CantoralDB[Título],0)),"OK","-")</f>
        <v>OK</v>
      </c>
    </row>
    <row r="359" spans="1:4" x14ac:dyDescent="0.3">
      <c r="A359" s="16">
        <v>440</v>
      </c>
      <c r="B359" t="s">
        <v>97</v>
      </c>
      <c r="D359" t="str">
        <f>IF(ISNUMBER(MATCH(Tabla4[[#This Row],[Título]],CantoralDB[Título],0)),"OK","-")</f>
        <v>OK</v>
      </c>
    </row>
    <row r="360" spans="1:4" x14ac:dyDescent="0.3">
      <c r="A360" s="16">
        <v>441</v>
      </c>
      <c r="B360" t="s">
        <v>98</v>
      </c>
      <c r="D360" t="str">
        <f>IF(ISNUMBER(MATCH(Tabla4[[#This Row],[Título]],CantoralDB[Título],0)),"OK","-")</f>
        <v>OK</v>
      </c>
    </row>
    <row r="361" spans="1:4" x14ac:dyDescent="0.3">
      <c r="A361" s="16">
        <v>442</v>
      </c>
      <c r="B361" t="s">
        <v>99</v>
      </c>
      <c r="D361" t="str">
        <f>IF(ISNUMBER(MATCH(Tabla4[[#This Row],[Título]],CantoralDB[Título],0)),"OK","-")</f>
        <v>OK</v>
      </c>
    </row>
    <row r="362" spans="1:4" x14ac:dyDescent="0.3">
      <c r="A362" s="16">
        <v>443</v>
      </c>
      <c r="B362" t="s">
        <v>103</v>
      </c>
      <c r="D362" t="str">
        <f>IF(ISNUMBER(MATCH(Tabla4[[#This Row],[Título]],CantoralDB[Título],0)),"OK","-")</f>
        <v>OK</v>
      </c>
    </row>
    <row r="363" spans="1:4" x14ac:dyDescent="0.3">
      <c r="A363" s="16">
        <v>444</v>
      </c>
      <c r="B363" t="s">
        <v>105</v>
      </c>
      <c r="D363" t="str">
        <f>IF(ISNUMBER(MATCH(Tabla4[[#This Row],[Título]],CantoralDB[Título],0)),"OK","-")</f>
        <v>OK</v>
      </c>
    </row>
    <row r="364" spans="1:4" x14ac:dyDescent="0.3">
      <c r="A364" s="16">
        <v>445</v>
      </c>
      <c r="B364" t="s">
        <v>108</v>
      </c>
      <c r="D364" t="str">
        <f>IF(ISNUMBER(MATCH(Tabla4[[#This Row],[Título]],CantoralDB[Título],0)),"OK","-")</f>
        <v>OK</v>
      </c>
    </row>
    <row r="365" spans="1:4" x14ac:dyDescent="0.3">
      <c r="A365" s="16">
        <v>446</v>
      </c>
      <c r="B365" t="s">
        <v>1231</v>
      </c>
      <c r="D365" t="str">
        <f>IF(ISNUMBER(MATCH(Tabla4[[#This Row],[Título]],CantoralDB[Título],0)),"OK","-")</f>
        <v>-</v>
      </c>
    </row>
    <row r="366" spans="1:4" x14ac:dyDescent="0.3">
      <c r="A366" s="16">
        <v>447</v>
      </c>
      <c r="B366" t="s">
        <v>1232</v>
      </c>
      <c r="D366" t="str">
        <f>IF(ISNUMBER(MATCH(Tabla4[[#This Row],[Título]],CantoralDB[Título],0)),"OK","-")</f>
        <v>-</v>
      </c>
    </row>
    <row r="367" spans="1:4" x14ac:dyDescent="0.3">
      <c r="A367" s="16">
        <v>448</v>
      </c>
      <c r="B367" t="s">
        <v>112</v>
      </c>
      <c r="D367" t="str">
        <f>IF(ISNUMBER(MATCH(Tabla4[[#This Row],[Título]],CantoralDB[Título],0)),"OK","-")</f>
        <v>OK</v>
      </c>
    </row>
    <row r="368" spans="1:4" x14ac:dyDescent="0.3">
      <c r="A368" s="16">
        <v>449</v>
      </c>
      <c r="B368" t="s">
        <v>115</v>
      </c>
      <c r="D368" t="str">
        <f>IF(ISNUMBER(MATCH(Tabla4[[#This Row],[Título]],CantoralDB[Título],0)),"OK","-")</f>
        <v>OK</v>
      </c>
    </row>
    <row r="369" spans="1:4" x14ac:dyDescent="0.3">
      <c r="A369" s="16">
        <v>450</v>
      </c>
      <c r="B369" t="s">
        <v>120</v>
      </c>
      <c r="D369" t="str">
        <f>IF(ISNUMBER(MATCH(Tabla4[[#This Row],[Título]],CantoralDB[Título],0)),"OK","-")</f>
        <v>OK</v>
      </c>
    </row>
    <row r="370" spans="1:4" x14ac:dyDescent="0.3">
      <c r="A370" s="16">
        <v>451</v>
      </c>
      <c r="B370" t="s">
        <v>124</v>
      </c>
      <c r="D370" t="str">
        <f>IF(ISNUMBER(MATCH(Tabla4[[#This Row],[Título]],CantoralDB[Título],0)),"OK","-")</f>
        <v>OK</v>
      </c>
    </row>
    <row r="371" spans="1:4" x14ac:dyDescent="0.3">
      <c r="A371" s="16">
        <v>452</v>
      </c>
      <c r="B371" t="s">
        <v>1233</v>
      </c>
      <c r="D371" t="str">
        <f>IF(ISNUMBER(MATCH(Tabla4[[#This Row],[Título]],CantoralDB[Título],0)),"OK","-")</f>
        <v>-</v>
      </c>
    </row>
    <row r="372" spans="1:4" x14ac:dyDescent="0.3">
      <c r="A372" s="16">
        <v>453</v>
      </c>
      <c r="B372" t="s">
        <v>127</v>
      </c>
      <c r="D372" t="str">
        <f>IF(ISNUMBER(MATCH(Tabla4[[#This Row],[Título]],CantoralDB[Título],0)),"OK","-")</f>
        <v>OK</v>
      </c>
    </row>
    <row r="373" spans="1:4" x14ac:dyDescent="0.3">
      <c r="A373" s="16">
        <v>454</v>
      </c>
      <c r="B373" t="s">
        <v>1234</v>
      </c>
      <c r="D373" t="str">
        <f>IF(ISNUMBER(MATCH(Tabla4[[#This Row],[Título]],CantoralDB[Título],0)),"OK","-")</f>
        <v>-</v>
      </c>
    </row>
    <row r="374" spans="1:4" x14ac:dyDescent="0.3">
      <c r="A374" s="16">
        <v>455</v>
      </c>
      <c r="B374" t="s">
        <v>129</v>
      </c>
      <c r="D374" t="str">
        <f>IF(ISNUMBER(MATCH(Tabla4[[#This Row],[Título]],CantoralDB[Título],0)),"OK","-")</f>
        <v>OK</v>
      </c>
    </row>
    <row r="375" spans="1:4" x14ac:dyDescent="0.3">
      <c r="A375" s="16">
        <v>456</v>
      </c>
      <c r="B375" t="s">
        <v>1236</v>
      </c>
      <c r="D375" t="str">
        <f>IF(ISNUMBER(MATCH(Tabla4[[#This Row],[Título]],CantoralDB[Título],0)),"OK","-")</f>
        <v>-</v>
      </c>
    </row>
    <row r="376" spans="1:4" x14ac:dyDescent="0.3">
      <c r="A376" s="16">
        <v>457</v>
      </c>
      <c r="B376" t="s">
        <v>130</v>
      </c>
      <c r="D376" t="str">
        <f>IF(ISNUMBER(MATCH(Tabla4[[#This Row],[Título]],CantoralDB[Título],0)),"OK","-")</f>
        <v>OK</v>
      </c>
    </row>
    <row r="377" spans="1:4" x14ac:dyDescent="0.3">
      <c r="A377" s="16">
        <v>458</v>
      </c>
      <c r="B377" t="s">
        <v>1237</v>
      </c>
      <c r="D377" t="str">
        <f>IF(ISNUMBER(MATCH(Tabla4[[#This Row],[Título]],CantoralDB[Título],0)),"OK","-")</f>
        <v>-</v>
      </c>
    </row>
    <row r="378" spans="1:4" x14ac:dyDescent="0.3">
      <c r="A378" s="16">
        <v>459</v>
      </c>
      <c r="B378" t="s">
        <v>131</v>
      </c>
      <c r="D378" t="str">
        <f>IF(ISNUMBER(MATCH(Tabla4[[#This Row],[Título]],CantoralDB[Título],0)),"OK","-")</f>
        <v>OK</v>
      </c>
    </row>
    <row r="379" spans="1:4" x14ac:dyDescent="0.3">
      <c r="A379" s="16">
        <v>460</v>
      </c>
      <c r="B379" t="s">
        <v>133</v>
      </c>
      <c r="D379" t="str">
        <f>IF(ISNUMBER(MATCH(Tabla4[[#This Row],[Título]],CantoralDB[Título],0)),"OK","-")</f>
        <v>OK</v>
      </c>
    </row>
    <row r="380" spans="1:4" x14ac:dyDescent="0.3">
      <c r="A380" s="16">
        <v>461</v>
      </c>
      <c r="B380" t="s">
        <v>136</v>
      </c>
      <c r="D380" t="str">
        <f>IF(ISNUMBER(MATCH(Tabla4[[#This Row],[Título]],CantoralDB[Título],0)),"OK","-")</f>
        <v>OK</v>
      </c>
    </row>
    <row r="381" spans="1:4" x14ac:dyDescent="0.3">
      <c r="A381" s="16">
        <v>462</v>
      </c>
      <c r="B381" t="s">
        <v>1238</v>
      </c>
      <c r="D381" t="str">
        <f>IF(ISNUMBER(MATCH(Tabla4[[#This Row],[Título]],CantoralDB[Título],0)),"OK","-")</f>
        <v>-</v>
      </c>
    </row>
    <row r="382" spans="1:4" x14ac:dyDescent="0.3">
      <c r="A382" s="16">
        <v>463</v>
      </c>
      <c r="B382" t="s">
        <v>139</v>
      </c>
      <c r="D382" t="str">
        <f>IF(ISNUMBER(MATCH(Tabla4[[#This Row],[Título]],CantoralDB[Título],0)),"OK","-")</f>
        <v>OK</v>
      </c>
    </row>
    <row r="383" spans="1:4" x14ac:dyDescent="0.3">
      <c r="A383" s="16">
        <v>464</v>
      </c>
      <c r="B383" t="s">
        <v>140</v>
      </c>
      <c r="D383" t="str">
        <f>IF(ISNUMBER(MATCH(Tabla4[[#This Row],[Título]],CantoralDB[Título],0)),"OK","-")</f>
        <v>OK</v>
      </c>
    </row>
    <row r="384" spans="1:4" x14ac:dyDescent="0.3">
      <c r="A384" s="16">
        <v>465</v>
      </c>
      <c r="B384" t="s">
        <v>146</v>
      </c>
      <c r="D384" t="str">
        <f>IF(ISNUMBER(MATCH(Tabla4[[#This Row],[Título]],CantoralDB[Título],0)),"OK","-")</f>
        <v>OK</v>
      </c>
    </row>
    <row r="385" spans="1:4" x14ac:dyDescent="0.3">
      <c r="A385" s="16">
        <v>466</v>
      </c>
      <c r="B385" t="s">
        <v>456</v>
      </c>
      <c r="D385" t="str">
        <f>IF(ISNUMBER(MATCH(Tabla4[[#This Row],[Título]],CantoralDB[Título],0)),"OK","-")</f>
        <v>OK</v>
      </c>
    </row>
    <row r="386" spans="1:4" x14ac:dyDescent="0.3">
      <c r="A386" s="16">
        <v>467</v>
      </c>
      <c r="B386" t="s">
        <v>150</v>
      </c>
      <c r="D386" t="str">
        <f>IF(ISNUMBER(MATCH(Tabla4[[#This Row],[Título]],CantoralDB[Título],0)),"OK","-")</f>
        <v>OK</v>
      </c>
    </row>
    <row r="387" spans="1:4" x14ac:dyDescent="0.3">
      <c r="A387" s="16">
        <v>468</v>
      </c>
      <c r="B387" t="s">
        <v>151</v>
      </c>
      <c r="D387" t="str">
        <f>IF(ISNUMBER(MATCH(Tabla4[[#This Row],[Título]],CantoralDB[Título],0)),"OK","-")</f>
        <v>OK</v>
      </c>
    </row>
    <row r="388" spans="1:4" x14ac:dyDescent="0.3">
      <c r="A388" s="16">
        <v>469</v>
      </c>
      <c r="B388" t="s">
        <v>1240</v>
      </c>
      <c r="D388" t="str">
        <f>IF(ISNUMBER(MATCH(Tabla4[[#This Row],[Título]],CantoralDB[Título],0)),"OK","-")</f>
        <v>-</v>
      </c>
    </row>
    <row r="389" spans="1:4" x14ac:dyDescent="0.3">
      <c r="A389" s="16">
        <v>470</v>
      </c>
      <c r="B389" t="s">
        <v>159</v>
      </c>
      <c r="D389" t="str">
        <f>IF(ISNUMBER(MATCH(Tabla4[[#This Row],[Título]],CantoralDB[Título],0)),"OK","-")</f>
        <v>OK</v>
      </c>
    </row>
    <row r="390" spans="1:4" x14ac:dyDescent="0.3">
      <c r="A390" s="16">
        <v>471</v>
      </c>
      <c r="B390" t="s">
        <v>161</v>
      </c>
      <c r="D390" t="str">
        <f>IF(ISNUMBER(MATCH(Tabla4[[#This Row],[Título]],CantoralDB[Título],0)),"OK","-")</f>
        <v>OK</v>
      </c>
    </row>
    <row r="391" spans="1:4" x14ac:dyDescent="0.3">
      <c r="A391" s="16">
        <v>472</v>
      </c>
      <c r="B391" t="s">
        <v>164</v>
      </c>
      <c r="D391" t="str">
        <f>IF(ISNUMBER(MATCH(Tabla4[[#This Row],[Título]],CantoralDB[Título],0)),"OK","-")</f>
        <v>OK</v>
      </c>
    </row>
    <row r="392" spans="1:4" x14ac:dyDescent="0.3">
      <c r="A392" s="16">
        <v>473</v>
      </c>
      <c r="B392" t="s">
        <v>165</v>
      </c>
      <c r="D392" t="str">
        <f>IF(ISNUMBER(MATCH(Tabla4[[#This Row],[Título]],CantoralDB[Título],0)),"OK","-")</f>
        <v>OK</v>
      </c>
    </row>
    <row r="393" spans="1:4" x14ac:dyDescent="0.3">
      <c r="A393" s="16">
        <v>474</v>
      </c>
      <c r="B393" t="s">
        <v>166</v>
      </c>
      <c r="D393" t="str">
        <f>IF(ISNUMBER(MATCH(Tabla4[[#This Row],[Título]],CantoralDB[Título],0)),"OK","-")</f>
        <v>OK</v>
      </c>
    </row>
    <row r="394" spans="1:4" x14ac:dyDescent="0.3">
      <c r="A394" s="16">
        <v>475</v>
      </c>
      <c r="B394" t="s">
        <v>167</v>
      </c>
      <c r="D394" t="str">
        <f>IF(ISNUMBER(MATCH(Tabla4[[#This Row],[Título]],CantoralDB[Título],0)),"OK","-")</f>
        <v>OK</v>
      </c>
    </row>
    <row r="395" spans="1:4" x14ac:dyDescent="0.3">
      <c r="A395" s="16">
        <v>476</v>
      </c>
      <c r="B395" t="s">
        <v>170</v>
      </c>
      <c r="D395" t="str">
        <f>IF(ISNUMBER(MATCH(Tabla4[[#This Row],[Título]],CantoralDB[Título],0)),"OK","-")</f>
        <v>OK</v>
      </c>
    </row>
    <row r="396" spans="1:4" x14ac:dyDescent="0.3">
      <c r="A396" s="16">
        <v>477</v>
      </c>
      <c r="B396" t="s">
        <v>168</v>
      </c>
      <c r="D396" t="str">
        <f>IF(ISNUMBER(MATCH(Tabla4[[#This Row],[Título]],CantoralDB[Título],0)),"OK","-")</f>
        <v>OK</v>
      </c>
    </row>
    <row r="397" spans="1:4" x14ac:dyDescent="0.3">
      <c r="A397" s="16"/>
    </row>
    <row r="398" spans="1:4" x14ac:dyDescent="0.3">
      <c r="A398" s="1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D6863-59EE-4A70-968A-874ACC493091}">
  <sheetPr codeName="Hoja2"/>
  <dimension ref="A1:AA1744"/>
  <sheetViews>
    <sheetView tabSelected="1" topLeftCell="L610" zoomScale="85" zoomScaleNormal="85" workbookViewId="0">
      <selection activeCell="R618" sqref="R618"/>
    </sheetView>
  </sheetViews>
  <sheetFormatPr baseColWidth="10" defaultColWidth="9.109375" defaultRowHeight="14.4" x14ac:dyDescent="0.3"/>
  <cols>
    <col min="1" max="1" width="6.44140625" style="1" bestFit="1" customWidth="1"/>
    <col min="2" max="2" width="39" style="1" customWidth="1"/>
    <col min="3" max="3" width="14.109375" customWidth="1"/>
    <col min="4" max="6" width="12.33203125" style="1" customWidth="1"/>
    <col min="7" max="7" width="14.109375" style="1" customWidth="1"/>
    <col min="8" max="8" width="10.6640625" style="1" customWidth="1"/>
    <col min="9" max="9" width="11.33203125" style="1" customWidth="1"/>
    <col min="10" max="10" width="9.109375" customWidth="1"/>
    <col min="11" max="12" width="9.109375" style="1" customWidth="1"/>
    <col min="13" max="13" width="26.88671875" style="1" customWidth="1"/>
    <col min="14" max="14" width="26.77734375" style="1" customWidth="1"/>
    <col min="15" max="15" width="7.6640625" style="1" customWidth="1"/>
    <col min="16" max="16" width="20.77734375" style="1" customWidth="1"/>
    <col min="17" max="17" width="16.6640625" style="1" customWidth="1"/>
    <col min="18" max="18" width="65.88671875" style="1" customWidth="1"/>
    <col min="19" max="19" width="14.109375" customWidth="1"/>
    <col min="20" max="21" width="26.33203125" customWidth="1"/>
    <col min="22" max="22" width="26.33203125" style="17" customWidth="1"/>
    <col min="23" max="23" width="9.109375" style="17"/>
    <col min="28" max="16384" width="9.109375" style="1"/>
  </cols>
  <sheetData>
    <row r="1" spans="1:27" x14ac:dyDescent="0.3">
      <c r="A1" s="1" t="s">
        <v>0</v>
      </c>
      <c r="B1" s="1" t="s">
        <v>791</v>
      </c>
      <c r="C1" s="1" t="s">
        <v>2132</v>
      </c>
      <c r="D1" s="1" t="s">
        <v>646</v>
      </c>
      <c r="E1" s="1" t="s">
        <v>1153</v>
      </c>
      <c r="F1" s="1" t="s">
        <v>2385</v>
      </c>
      <c r="G1" s="1" t="s">
        <v>208</v>
      </c>
      <c r="H1" s="1" t="s">
        <v>255</v>
      </c>
      <c r="I1" s="1" t="s">
        <v>2965</v>
      </c>
      <c r="J1" s="1" t="s">
        <v>2125</v>
      </c>
      <c r="K1" s="1" t="s">
        <v>2124</v>
      </c>
      <c r="L1" s="1" t="s">
        <v>272</v>
      </c>
      <c r="M1" s="1" t="s">
        <v>478</v>
      </c>
      <c r="N1" s="1" t="s">
        <v>2129</v>
      </c>
      <c r="O1" s="1" t="s">
        <v>2130</v>
      </c>
      <c r="P1" s="1" t="s">
        <v>1837</v>
      </c>
      <c r="Q1" s="1" t="s">
        <v>2133</v>
      </c>
      <c r="R1" s="1" t="s">
        <v>1020</v>
      </c>
      <c r="S1" s="1" t="s">
        <v>796</v>
      </c>
      <c r="T1" s="1" t="s">
        <v>2126</v>
      </c>
      <c r="U1" s="1" t="s">
        <v>2971</v>
      </c>
      <c r="V1" s="15" t="s">
        <v>2131</v>
      </c>
      <c r="W1" s="15" t="s">
        <v>2151</v>
      </c>
      <c r="Y1" s="1"/>
      <c r="Z1" s="1"/>
      <c r="AA1" s="1"/>
    </row>
    <row r="2" spans="1:27" x14ac:dyDescent="0.3">
      <c r="A2" s="1">
        <f>ROW(CantoralDB[[#This Row],[Título]])-1</f>
        <v>1</v>
      </c>
      <c r="B2" s="1" t="s">
        <v>51</v>
      </c>
      <c r="C2" s="1" t="s">
        <v>993</v>
      </c>
      <c r="D2" s="1" t="s">
        <v>700</v>
      </c>
      <c r="E2" s="1">
        <v>95</v>
      </c>
      <c r="G2" s="1" t="s">
        <v>209</v>
      </c>
      <c r="H2" s="1" t="s">
        <v>1027</v>
      </c>
      <c r="J2" s="1" t="s">
        <v>608</v>
      </c>
      <c r="M2" s="15" t="s">
        <v>795</v>
      </c>
      <c r="N2" s="15"/>
      <c r="O2" s="15"/>
      <c r="P2" s="15" t="str" cm="1">
        <f t="array" ref="P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2" s="15" t="str" cm="1">
        <f t="array" ref="Q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canciones/nsb/el_señor_dios_nos_amo.html</v>
      </c>
      <c r="S2" s="1" t="s">
        <v>825</v>
      </c>
      <c r="T2" s="1"/>
      <c r="U2" s="1"/>
      <c r="V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data-nnew="K27" data-nold="95"&gt;&lt;a href="canciones/nsb/el_señor_dios_nos_amo.html"&gt;El Señor Dios nos amó&lt;/a&gt;&lt;/li&gt;</v>
      </c>
      <c r="W2" s="15" t="str">
        <f>_xlfn.TEXTBEFORE(_xlfn.TEXTAFTER(CantoralDB[[#This Row],[index.html]],"&gt;"),"&gt;")&amp;"&gt;"</f>
        <v>&lt;a href="canciones/nsb/el_señor_dios_nos_amo.html"&gt;</v>
      </c>
      <c r="Y2" s="1"/>
      <c r="Z2" s="1"/>
      <c r="AA2" s="1"/>
    </row>
    <row r="3" spans="1:27" x14ac:dyDescent="0.3">
      <c r="A3" s="1">
        <f>ROW(CantoralDB[[#This Row],[Título]])-1</f>
        <v>2</v>
      </c>
      <c r="B3" s="1" t="s">
        <v>57</v>
      </c>
      <c r="C3" s="1" t="s">
        <v>191</v>
      </c>
      <c r="D3" s="1" t="s">
        <v>737</v>
      </c>
      <c r="E3" s="1">
        <v>101</v>
      </c>
      <c r="G3" s="1" t="s">
        <v>209</v>
      </c>
      <c r="H3" s="1" t="s">
        <v>1027</v>
      </c>
      <c r="I3" s="1" t="s">
        <v>2962</v>
      </c>
      <c r="J3" s="1" t="s">
        <v>608</v>
      </c>
      <c r="M3" s="15" t="s">
        <v>795</v>
      </c>
      <c r="N3" s="15"/>
      <c r="O3" s="15"/>
      <c r="P3" s="15" t="str" cm="1">
        <f t="array" ref="P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3" s="15" t="str" cm="1">
        <f t="array" ref="Q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canciones/nsb/en_el_señor_estamos_congregados.html</v>
      </c>
      <c r="S3" s="1"/>
      <c r="T3" s="1"/>
      <c r="U3" s="1"/>
      <c r="V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data-momento="Entrada" data-nnew="A17" data-nold="101"&gt;&lt;a href="canciones/nsb/en_el_señor_estamos_congregados.html"&gt;En el Señor estamos congregados&lt;/a&gt;&lt;/li&gt;</v>
      </c>
      <c r="W3" s="15" t="str">
        <f>_xlfn.TEXTBEFORE(_xlfn.TEXTAFTER(CantoralDB[[#This Row],[index.html]],"&gt;"),"&gt;")&amp;"&gt;"</f>
        <v>&lt;a href="canciones/nsb/en_el_señor_estamos_congregados.html"&gt;</v>
      </c>
      <c r="Y3" s="1"/>
      <c r="Z3" s="1"/>
      <c r="AA3" s="1"/>
    </row>
    <row r="4" spans="1:27" x14ac:dyDescent="0.3">
      <c r="A4" s="1">
        <f>ROW(CantoralDB[[#This Row],[Título]])-1</f>
        <v>3</v>
      </c>
      <c r="B4" s="1" t="s">
        <v>56</v>
      </c>
      <c r="C4" s="1" t="s">
        <v>197</v>
      </c>
      <c r="D4" s="1" t="s">
        <v>1417</v>
      </c>
      <c r="E4" s="1">
        <v>107</v>
      </c>
      <c r="G4" s="1" t="s">
        <v>209</v>
      </c>
      <c r="H4" s="1" t="s">
        <v>1030</v>
      </c>
      <c r="J4" s="1" t="s">
        <v>608</v>
      </c>
      <c r="M4" s="15" t="s">
        <v>795</v>
      </c>
      <c r="N4" s="15"/>
      <c r="O4" s="15"/>
      <c r="P4" s="15" t="str" cm="1">
        <f t="array" ref="P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" s="15" t="str" cm="1">
        <f t="array" ref="Q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canciones/nsb/en_el_mar_he_oido_hoy.html</v>
      </c>
      <c r="S4" s="1"/>
      <c r="T4" s="1"/>
      <c r="U4" s="1"/>
      <c r="V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data-momento="Padrenuestro" data-nnew="H01" data-nold="107"&gt;&lt;a href="canciones/nsb/en_el_mar_he_oido_hoy.html"&gt;En el mar he oído hoy&lt;/a&gt;&lt;/li&gt;</v>
      </c>
      <c r="W4" s="15" t="str">
        <f>_xlfn.TEXTBEFORE(_xlfn.TEXTAFTER(CantoralDB[[#This Row],[index.html]],"&gt;"),"&gt;")&amp;"&gt;"</f>
        <v>&lt;a href="canciones/nsb/en_el_mar_he_oido_hoy.html"&gt;</v>
      </c>
      <c r="Y4" s="1"/>
      <c r="Z4" s="1"/>
      <c r="AA4" s="1"/>
    </row>
    <row r="5" spans="1:27" x14ac:dyDescent="0.3">
      <c r="A5" s="1">
        <f>ROW(CantoralDB[[#This Row],[Título]])-1</f>
        <v>4</v>
      </c>
      <c r="B5" s="1" t="s">
        <v>1246</v>
      </c>
      <c r="C5" s="1"/>
      <c r="E5" s="1">
        <v>109</v>
      </c>
      <c r="J5" s="1"/>
      <c r="M5" s="15" t="s">
        <v>795</v>
      </c>
      <c r="N5" s="15"/>
      <c r="O5" s="15"/>
      <c r="P5" s="15" t="str" cm="1">
        <f t="array" ref="P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" s="15" t="str" cm="1">
        <f t="array" ref="Q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canciones/nsb/envia_tu_espiritu_señor.html</v>
      </c>
      <c r="S5" s="1"/>
      <c r="T5" s="1"/>
      <c r="U5" s="1"/>
      <c r="V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data-nold="109"&gt;&lt;a href="canciones/nsb/envia_tu_espiritu_señor.html"&gt;Envía tu Espíritu, Señor&lt;/a&gt;&lt;/li&gt;</v>
      </c>
      <c r="W5" s="15" t="str">
        <f>_xlfn.TEXTBEFORE(_xlfn.TEXTAFTER(CantoralDB[[#This Row],[index.html]],"&gt;"),"&gt;")&amp;"&gt;"</f>
        <v>&lt;a href="canciones/nsb/envia_tu_espiritu_señor.html"&gt;</v>
      </c>
      <c r="Y5" s="1"/>
      <c r="Z5" s="1"/>
      <c r="AA5" s="1"/>
    </row>
    <row r="6" spans="1:27" x14ac:dyDescent="0.3">
      <c r="A6" s="1">
        <f>ROW(CantoralDB[[#This Row],[Título]])-1</f>
        <v>5</v>
      </c>
      <c r="B6" s="1" t="s">
        <v>1252</v>
      </c>
      <c r="C6" s="1"/>
      <c r="E6" s="1">
        <v>118</v>
      </c>
      <c r="J6" s="1"/>
      <c r="M6" s="15" t="s">
        <v>795</v>
      </c>
      <c r="N6" s="15"/>
      <c r="O6" s="15"/>
      <c r="P6" s="15" t="str" cm="1">
        <f t="array" ref="P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" s="15" t="str" cm="1">
        <f t="array" ref="Q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canciones/nsb/esta_es_la_noche_de_la_luz.html</v>
      </c>
      <c r="S6" s="1"/>
      <c r="T6" s="1"/>
      <c r="U6" s="1"/>
      <c r="V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data-nold="118"&gt;&lt;a href="canciones/nsb/esta_es_la_noche_de_la_luz.html"&gt;Esta es la noche de la luz&lt;/a&gt;&lt;/li&gt;</v>
      </c>
      <c r="W6" s="15" t="str">
        <f>_xlfn.TEXTBEFORE(_xlfn.TEXTAFTER(CantoralDB[[#This Row],[index.html]],"&gt;"),"&gt;")&amp;"&gt;"</f>
        <v>&lt;a href="canciones/nsb/esta_es_la_noche_de_la_luz.html"&gt;</v>
      </c>
      <c r="Y6" s="1"/>
      <c r="Z6" s="1"/>
      <c r="AA6" s="1"/>
    </row>
    <row r="7" spans="1:27" x14ac:dyDescent="0.3">
      <c r="A7" s="1">
        <f>ROW(CantoralDB[[#This Row],[Título]])-1</f>
        <v>6</v>
      </c>
      <c r="B7" s="1" t="s">
        <v>1264</v>
      </c>
      <c r="C7" s="1"/>
      <c r="E7" s="1">
        <v>135</v>
      </c>
      <c r="H7" s="1" t="s">
        <v>531</v>
      </c>
      <c r="J7" s="1" t="s">
        <v>608</v>
      </c>
      <c r="M7" s="15" t="s">
        <v>795</v>
      </c>
      <c r="N7" s="15"/>
      <c r="O7" s="15"/>
      <c r="P7" s="15" t="str" cm="1">
        <f t="array" ref="P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" s="15" t="str" cm="1">
        <f t="array" ref="Q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canciones/nsb/hoy_empieza_una_nueva_era.html</v>
      </c>
      <c r="S7" s="1"/>
      <c r="T7" s="1"/>
      <c r="U7" s="14" t="s">
        <v>2994</v>
      </c>
      <c r="V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data-nold="135"&gt;&lt;a href="canciones/nsb/hoy_empieza_una_nueva_era.html"&gt;Hoy empieza una nueva era&lt;/a&gt;&lt;/li&gt;</v>
      </c>
      <c r="W7" s="15" t="str">
        <f>_xlfn.TEXTBEFORE(_xlfn.TEXTAFTER(CantoralDB[[#This Row],[index.html]],"&gt;"),"&gt;")&amp;"&gt;"</f>
        <v>&lt;a href="canciones/nsb/hoy_empieza_una_nueva_era.html"&gt;</v>
      </c>
      <c r="Y7" s="1"/>
      <c r="Z7" s="1"/>
      <c r="AA7" s="1"/>
    </row>
    <row r="8" spans="1:27" x14ac:dyDescent="0.3">
      <c r="A8" s="1">
        <f>ROW(CantoralDB[[#This Row],[Título]])-1</f>
        <v>7</v>
      </c>
      <c r="B8" s="1" t="s">
        <v>1290</v>
      </c>
      <c r="C8" s="1"/>
      <c r="E8" s="1">
        <v>180</v>
      </c>
      <c r="H8" s="1" t="s">
        <v>531</v>
      </c>
      <c r="J8" s="1" t="s">
        <v>608</v>
      </c>
      <c r="M8" s="15" t="s">
        <v>795</v>
      </c>
      <c r="N8" s="15"/>
      <c r="O8" s="15"/>
      <c r="P8" s="15" t="str" cm="1">
        <f t="array" ref="P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8" s="15" t="str" cm="1">
        <f t="array" ref="Q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canciones/nsb/no_vayais_a_la_fiesta.html</v>
      </c>
      <c r="S8" s="1"/>
      <c r="T8" s="1"/>
      <c r="U8" s="1"/>
      <c r="V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data-nold="180"&gt;&lt;a href="canciones/nsb/no_vayais_a_la_fiesta.html"&gt;No vayáis a la fiesta&lt;/a&gt;&lt;/li&gt;</v>
      </c>
      <c r="W8" s="15" t="str">
        <f>_xlfn.TEXTBEFORE(_xlfn.TEXTAFTER(CantoralDB[[#This Row],[index.html]],"&gt;"),"&gt;")&amp;"&gt;"</f>
        <v>&lt;a href="canciones/nsb/no_vayais_a_la_fiesta.html"&gt;</v>
      </c>
      <c r="Y8" s="1"/>
      <c r="Z8" s="1"/>
      <c r="AA8" s="1"/>
    </row>
    <row r="9" spans="1:27" x14ac:dyDescent="0.3">
      <c r="A9" s="1">
        <f>ROW(CantoralDB[[#This Row],[Título]])-1</f>
        <v>8</v>
      </c>
      <c r="B9" s="1" t="s">
        <v>101</v>
      </c>
      <c r="C9" s="1" t="s">
        <v>192</v>
      </c>
      <c r="D9" s="1" t="s">
        <v>1443</v>
      </c>
      <c r="E9" s="1">
        <v>191</v>
      </c>
      <c r="G9" s="1" t="s">
        <v>209</v>
      </c>
      <c r="H9" s="1" t="s">
        <v>531</v>
      </c>
      <c r="J9" s="1" t="s">
        <v>608</v>
      </c>
      <c r="M9" s="15" t="s">
        <v>795</v>
      </c>
      <c r="N9" s="15"/>
      <c r="O9" s="15"/>
      <c r="P9" s="15" t="str" cm="1">
        <f t="array" ref="P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" s="15" t="str" cm="1">
        <f t="array" ref="Q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canciones/nsb/oh_señor_mueve_mi_espiritu.html</v>
      </c>
      <c r="S9" s="1"/>
      <c r="T9" s="1"/>
      <c r="U9" s="1"/>
      <c r="V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data-nnew="B04" data-nold="191"&gt;&lt;a href="canciones/nsb/oh_señor_mueve_mi_espiritu.html"&gt;Oh, Señor, mueve mi espíritu&lt;/a&gt;&lt;/li&gt;</v>
      </c>
      <c r="W9" s="15" t="str">
        <f>_xlfn.TEXTBEFORE(_xlfn.TEXTAFTER(CantoralDB[[#This Row],[index.html]],"&gt;"),"&gt;")&amp;"&gt;"</f>
        <v>&lt;a href="canciones/nsb/oh_señor_mueve_mi_espiritu.html"&gt;</v>
      </c>
      <c r="Y9" s="1"/>
      <c r="Z9" s="1"/>
      <c r="AA9" s="1"/>
    </row>
    <row r="10" spans="1:27" x14ac:dyDescent="0.3">
      <c r="A10" s="1">
        <f>ROW(CantoralDB[[#This Row],[Título]])-1</f>
        <v>9</v>
      </c>
      <c r="B10" s="1" t="s">
        <v>110</v>
      </c>
      <c r="C10" s="1" t="s">
        <v>198</v>
      </c>
      <c r="D10" s="1" t="s">
        <v>1452</v>
      </c>
      <c r="E10" s="1">
        <v>200</v>
      </c>
      <c r="G10" s="1" t="s">
        <v>209</v>
      </c>
      <c r="H10" s="1" t="s">
        <v>1027</v>
      </c>
      <c r="I10" s="1" t="s">
        <v>2962</v>
      </c>
      <c r="J10" s="1" t="s">
        <v>608</v>
      </c>
      <c r="M10" s="15" t="s">
        <v>795</v>
      </c>
      <c r="N10" s="15"/>
      <c r="O10" s="15"/>
      <c r="P10" s="15" t="str" cm="1">
        <f t="array" ref="P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0" s="15" t="str" cm="1">
        <f t="array" ref="Q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canciones/nsb/paz_señor_en_el_cielo_y_la_tierra.html</v>
      </c>
      <c r="S10" s="1"/>
      <c r="T10" s="1"/>
      <c r="U10" s="1"/>
      <c r="V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data-nnew="I07" data-nold="200"&gt;&lt;a href="canciones/nsb/paz_señor_en_el_cielo_y_la_tierra.html"&gt;Paz, Señor, en el cielo y la tierra&lt;/a&gt;&lt;/li&gt;</v>
      </c>
      <c r="W10" s="15" t="str">
        <f>_xlfn.TEXTBEFORE(_xlfn.TEXTAFTER(CantoralDB[[#This Row],[index.html]],"&gt;"),"&gt;")&amp;"&gt;"</f>
        <v>&lt;a href="canciones/nsb/paz_señor_en_el_cielo_y_la_tierra.html"&gt;</v>
      </c>
      <c r="Y10" s="1"/>
      <c r="Z10" s="1"/>
      <c r="AA10" s="1"/>
    </row>
    <row r="11" spans="1:27" x14ac:dyDescent="0.3">
      <c r="A11" s="1">
        <f>ROW(CantoralDB[[#This Row],[Título]])-1</f>
        <v>10</v>
      </c>
      <c r="B11" s="1" t="s">
        <v>113</v>
      </c>
      <c r="C11" s="1" t="s">
        <v>195</v>
      </c>
      <c r="D11" s="1" t="s">
        <v>767</v>
      </c>
      <c r="E11" s="1">
        <v>214</v>
      </c>
      <c r="G11" s="1" t="s">
        <v>209</v>
      </c>
      <c r="H11" s="1" t="s">
        <v>531</v>
      </c>
      <c r="J11" s="1" t="s">
        <v>608</v>
      </c>
      <c r="M11" s="15" t="s">
        <v>795</v>
      </c>
      <c r="N11" s="15"/>
      <c r="O11" s="15"/>
      <c r="P11" s="15" t="str" cm="1">
        <f t="array" ref="P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1" s="15" t="str" cm="1">
        <f t="array" ref="Q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canciones/nsb/por_los_hombres.html</v>
      </c>
      <c r="S11" s="1"/>
      <c r="T11" s="1"/>
      <c r="U11" s="1"/>
      <c r="V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data-momento="Ofertorio" data-nnew="F12" data-nold="214"&gt;&lt;a href="canciones/nsb/por_los_hombres.html"&gt;Por los hombres&lt;/a&gt;&lt;/li&gt;</v>
      </c>
      <c r="W11" s="15" t="str">
        <f>_xlfn.TEXTBEFORE(_xlfn.TEXTAFTER(CantoralDB[[#This Row],[index.html]],"&gt;"),"&gt;")&amp;"&gt;"</f>
        <v>&lt;a href="canciones/nsb/por_los_hombres.html"&gt;</v>
      </c>
      <c r="Y11" s="1"/>
      <c r="Z11" s="1"/>
      <c r="AA11" s="1"/>
    </row>
    <row r="12" spans="1:27" x14ac:dyDescent="0.3">
      <c r="A12" s="1">
        <f>ROW(CantoralDB[[#This Row],[Título]])-1</f>
        <v>11</v>
      </c>
      <c r="B12" s="1" t="s">
        <v>132</v>
      </c>
      <c r="C12" s="1" t="s">
        <v>993</v>
      </c>
      <c r="D12" s="1" t="s">
        <v>1002</v>
      </c>
      <c r="E12" s="1">
        <v>233</v>
      </c>
      <c r="G12" s="1" t="s">
        <v>209</v>
      </c>
      <c r="H12" s="1" t="s">
        <v>531</v>
      </c>
      <c r="J12" s="1" t="s">
        <v>608</v>
      </c>
      <c r="M12" s="15" t="s">
        <v>795</v>
      </c>
      <c r="N12" s="15"/>
      <c r="O12" s="15"/>
      <c r="P12" s="15" t="str" cm="1">
        <f t="array" ref="P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" s="15" t="str" cm="1">
        <f t="array" ref="Q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canciones/nsb/se_acerca_tu_navidad.html</v>
      </c>
      <c r="S12" s="1"/>
      <c r="T12" s="1"/>
      <c r="U12" s="1"/>
      <c r="V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data-nnew="K65" data-nold="233"&gt;&lt;a href="canciones/nsb/se_acerca_tu_navidad.html"&gt;Se acerca tu Navidad&lt;/a&gt;&lt;/li&gt;</v>
      </c>
      <c r="W12" s="15" t="str">
        <f>_xlfn.TEXTBEFORE(_xlfn.TEXTAFTER(CantoralDB[[#This Row],[index.html]],"&gt;"),"&gt;")&amp;"&gt;"</f>
        <v>&lt;a href="canciones/nsb/se_acerca_tu_navidad.html"&gt;</v>
      </c>
      <c r="Y12" s="1"/>
      <c r="Z12" s="1"/>
      <c r="AA12" s="1"/>
    </row>
    <row r="13" spans="1:27" x14ac:dyDescent="0.3">
      <c r="A13" s="1">
        <f>ROW(CantoralDB[[#This Row],[Título]])-1</f>
        <v>12</v>
      </c>
      <c r="B13" s="1" t="s">
        <v>134</v>
      </c>
      <c r="C13" s="1" t="s">
        <v>198</v>
      </c>
      <c r="D13" s="1" t="s">
        <v>776</v>
      </c>
      <c r="E13" s="1">
        <v>234</v>
      </c>
      <c r="G13" s="1" t="s">
        <v>209</v>
      </c>
      <c r="H13" s="1" t="s">
        <v>531</v>
      </c>
      <c r="I13" s="1" t="s">
        <v>2962</v>
      </c>
      <c r="J13" s="1" t="s">
        <v>608</v>
      </c>
      <c r="M13" s="15" t="s">
        <v>795</v>
      </c>
      <c r="N13" s="15"/>
      <c r="O13" s="15"/>
      <c r="P13" s="15" t="str" cm="1">
        <f t="array" ref="P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" s="15" t="str" cm="1">
        <f t="array" ref="Q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canciones/nsb/shalom_haberim.html</v>
      </c>
      <c r="S13" s="1"/>
      <c r="T13" s="1"/>
      <c r="U13" s="1"/>
      <c r="V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data-nnew="I10" data-nold="234"&gt;&lt;a href="canciones/nsb/shalom_haberim.html"&gt;Shalom haberim&lt;/a&gt;&lt;/li&gt;</v>
      </c>
      <c r="W13" s="15" t="str">
        <f>_xlfn.TEXTBEFORE(_xlfn.TEXTAFTER(CantoralDB[[#This Row],[index.html]],"&gt;"),"&gt;")&amp;"&gt;"</f>
        <v>&lt;a href="canciones/nsb/shalom_haberim.html"&gt;</v>
      </c>
      <c r="Y13" s="1"/>
      <c r="Z13" s="1"/>
      <c r="AA13" s="1"/>
    </row>
    <row r="14" spans="1:27" x14ac:dyDescent="0.3">
      <c r="A14" s="1">
        <f>ROW(CantoralDB[[#This Row],[Título]])-1</f>
        <v>13</v>
      </c>
      <c r="B14" s="1" t="s">
        <v>135</v>
      </c>
      <c r="C14" s="1" t="s">
        <v>993</v>
      </c>
      <c r="D14" s="1" t="s">
        <v>1003</v>
      </c>
      <c r="E14" s="1">
        <v>235</v>
      </c>
      <c r="G14" s="1" t="s">
        <v>209</v>
      </c>
      <c r="H14" s="1" t="s">
        <v>531</v>
      </c>
      <c r="J14" s="1" t="s">
        <v>608</v>
      </c>
      <c r="M14" s="15" t="s">
        <v>795</v>
      </c>
      <c r="N14" s="15"/>
      <c r="O14" s="15"/>
      <c r="P14" s="15" t="str" cm="1">
        <f t="array" ref="P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" s="15" t="str" cm="1">
        <f t="array" ref="Q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canciones/nsb/si_dios_a_su_mesa_nos_quiere_sentar.html</v>
      </c>
      <c r="S14" s="1"/>
      <c r="T14" s="1"/>
      <c r="U14" s="1"/>
      <c r="V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data-nnew="K66" data-nold="235"&gt;&lt;a href="canciones/nsb/si_dios_a_su_mesa_nos_quiere_sentar.html"&gt;Si Dios a su mesa nos quiere sentar&lt;/a&gt;&lt;/li&gt;</v>
      </c>
      <c r="W14" s="15" t="str">
        <f>_xlfn.TEXTBEFORE(_xlfn.TEXTAFTER(CantoralDB[[#This Row],[index.html]],"&gt;"),"&gt;")&amp;"&gt;"</f>
        <v>&lt;a href="canciones/nsb/si_dios_a_su_mesa_nos_quiere_sentar.html"&gt;</v>
      </c>
      <c r="Y14" s="1"/>
      <c r="Z14" s="1"/>
      <c r="AA14" s="1"/>
    </row>
    <row r="15" spans="1:27" x14ac:dyDescent="0.3">
      <c r="A15" s="1">
        <f>ROW(CantoralDB[[#This Row],[Título]])-1</f>
        <v>14</v>
      </c>
      <c r="B15" s="1" t="s">
        <v>2105</v>
      </c>
      <c r="C15" s="1"/>
      <c r="E15" s="1">
        <v>248</v>
      </c>
      <c r="J15" s="1"/>
      <c r="M15" s="15" t="s">
        <v>795</v>
      </c>
      <c r="N15" s="15"/>
      <c r="O15" s="15"/>
      <c r="P15" s="15" t="str" cm="1">
        <f t="array" ref="P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5" s="15" t="str" cm="1">
        <f t="array" ref="Q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canciones/nsb/soy_un_pobre_pastorcillo.html</v>
      </c>
      <c r="S15" s="1"/>
      <c r="T15" s="1"/>
      <c r="U15" s="1"/>
      <c r="V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data-nold="248"&gt;&lt;a href="canciones/nsb/soy_un_pobre_pastorcillo.html"&gt;Soy un pobre pastorcillo&lt;/a&gt;&lt;/li&gt;</v>
      </c>
      <c r="W15" s="15" t="str">
        <f>_xlfn.TEXTBEFORE(_xlfn.TEXTAFTER(CantoralDB[[#This Row],[index.html]],"&gt;"),"&gt;")&amp;"&gt;"</f>
        <v>&lt;a href="canciones/nsb/soy_un_pobre_pastorcillo.html"&gt;</v>
      </c>
      <c r="Y15" s="1"/>
      <c r="Z15" s="1"/>
      <c r="AA15" s="1"/>
    </row>
    <row r="16" spans="1:27" x14ac:dyDescent="0.3">
      <c r="A16" s="1">
        <f>ROW(CantoralDB[[#This Row],[Título]])-1</f>
        <v>15</v>
      </c>
      <c r="B16" s="1" t="s">
        <v>142</v>
      </c>
      <c r="C16" s="1" t="s">
        <v>993</v>
      </c>
      <c r="D16" s="1" t="s">
        <v>1010</v>
      </c>
      <c r="E16" s="1">
        <v>255</v>
      </c>
      <c r="G16" s="1" t="s">
        <v>209</v>
      </c>
      <c r="H16" s="1" t="s">
        <v>531</v>
      </c>
      <c r="I16" s="1" t="s">
        <v>2960</v>
      </c>
      <c r="J16" s="1" t="s">
        <v>608</v>
      </c>
      <c r="M16" s="15" t="s">
        <v>795</v>
      </c>
      <c r="N16" s="15"/>
      <c r="O16" s="15"/>
      <c r="P16" s="15" t="str" cm="1">
        <f t="array" ref="P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6" s="15" t="str" cm="1">
        <f t="array" ref="Q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canciones/nsb/tengo_que_gritar.html</v>
      </c>
      <c r="S16" s="1" t="s">
        <v>863</v>
      </c>
      <c r="T16" s="1"/>
      <c r="U16" s="1"/>
      <c r="V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data-nnew="K73" data-nold="255"&gt;&lt;a href="canciones/nsb/tengo_que_gritar.html"&gt;Tengo que gritar&lt;/a&gt;&lt;/li&gt;</v>
      </c>
      <c r="W16" s="15" t="str">
        <f>_xlfn.TEXTBEFORE(_xlfn.TEXTAFTER(CantoralDB[[#This Row],[index.html]],"&gt;"),"&gt;")&amp;"&gt;"</f>
        <v>&lt;a href="canciones/nsb/tengo_que_gritar.html"&gt;</v>
      </c>
      <c r="Y16" s="1"/>
      <c r="Z16" s="1"/>
      <c r="AA16" s="1"/>
    </row>
    <row r="17" spans="1:27" x14ac:dyDescent="0.3">
      <c r="A17" s="1">
        <f>ROW(CantoralDB[[#This Row],[Título]])-1</f>
        <v>16</v>
      </c>
      <c r="B17" s="1" t="s">
        <v>145</v>
      </c>
      <c r="C17" s="1" t="s">
        <v>195</v>
      </c>
      <c r="D17" s="1" t="s">
        <v>771</v>
      </c>
      <c r="E17" s="1">
        <v>265</v>
      </c>
      <c r="G17" s="1" t="s">
        <v>209</v>
      </c>
      <c r="H17" s="1" t="s">
        <v>1027</v>
      </c>
      <c r="J17" s="1" t="s">
        <v>608</v>
      </c>
      <c r="M17" s="15" t="s">
        <v>795</v>
      </c>
      <c r="N17" s="15"/>
      <c r="O17" s="15"/>
      <c r="P17" s="15" t="str" cm="1">
        <f t="array" ref="P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7" s="15" t="str" cm="1">
        <f t="array" ref="Q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canciones/nsb/traemos_a_tu_altar.html</v>
      </c>
      <c r="S17" s="1"/>
      <c r="T17" s="1"/>
      <c r="U17" s="1"/>
      <c r="V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data-momento="Ofertorio" data-nnew="F16" data-nold="265"&gt;&lt;a href="canciones/nsb/traemos_a_tu_altar.html"&gt;Traemos a tu altar&lt;/a&gt;&lt;/li&gt;</v>
      </c>
      <c r="W17" s="15" t="str">
        <f>_xlfn.TEXTBEFORE(_xlfn.TEXTAFTER(CantoralDB[[#This Row],[index.html]],"&gt;"),"&gt;")&amp;"&gt;"</f>
        <v>&lt;a href="canciones/nsb/traemos_a_tu_altar.html"&gt;</v>
      </c>
      <c r="Y17" s="1"/>
      <c r="Z17" s="1"/>
      <c r="AA17" s="1"/>
    </row>
    <row r="18" spans="1:27" x14ac:dyDescent="0.3">
      <c r="A18" s="1">
        <f>ROW(CantoralDB[[#This Row],[Título]])-1</f>
        <v>17</v>
      </c>
      <c r="B18" s="1" t="s">
        <v>152</v>
      </c>
      <c r="C18" s="1" t="s">
        <v>191</v>
      </c>
      <c r="D18" s="1" t="s">
        <v>752</v>
      </c>
      <c r="E18" s="1">
        <v>270</v>
      </c>
      <c r="G18" s="1" t="s">
        <v>209</v>
      </c>
      <c r="H18" s="1" t="s">
        <v>1027</v>
      </c>
      <c r="I18" s="1" t="s">
        <v>2962</v>
      </c>
      <c r="J18" s="1" t="s">
        <v>608</v>
      </c>
      <c r="M18" s="15" t="s">
        <v>795</v>
      </c>
      <c r="N18" s="15"/>
      <c r="O18" s="15"/>
      <c r="P18" s="15" t="str" cm="1">
        <f t="array" ref="P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8" s="15" t="str" cm="1">
        <f t="array" ref="Q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canciones/nsb/un_nuevo_sitio_disponed.html</v>
      </c>
      <c r="S18" s="1"/>
      <c r="T18" s="1"/>
      <c r="U18" s="1"/>
      <c r="V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data-momento="Entrada" data-nnew="A32" data-nold="270"&gt;&lt;a href="canciones/nsb/un_nuevo_sitio_disponed.html"&gt;Un nuevo sitio disponed&lt;/a&gt;&lt;/li&gt;</v>
      </c>
      <c r="W18" s="15" t="str">
        <f>_xlfn.TEXTBEFORE(_xlfn.TEXTAFTER(CantoralDB[[#This Row],[index.html]],"&gt;"),"&gt;")&amp;"&gt;"</f>
        <v>&lt;a href="canciones/nsb/un_nuevo_sitio_disponed.html"&gt;</v>
      </c>
      <c r="Y18" s="1"/>
      <c r="Z18" s="1"/>
      <c r="AA18" s="1"/>
    </row>
    <row r="19" spans="1:27" x14ac:dyDescent="0.3">
      <c r="A19" s="1">
        <f>ROW(CantoralDB[[#This Row],[Título]])-1</f>
        <v>18</v>
      </c>
      <c r="B19" s="1" t="s">
        <v>69</v>
      </c>
      <c r="C19" s="1" t="s">
        <v>193</v>
      </c>
      <c r="D19" s="1" t="s">
        <v>1424</v>
      </c>
      <c r="E19" s="1">
        <v>303</v>
      </c>
      <c r="G19" s="1" t="s">
        <v>209</v>
      </c>
      <c r="H19" s="1" t="s">
        <v>531</v>
      </c>
      <c r="J19" s="1" t="s">
        <v>608</v>
      </c>
      <c r="M19" s="15" t="s">
        <v>795</v>
      </c>
      <c r="N19" s="15"/>
      <c r="O19" s="15"/>
      <c r="P19" s="15" t="str" cm="1">
        <f t="array" ref="P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9" s="15" t="str" cm="1">
        <f t="array" ref="Q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canciones/nsb/gloria_y_alabanza.html</v>
      </c>
      <c r="S19" s="1"/>
      <c r="T19" s="1"/>
      <c r="U19" s="1"/>
      <c r="V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data-momento="Gloria" data-nnew="C04" data-nold="303"&gt;&lt;a href="canciones/nsb/gloria_y_alabanza.html"&gt;Gloria y alabanza&lt;/a&gt;&lt;/li&gt;</v>
      </c>
      <c r="W19" s="15" t="str">
        <f>_xlfn.TEXTBEFORE(_xlfn.TEXTAFTER(CantoralDB[[#This Row],[index.html]],"&gt;"),"&gt;")&amp;"&gt;"</f>
        <v>&lt;a href="canciones/nsb/gloria_y_alabanza.html"&gt;</v>
      </c>
      <c r="Y19" s="1"/>
      <c r="Z19" s="1"/>
      <c r="AA19" s="1"/>
    </row>
    <row r="20" spans="1:27" x14ac:dyDescent="0.3">
      <c r="A20" s="1">
        <f>ROW(CantoralDB[[#This Row],[Título]])-1</f>
        <v>19</v>
      </c>
      <c r="B20" s="1" t="s">
        <v>1352</v>
      </c>
      <c r="C20" s="1"/>
      <c r="E20" s="1">
        <v>304</v>
      </c>
      <c r="J20" s="1"/>
      <c r="M20" s="15" t="s">
        <v>795</v>
      </c>
      <c r="N20" s="15"/>
      <c r="O20" s="15"/>
      <c r="P20" s="15" t="str" cm="1">
        <f t="array" ref="P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20" s="15" t="str" cm="1">
        <f t="array" ref="Q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canciones/nsb/jesus_es_la_verdad.html</v>
      </c>
      <c r="S20" s="1"/>
      <c r="T20" s="1"/>
      <c r="U20" s="1"/>
      <c r="V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data-nold="304"&gt;&lt;a href="canciones/nsb/jesus_es_la_verdad.html"&gt;Jesús es la Verdad&lt;/a&gt;&lt;/li&gt;</v>
      </c>
      <c r="W20" s="15" t="str">
        <f>_xlfn.TEXTBEFORE(_xlfn.TEXTAFTER(CantoralDB[[#This Row],[index.html]],"&gt;"),"&gt;")&amp;"&gt;"</f>
        <v>&lt;a href="canciones/nsb/jesus_es_la_verdad.html"&gt;</v>
      </c>
      <c r="Y20" s="1"/>
      <c r="Z20" s="1"/>
      <c r="AA20" s="1"/>
    </row>
    <row r="21" spans="1:27" x14ac:dyDescent="0.3">
      <c r="A21" s="1">
        <f>ROW(CantoralDB[[#This Row],[Título]])-1</f>
        <v>20</v>
      </c>
      <c r="B21" s="1" t="s">
        <v>1353</v>
      </c>
      <c r="C21" s="1"/>
      <c r="E21" s="1">
        <v>305</v>
      </c>
      <c r="J21" s="1"/>
      <c r="M21" s="15" t="s">
        <v>795</v>
      </c>
      <c r="N21" s="15"/>
      <c r="O21" s="15"/>
      <c r="P21" s="15" t="str" cm="1">
        <f t="array" ref="P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21" s="15" t="str" cm="1">
        <f t="array" ref="Q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canciones/nsb/juntos_cantaremos_con_la_voz_de_la_cancion.html</v>
      </c>
      <c r="S21" s="1"/>
      <c r="T21" s="1"/>
      <c r="U21" s="1"/>
      <c r="V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data-nold="305"&gt;&lt;a href="canciones/nsb/juntos_cantaremos_con_la_voz_de_la_cancion.html"&gt;Juntos cantaremos con la voz de la canción&lt;/a&gt;&lt;/li&gt;</v>
      </c>
      <c r="W21" s="15" t="str">
        <f>_xlfn.TEXTBEFORE(_xlfn.TEXTAFTER(CantoralDB[[#This Row],[index.html]],"&gt;"),"&gt;")&amp;"&gt;"</f>
        <v>&lt;a href="canciones/nsb/juntos_cantaremos_con_la_voz_de_la_cancion.html"&gt;</v>
      </c>
      <c r="Y21" s="1"/>
      <c r="Z21" s="1"/>
      <c r="AA21" s="1"/>
    </row>
    <row r="22" spans="1:27" x14ac:dyDescent="0.3">
      <c r="A22" s="1">
        <f>ROW(CantoralDB[[#This Row],[Título]])-1</f>
        <v>21</v>
      </c>
      <c r="B22" s="1" t="s">
        <v>1355</v>
      </c>
      <c r="C22" s="1"/>
      <c r="E22" s="1">
        <v>309</v>
      </c>
      <c r="J22" s="1"/>
      <c r="M22" s="15" t="s">
        <v>795</v>
      </c>
      <c r="N22" s="15"/>
      <c r="O22" s="15"/>
      <c r="P22" s="15" t="str" cm="1">
        <f t="array" ref="P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22" s="15" t="str" cm="1">
        <f t="array" ref="Q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canciones/nsb/somos_los_que_hacemos_puentes.html</v>
      </c>
      <c r="S22" s="1"/>
      <c r="T22" s="1"/>
      <c r="U22" s="1"/>
      <c r="V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data-nold="309"&gt;&lt;a href="canciones/nsb/somos_los_que_hacemos_puentes.html"&gt;Somos los que hacemos puentes&lt;/a&gt;&lt;/li&gt;</v>
      </c>
      <c r="W22" s="15" t="str">
        <f>_xlfn.TEXTBEFORE(_xlfn.TEXTAFTER(CantoralDB[[#This Row],[index.html]],"&gt;"),"&gt;")&amp;"&gt;"</f>
        <v>&lt;a href="canciones/nsb/somos_los_que_hacemos_puentes.html"&gt;</v>
      </c>
      <c r="Y22" s="1"/>
      <c r="Z22" s="1"/>
      <c r="AA22" s="1"/>
    </row>
    <row r="23" spans="1:27" x14ac:dyDescent="0.3">
      <c r="A23" s="1">
        <f>ROW(CantoralDB[[#This Row],[Título]])-1</f>
        <v>22</v>
      </c>
      <c r="B23" s="1" t="s">
        <v>1482</v>
      </c>
      <c r="C23" s="1"/>
      <c r="E23" s="1">
        <v>314</v>
      </c>
      <c r="H23" s="1" t="s">
        <v>531</v>
      </c>
      <c r="J23" s="1" t="s">
        <v>608</v>
      </c>
      <c r="M23" s="15" t="s">
        <v>795</v>
      </c>
      <c r="N23" s="34"/>
      <c r="O23" s="15"/>
      <c r="P23" s="15" t="str" cm="1">
        <f t="array" ref="P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23" s="15" t="str" cm="1">
        <f t="array" ref="Q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canciones/nsb/el_tren_del_evangelio.html</v>
      </c>
      <c r="S23" s="1"/>
      <c r="T23" s="1"/>
      <c r="U23" s="14" t="s">
        <v>1481</v>
      </c>
      <c r="V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data-nold="314"&gt;&lt;a href="canciones/nsb/el_tren_del_evangelio.html"&gt;El tren del Evangelio&lt;/a&gt;&lt;/li&gt;</v>
      </c>
      <c r="W23" s="15" t="str">
        <f>_xlfn.TEXTBEFORE(_xlfn.TEXTAFTER(CantoralDB[[#This Row],[index.html]],"&gt;"),"&gt;")&amp;"&gt;"</f>
        <v>&lt;a href="canciones/nsb/el_tren_del_evangelio.html"&gt;</v>
      </c>
      <c r="Y23" s="1"/>
      <c r="Z23" s="1"/>
      <c r="AA23" s="1"/>
    </row>
    <row r="24" spans="1:27" x14ac:dyDescent="0.3">
      <c r="A24" s="1">
        <f>ROW(CantoralDB[[#This Row],[Título]])-1</f>
        <v>23</v>
      </c>
      <c r="B24" s="1" t="s">
        <v>38</v>
      </c>
      <c r="C24" s="1" t="s">
        <v>202</v>
      </c>
      <c r="D24" s="1" t="s">
        <v>1403</v>
      </c>
      <c r="E24" s="1">
        <v>415</v>
      </c>
      <c r="G24" s="1" t="s">
        <v>209</v>
      </c>
      <c r="H24" s="1" t="s">
        <v>1030</v>
      </c>
      <c r="J24" s="1" t="s">
        <v>608</v>
      </c>
      <c r="M24" s="15" t="s">
        <v>795</v>
      </c>
      <c r="N24" s="15"/>
      <c r="O24" s="15"/>
      <c r="P24" s="15" t="str" cm="1">
        <f t="array" ref="P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24" s="15" t="str" cm="1">
        <f t="array" ref="Q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canciones/nsb/cordero_de_dios_(boliviano).html</v>
      </c>
      <c r="S24" s="1"/>
      <c r="T24" s="1"/>
      <c r="U24" s="1"/>
      <c r="V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data-momento="Cordero de Dios" data-nnew="J03" data-nold="415"&gt;&lt;a href="canciones/nsb/cordero_de_dios_(boliviano).html"&gt;Cordero de Dios (boliviano)&lt;/a&gt;&lt;/li&gt;</v>
      </c>
      <c r="W24" s="15" t="str">
        <f>_xlfn.TEXTBEFORE(_xlfn.TEXTAFTER(CantoralDB[[#This Row],[index.html]],"&gt;"),"&gt;")&amp;"&gt;"</f>
        <v>&lt;a href="canciones/nsb/cordero_de_dios_(boliviano).html"&gt;</v>
      </c>
      <c r="Y24" s="1"/>
      <c r="Z24" s="1"/>
      <c r="AA24" s="1"/>
    </row>
    <row r="25" spans="1:27" x14ac:dyDescent="0.3">
      <c r="A25" s="1">
        <f>ROW(CantoralDB[[#This Row],[Título]])-1</f>
        <v>24</v>
      </c>
      <c r="B25" s="1" t="s">
        <v>85</v>
      </c>
      <c r="C25" s="1" t="s">
        <v>200</v>
      </c>
      <c r="D25" s="1" t="s">
        <v>1436</v>
      </c>
      <c r="E25" s="1">
        <v>432</v>
      </c>
      <c r="G25" s="1" t="s">
        <v>209</v>
      </c>
      <c r="H25" s="1" t="s">
        <v>1029</v>
      </c>
      <c r="J25" s="1" t="s">
        <v>608</v>
      </c>
      <c r="M25" s="15" t="s">
        <v>795</v>
      </c>
      <c r="N25" s="15"/>
      <c r="O25" s="15"/>
      <c r="P25" s="15" t="str" cm="1">
        <f t="array" ref="P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25" s="15" t="str" cm="1">
        <f t="array" ref="Q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canciones/nsb/la_virgen_sueña_caminos.html</v>
      </c>
      <c r="S25" s="1"/>
      <c r="T25" s="1"/>
      <c r="U25" s="1"/>
      <c r="V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data-nnew="M08" data-nold="432"&gt;&lt;a href="canciones/nsb/la_virgen_sueña_caminos.html"&gt;La Virgen sueña caminos&lt;/a&gt;&lt;/li&gt;</v>
      </c>
      <c r="W25" s="15" t="str">
        <f>_xlfn.TEXTBEFORE(_xlfn.TEXTAFTER(CantoralDB[[#This Row],[index.html]],"&gt;"),"&gt;")&amp;"&gt;"</f>
        <v>&lt;a href="canciones/nsb/la_virgen_sueña_caminos.html"&gt;</v>
      </c>
      <c r="Y25" s="1"/>
      <c r="Z25" s="1"/>
      <c r="AA25" s="1"/>
    </row>
    <row r="26" spans="1:27" x14ac:dyDescent="0.3">
      <c r="A26" s="1">
        <f>ROW(CantoralDB[[#This Row],[Título]])-1</f>
        <v>25</v>
      </c>
      <c r="B26" s="1" t="s">
        <v>90</v>
      </c>
      <c r="C26" s="1" t="s">
        <v>200</v>
      </c>
      <c r="D26" s="1" t="s">
        <v>1046</v>
      </c>
      <c r="E26" s="1">
        <v>434</v>
      </c>
      <c r="G26" s="1" t="s">
        <v>209</v>
      </c>
      <c r="H26" s="1" t="s">
        <v>531</v>
      </c>
      <c r="J26" s="1" t="s">
        <v>608</v>
      </c>
      <c r="M26" s="15" t="s">
        <v>795</v>
      </c>
      <c r="N26" s="15"/>
      <c r="O26" s="15"/>
      <c r="P26" s="15" t="str" cm="1">
        <f t="array" ref="P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26" s="15" t="str" cm="1">
        <f t="array" ref="Q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canciones/nsb/maria_madre_nuestra.html</v>
      </c>
      <c r="S26" s="1"/>
      <c r="T26" s="1"/>
      <c r="U26" s="1"/>
      <c r="V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data-nnew="M12" data-nold="434"&gt;&lt;a href="canciones/nsb/maria_madre_nuestra.html"&gt;María, madre nuestra&lt;/a&gt;&lt;/li&gt;</v>
      </c>
      <c r="W26" s="15" t="str">
        <f>_xlfn.TEXTBEFORE(_xlfn.TEXTAFTER(CantoralDB[[#This Row],[index.html]],"&gt;"),"&gt;")&amp;"&gt;"</f>
        <v>&lt;a href="canciones/nsb/maria_madre_nuestra.html"&gt;</v>
      </c>
      <c r="Y26" s="1"/>
      <c r="Z26" s="1"/>
      <c r="AA26" s="1"/>
    </row>
    <row r="27" spans="1:27" x14ac:dyDescent="0.3">
      <c r="A27" s="1">
        <f>ROW(CantoralDB[[#This Row],[Título]])-1</f>
        <v>26</v>
      </c>
      <c r="B27" s="1" t="s">
        <v>98</v>
      </c>
      <c r="C27" s="1" t="s">
        <v>993</v>
      </c>
      <c r="D27" s="1" t="s">
        <v>722</v>
      </c>
      <c r="E27" s="1">
        <v>441</v>
      </c>
      <c r="G27" s="1" t="s">
        <v>209</v>
      </c>
      <c r="H27" s="1" t="s">
        <v>531</v>
      </c>
      <c r="J27" s="1" t="s">
        <v>608</v>
      </c>
      <c r="M27" s="15" t="s">
        <v>795</v>
      </c>
      <c r="N27" s="15"/>
      <c r="O27" s="15"/>
      <c r="P27" s="15" t="str" cm="1">
        <f t="array" ref="P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27" s="15" t="str" cm="1">
        <f t="array" ref="Q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canciones/nsb/no_me_mueve.html</v>
      </c>
      <c r="S27" s="1"/>
      <c r="T27" s="1"/>
      <c r="U27" s="1"/>
      <c r="V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data-nnew="K49" data-nold="441"&gt;&lt;a href="canciones/nsb/no_me_mueve.html"&gt;No me mueve&lt;/a&gt;&lt;/li&gt;</v>
      </c>
      <c r="W27" s="15" t="str">
        <f>_xlfn.TEXTBEFORE(_xlfn.TEXTAFTER(CantoralDB[[#This Row],[index.html]],"&gt;"),"&gt;")&amp;"&gt;"</f>
        <v>&lt;a href="canciones/nsb/no_me_mueve.html"&gt;</v>
      </c>
      <c r="Y27" s="1"/>
      <c r="Z27" s="1"/>
      <c r="AA27" s="1"/>
    </row>
    <row r="28" spans="1:27" x14ac:dyDescent="0.3">
      <c r="A28" s="1">
        <f>ROW(CantoralDB[[#This Row],[Título]])-1</f>
        <v>27</v>
      </c>
      <c r="B28" s="1" t="s">
        <v>105</v>
      </c>
      <c r="C28" s="1" t="s">
        <v>197</v>
      </c>
      <c r="D28" s="1" t="s">
        <v>1445</v>
      </c>
      <c r="E28" s="1">
        <v>444</v>
      </c>
      <c r="G28" s="1" t="s">
        <v>209</v>
      </c>
      <c r="H28" s="1" t="s">
        <v>1030</v>
      </c>
      <c r="I28" s="1" t="s">
        <v>2962</v>
      </c>
      <c r="J28" s="1" t="s">
        <v>608</v>
      </c>
      <c r="M28" s="15" t="s">
        <v>795</v>
      </c>
      <c r="N28" s="15"/>
      <c r="O28" s="15"/>
      <c r="P28" s="15" t="str" cm="1">
        <f t="array" ref="P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28" s="15" t="str" cm="1">
        <f t="array" ref="Q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canciones/nsb/padre_nuestro_(mexicano).html</v>
      </c>
      <c r="S28" s="1"/>
      <c r="T28" s="1"/>
      <c r="U28" s="1"/>
      <c r="V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data-momento="Padrenuestro" data-nnew="H03" data-nold="444"&gt;&lt;a href="canciones/nsb/padre_nuestro_(mexicano).html"&gt;Padre nuestro (mexicano)&lt;/a&gt;&lt;/li&gt;</v>
      </c>
      <c r="W28" s="15" t="str">
        <f>_xlfn.TEXTBEFORE(_xlfn.TEXTAFTER(CantoralDB[[#This Row],[index.html]],"&gt;"),"&gt;")&amp;"&gt;"</f>
        <v>&lt;a href="canciones/nsb/padre_nuestro_(mexicano).html"&gt;</v>
      </c>
      <c r="AA28" s="1"/>
    </row>
    <row r="29" spans="1:27" x14ac:dyDescent="0.3">
      <c r="A29" s="1">
        <f>ROW(CantoralDB[[#This Row],[Título]])-1</f>
        <v>28</v>
      </c>
      <c r="B29" s="1" t="s">
        <v>108</v>
      </c>
      <c r="C29" s="1" t="s">
        <v>993</v>
      </c>
      <c r="D29" s="1" t="s">
        <v>726</v>
      </c>
      <c r="E29" s="1">
        <v>445</v>
      </c>
      <c r="G29" s="1" t="s">
        <v>209</v>
      </c>
      <c r="H29" s="1" t="s">
        <v>473</v>
      </c>
      <c r="J29" s="1" t="s">
        <v>608</v>
      </c>
      <c r="M29" s="15" t="s">
        <v>795</v>
      </c>
      <c r="N29" s="15"/>
      <c r="O29" s="15"/>
      <c r="P29" s="15" t="str" cm="1">
        <f t="array" ref="P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29" s="15" t="str" cm="1">
        <f t="array" ref="Q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canciones/nsb/para_el_que_sabe.html</v>
      </c>
      <c r="S29" s="1"/>
      <c r="T29" s="1"/>
      <c r="U29" s="1"/>
      <c r="V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data-nnew="K53" data-nold="445"&gt;&lt;a href="canciones/nsb/para_el_que_sabe.html"&gt;Para el que sabe&lt;/a&gt;&lt;/li&gt;</v>
      </c>
      <c r="W29" s="15" t="str">
        <f>_xlfn.TEXTBEFORE(_xlfn.TEXTAFTER(CantoralDB[[#This Row],[index.html]],"&gt;"),"&gt;")&amp;"&gt;"</f>
        <v>&lt;a href="canciones/nsb/para_el_que_sabe.html"&gt;</v>
      </c>
      <c r="Y29" s="1"/>
      <c r="Z29" s="1"/>
      <c r="AA29" s="1"/>
    </row>
    <row r="30" spans="1:27" x14ac:dyDescent="0.3">
      <c r="A30" s="1">
        <f>ROW(CantoralDB[[#This Row],[Título]])-1</f>
        <v>29</v>
      </c>
      <c r="B30" s="1" t="s">
        <v>112</v>
      </c>
      <c r="C30" s="1" t="s">
        <v>198</v>
      </c>
      <c r="D30" s="1" t="s">
        <v>1453</v>
      </c>
      <c r="E30" s="1">
        <v>448</v>
      </c>
      <c r="F30" s="1">
        <v>191</v>
      </c>
      <c r="G30" s="1" t="s">
        <v>209</v>
      </c>
      <c r="H30" s="1" t="s">
        <v>531</v>
      </c>
      <c r="J30" s="1" t="s">
        <v>608</v>
      </c>
      <c r="M30" s="15" t="s">
        <v>795</v>
      </c>
      <c r="N30" s="15"/>
      <c r="O30" s="15"/>
      <c r="P30" s="15" t="str" cm="1">
        <f t="array" ref="P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30" s="15" t="str" cm="1">
        <f t="array" ref="Q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canciones/nsb/pon_tu_mano.html</v>
      </c>
      <c r="S30" s="1"/>
      <c r="T30" s="1"/>
      <c r="U30" s="1"/>
      <c r="V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data-nnew="I08" data-nold="448"&gt;&lt;a href="canciones/nsb/pon_tu_mano.html"&gt;Pon tu mano&lt;/a&gt;&lt;/li&gt;</v>
      </c>
      <c r="W30" s="15" t="str">
        <f>_xlfn.TEXTBEFORE(_xlfn.TEXTAFTER(CantoralDB[[#This Row],[index.html]],"&gt;"),"&gt;")&amp;"&gt;"</f>
        <v>&lt;a href="canciones/nsb/pon_tu_mano.html"&gt;</v>
      </c>
      <c r="Y30" s="1"/>
      <c r="Z30" s="1"/>
      <c r="AA30" s="1"/>
    </row>
    <row r="31" spans="1:27" x14ac:dyDescent="0.3">
      <c r="A31" s="1">
        <f>ROW(CantoralDB[[#This Row],[Título]])-1</f>
        <v>30</v>
      </c>
      <c r="B31" s="1" t="s">
        <v>131</v>
      </c>
      <c r="C31" s="1" t="s">
        <v>196</v>
      </c>
      <c r="D31" s="1" t="s">
        <v>780</v>
      </c>
      <c r="E31" s="1">
        <v>459</v>
      </c>
      <c r="F31" s="1">
        <v>379</v>
      </c>
      <c r="G31" s="1" t="s">
        <v>209</v>
      </c>
      <c r="H31" s="1" t="s">
        <v>1027</v>
      </c>
      <c r="I31" s="1" t="s">
        <v>2962</v>
      </c>
      <c r="J31" s="1" t="s">
        <v>608</v>
      </c>
      <c r="M31" s="15" t="s">
        <v>795</v>
      </c>
      <c r="N31" s="15"/>
      <c r="O31" s="15"/>
      <c r="P31" s="15" t="str" cm="1">
        <f t="array" ref="P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31" s="15" t="str" cm="1">
        <f t="array" ref="Q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canciones/nsb/santo_zaireño.html</v>
      </c>
      <c r="S31" s="1"/>
      <c r="T31" s="1"/>
      <c r="U31" s="1"/>
      <c r="V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data-nnew="G13" data-nold="459"&gt;&lt;a href="canciones/nsb/santo_zaireño.html"&gt;Santo zaireño&lt;/a&gt;&lt;/li&gt;</v>
      </c>
      <c r="W31" s="15" t="str">
        <f>_xlfn.TEXTBEFORE(_xlfn.TEXTAFTER(CantoralDB[[#This Row],[index.html]],"&gt;"),"&gt;")&amp;"&gt;"</f>
        <v>&lt;a href="canciones/nsb/santo_zaireño.html"&gt;</v>
      </c>
      <c r="Y31" s="1"/>
      <c r="Z31" s="1"/>
      <c r="AA31" s="1"/>
    </row>
    <row r="32" spans="1:27" x14ac:dyDescent="0.3">
      <c r="A32" s="1">
        <f>ROW(CantoralDB[[#This Row],[Título]])-1</f>
        <v>31</v>
      </c>
      <c r="B32" s="1" t="s">
        <v>164</v>
      </c>
      <c r="C32" s="1" t="s">
        <v>199</v>
      </c>
      <c r="D32" s="1" t="s">
        <v>1478</v>
      </c>
      <c r="E32" s="1">
        <v>472</v>
      </c>
      <c r="G32" s="1" t="s">
        <v>209</v>
      </c>
      <c r="H32" s="1" t="s">
        <v>1027</v>
      </c>
      <c r="J32" s="1" t="s">
        <v>608</v>
      </c>
      <c r="M32" s="15" t="s">
        <v>795</v>
      </c>
      <c r="N32" s="15"/>
      <c r="O32" s="15"/>
      <c r="P32" s="15" t="str" cm="1">
        <f t="array" ref="P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32" s="15" t="str" cm="1">
        <f t="array" ref="Q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canciones/nsb/vive_tu_amor_en_mi.html</v>
      </c>
      <c r="S32" s="1"/>
      <c r="T32" s="1"/>
      <c r="U32" s="1"/>
      <c r="V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data-momento="Despedida" data-nnew="L09" data-nold="472"&gt;&lt;a href="canciones/nsb/vive_tu_amor_en_mi.html"&gt;Vive tu amor en mí&lt;/a&gt;&lt;/li&gt;</v>
      </c>
      <c r="W32" s="15" t="str">
        <f>_xlfn.TEXTBEFORE(_xlfn.TEXTAFTER(CantoralDB[[#This Row],[index.html]],"&gt;"),"&gt;")&amp;"&gt;"</f>
        <v>&lt;a href="canciones/nsb/vive_tu_amor_en_mi.html"&gt;</v>
      </c>
      <c r="Y32" s="1"/>
      <c r="Z32" s="1"/>
      <c r="AA32" s="1"/>
    </row>
    <row r="33" spans="1:27" x14ac:dyDescent="0.3">
      <c r="A33" s="1">
        <f>ROW(CantoralDB[[#This Row],[Título]])-1</f>
        <v>32</v>
      </c>
      <c r="B33" s="1" t="s">
        <v>165</v>
      </c>
      <c r="C33" s="1" t="s">
        <v>993</v>
      </c>
      <c r="D33" s="1" t="s">
        <v>1018</v>
      </c>
      <c r="E33" s="1">
        <v>473</v>
      </c>
      <c r="G33" s="1" t="s">
        <v>209</v>
      </c>
      <c r="H33" s="1" t="s">
        <v>531</v>
      </c>
      <c r="I33" s="1" t="s">
        <v>2962</v>
      </c>
      <c r="J33" s="1" t="s">
        <v>608</v>
      </c>
      <c r="M33" s="15" t="s">
        <v>795</v>
      </c>
      <c r="N33" s="15"/>
      <c r="O33" s="15"/>
      <c r="P33" s="15" t="str" cm="1">
        <f t="array" ref="P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33" s="15" t="str" cm="1">
        <f t="array" ref="Q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canciones/nsb/volar.html</v>
      </c>
      <c r="S33" s="1"/>
      <c r="T33" s="1"/>
      <c r="U33" s="1"/>
      <c r="V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data-nnew="K81" data-nold="473"&gt;&lt;a href="canciones/nsb/volar.html"&gt;Volar&lt;/a&gt;&lt;/li&gt;</v>
      </c>
      <c r="W33" s="15" t="str">
        <f>_xlfn.TEXTBEFORE(_xlfn.TEXTAFTER(CantoralDB[[#This Row],[index.html]],"&gt;"),"&gt;")&amp;"&gt;"</f>
        <v>&lt;a href="canciones/nsb/volar.html"&gt;</v>
      </c>
      <c r="Y33" s="1"/>
      <c r="Z33" s="1"/>
      <c r="AA33" s="1"/>
    </row>
    <row r="34" spans="1:27" x14ac:dyDescent="0.3">
      <c r="A34" s="1">
        <f>ROW(CantoralDB[[#This Row],[Título]])-1</f>
        <v>33</v>
      </c>
      <c r="B34" s="1" t="s">
        <v>2392</v>
      </c>
      <c r="C34" s="1"/>
      <c r="F34" s="1">
        <v>6</v>
      </c>
      <c r="J34" s="1"/>
      <c r="M34" s="15" t="s">
        <v>795</v>
      </c>
      <c r="N34" s="15"/>
      <c r="O34" s="15"/>
      <c r="P34" s="15" t="str" cm="1">
        <f t="array" ref="P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4" s="15" t="str" cm="1">
        <f t="array" ref="Q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canciones/nuevas/llename_señor.html</v>
      </c>
      <c r="S34" s="1"/>
      <c r="T34" s="1"/>
      <c r="U34" s="1"/>
      <c r="V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href="canciones/nuevas/llename_señor.html"&gt;Lléname, Señor&lt;/a&gt;&lt;/li&gt;</v>
      </c>
      <c r="W34" s="15" t="str">
        <f>_xlfn.TEXTBEFORE(_xlfn.TEXTAFTER(CantoralDB[[#This Row],[index.html]],"&gt;"),"&gt;")&amp;"&gt;"</f>
        <v>&lt;a href="canciones/nuevas/llename_señor.html"&gt;</v>
      </c>
      <c r="Y34" s="1"/>
      <c r="Z34" s="1"/>
      <c r="AA34" s="1"/>
    </row>
    <row r="35" spans="1:27" x14ac:dyDescent="0.3">
      <c r="A35" s="1">
        <f>ROW(CantoralDB[[#This Row],[Título]])-1</f>
        <v>34</v>
      </c>
      <c r="B35" s="1" t="s">
        <v>2394</v>
      </c>
      <c r="C35" s="1"/>
      <c r="F35" s="1">
        <v>8</v>
      </c>
      <c r="J35" s="1"/>
      <c r="M35" s="15" t="s">
        <v>795</v>
      </c>
      <c r="N35" s="15"/>
      <c r="O35" s="15"/>
      <c r="P35" s="15" t="str" cm="1">
        <f t="array" ref="P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5" s="15" t="str" cm="1">
        <f t="array" ref="Q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canciones/nuevas/estamos_de_fiesta.html</v>
      </c>
      <c r="S35" s="1"/>
      <c r="T35" s="1"/>
      <c r="U35" s="1"/>
      <c r="V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href="canciones/nuevas/estamos_de_fiesta.html"&gt;Estamos de fiesta&lt;/a&gt;&lt;/li&gt;</v>
      </c>
      <c r="W35" s="15" t="str">
        <f>_xlfn.TEXTBEFORE(_xlfn.TEXTAFTER(CantoralDB[[#This Row],[index.html]],"&gt;"),"&gt;")&amp;"&gt;"</f>
        <v>&lt;a href="canciones/nuevas/estamos_de_fiesta.html"&gt;</v>
      </c>
      <c r="Y35" s="1"/>
      <c r="Z35" s="1"/>
      <c r="AA35" s="1"/>
    </row>
    <row r="36" spans="1:27" x14ac:dyDescent="0.3">
      <c r="A36" s="1">
        <f>ROW(CantoralDB[[#This Row],[Título]])-1</f>
        <v>35</v>
      </c>
      <c r="B36" s="1" t="s">
        <v>2395</v>
      </c>
      <c r="C36" s="1"/>
      <c r="F36" s="1">
        <v>10</v>
      </c>
      <c r="J36" s="1"/>
      <c r="M36" s="15" t="s">
        <v>795</v>
      </c>
      <c r="N36" s="15"/>
      <c r="O36" s="15"/>
      <c r="P36" s="15" t="str" cm="1">
        <f t="array" ref="P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6" s="15" t="str" cm="1">
        <f t="array" ref="Q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canciones/nuevas/mejor_que_vida_es_tu_misericordia.html</v>
      </c>
      <c r="S36" s="1"/>
      <c r="T36" s="1"/>
      <c r="U36" s="1"/>
      <c r="V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href="canciones/nuevas/mejor_que_vida_es_tu_misericordia.html"&gt;Mejor que vida es tu misericordia&lt;/a&gt;&lt;/li&gt;</v>
      </c>
      <c r="W36" s="15" t="str">
        <f>_xlfn.TEXTBEFORE(_xlfn.TEXTAFTER(CantoralDB[[#This Row],[index.html]],"&gt;"),"&gt;")&amp;"&gt;"</f>
        <v>&lt;a href="canciones/nuevas/mejor_que_vida_es_tu_misericordia.html"&gt;</v>
      </c>
      <c r="Y36" s="1"/>
      <c r="Z36" s="1"/>
      <c r="AA36" s="1"/>
    </row>
    <row r="37" spans="1:27" x14ac:dyDescent="0.3">
      <c r="A37" s="1">
        <f>ROW(CantoralDB[[#This Row],[Título]])-1</f>
        <v>36</v>
      </c>
      <c r="B37" s="1" t="s">
        <v>2409</v>
      </c>
      <c r="C37" s="1"/>
      <c r="F37" s="1">
        <v>20</v>
      </c>
      <c r="J37" s="1"/>
      <c r="M37" s="15" t="s">
        <v>795</v>
      </c>
      <c r="N37" s="15"/>
      <c r="O37" s="15"/>
      <c r="P37" s="15" t="str" cm="1">
        <f t="array" ref="P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7" s="15" t="str" cm="1">
        <f t="array" ref="Q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canciones/nuevas/yo_soy_testigo.html</v>
      </c>
      <c r="S37" s="1"/>
      <c r="T37" s="1"/>
      <c r="U37" s="1"/>
      <c r="V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href="canciones/nuevas/yo_soy_testigo.html"&gt;Yo soy testigo&lt;/a&gt;&lt;/li&gt;</v>
      </c>
      <c r="W37" s="15" t="str">
        <f>_xlfn.TEXTBEFORE(_xlfn.TEXTAFTER(CantoralDB[[#This Row],[index.html]],"&gt;"),"&gt;")&amp;"&gt;"</f>
        <v>&lt;a href="canciones/nuevas/yo_soy_testigo.html"&gt;</v>
      </c>
      <c r="Y37" s="1"/>
      <c r="Z37" s="1"/>
      <c r="AA37" s="1"/>
    </row>
    <row r="38" spans="1:27" x14ac:dyDescent="0.3">
      <c r="A38" s="1">
        <f>ROW(CantoralDB[[#This Row],[Título]])-1</f>
        <v>37</v>
      </c>
      <c r="B38" s="1" t="s">
        <v>2410</v>
      </c>
      <c r="C38" s="1"/>
      <c r="F38" s="1">
        <v>21</v>
      </c>
      <c r="J38" s="1"/>
      <c r="M38" s="15" t="s">
        <v>795</v>
      </c>
      <c r="N38" s="15"/>
      <c r="O38" s="15"/>
      <c r="P38" s="15" t="str" cm="1">
        <f t="array" ref="P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8" s="15" t="str" cm="1">
        <f t="array" ref="Q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canciones/nuevas/shema_israel.html</v>
      </c>
      <c r="S38" s="1"/>
      <c r="T38" s="1"/>
      <c r="U38" s="1"/>
      <c r="V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href="canciones/nuevas/shema_israel.html"&gt;Shemá, Israel&lt;/a&gt;&lt;/li&gt;</v>
      </c>
      <c r="W38" s="15" t="str">
        <f>_xlfn.TEXTBEFORE(_xlfn.TEXTAFTER(CantoralDB[[#This Row],[index.html]],"&gt;"),"&gt;")&amp;"&gt;"</f>
        <v>&lt;a href="canciones/nuevas/shema_israel.html"&gt;</v>
      </c>
      <c r="Y38" s="1"/>
      <c r="Z38" s="1"/>
      <c r="AA38" s="1"/>
    </row>
    <row r="39" spans="1:27" x14ac:dyDescent="0.3">
      <c r="A39" s="1">
        <f>ROW(CantoralDB[[#This Row],[Título]])-1</f>
        <v>38</v>
      </c>
      <c r="B39" s="1" t="s">
        <v>2411</v>
      </c>
      <c r="C39" s="1"/>
      <c r="F39" s="1">
        <v>23</v>
      </c>
      <c r="J39" s="1"/>
      <c r="M39" s="15" t="s">
        <v>795</v>
      </c>
      <c r="N39" s="15"/>
      <c r="O39" s="15"/>
      <c r="P39" s="15" t="str" cm="1">
        <f t="array" ref="P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9" s="15" t="str" cm="1">
        <f t="array" ref="Q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canciones/nuevas/inunda_mi_ser.html</v>
      </c>
      <c r="S39" s="1"/>
      <c r="T39" s="1"/>
      <c r="U39" s="1"/>
      <c r="V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href="canciones/nuevas/inunda_mi_ser.html"&gt;Inunda mi ser&lt;/a&gt;&lt;/li&gt;</v>
      </c>
      <c r="W39" s="15" t="str">
        <f>_xlfn.TEXTBEFORE(_xlfn.TEXTAFTER(CantoralDB[[#This Row],[index.html]],"&gt;"),"&gt;")&amp;"&gt;"</f>
        <v>&lt;a href="canciones/nuevas/inunda_mi_ser.html"&gt;</v>
      </c>
      <c r="Y39" s="1"/>
      <c r="Z39" s="1"/>
      <c r="AA39" s="1"/>
    </row>
    <row r="40" spans="1:27" x14ac:dyDescent="0.3">
      <c r="A40" s="1">
        <f>ROW(CantoralDB[[#This Row],[Título]])-1</f>
        <v>39</v>
      </c>
      <c r="B40" s="1" t="s">
        <v>2412</v>
      </c>
      <c r="C40" s="1"/>
      <c r="F40" s="1">
        <v>24</v>
      </c>
      <c r="J40" s="1"/>
      <c r="M40" s="15" t="s">
        <v>795</v>
      </c>
      <c r="N40" s="15"/>
      <c r="O40" s="15"/>
      <c r="P40" s="15" t="str" cm="1">
        <f t="array" ref="P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0" s="15" t="str" cm="1">
        <f t="array" ref="Q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canciones/nuevas/si_tuvieras_fe_como_un_granito_de_mostaza.html</v>
      </c>
      <c r="S40" s="1"/>
      <c r="T40" s="1"/>
      <c r="U40" s="1"/>
      <c r="V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href="canciones/nuevas/si_tuvieras_fe_como_un_granito_de_mostaza.html"&gt;Si tuvieras fe como un granito de mostaza&lt;/a&gt;&lt;/li&gt;</v>
      </c>
      <c r="W40" s="15" t="str">
        <f>_xlfn.TEXTBEFORE(_xlfn.TEXTAFTER(CantoralDB[[#This Row],[index.html]],"&gt;"),"&gt;")&amp;"&gt;"</f>
        <v>&lt;a href="canciones/nuevas/si_tuvieras_fe_como_un_granito_de_mostaza.html"&gt;</v>
      </c>
      <c r="Y40" s="1"/>
      <c r="Z40" s="1"/>
      <c r="AA40" s="1"/>
    </row>
    <row r="41" spans="1:27" x14ac:dyDescent="0.3">
      <c r="A41" s="1">
        <f>ROW(CantoralDB[[#This Row],[Título]])-1</f>
        <v>40</v>
      </c>
      <c r="B41" s="1" t="s">
        <v>2413</v>
      </c>
      <c r="C41" s="1"/>
      <c r="F41" s="1">
        <v>25</v>
      </c>
      <c r="J41" s="1"/>
      <c r="M41" s="15" t="s">
        <v>795</v>
      </c>
      <c r="N41" s="15"/>
      <c r="O41" s="15"/>
      <c r="P41" s="15" t="str" cm="1">
        <f t="array" ref="P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1" s="15" t="str" cm="1">
        <f t="array" ref="Q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canciones/nuevas/oh_padre_yo_te_amo.html</v>
      </c>
      <c r="S41" s="1"/>
      <c r="T41" s="1"/>
      <c r="U41" s="1"/>
      <c r="V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href="canciones/nuevas/oh_padre_yo_te_amo.html"&gt;Oh, Padre, yo te amo&lt;/a&gt;&lt;/li&gt;</v>
      </c>
      <c r="W41" s="15" t="str">
        <f>_xlfn.TEXTBEFORE(_xlfn.TEXTAFTER(CantoralDB[[#This Row],[index.html]],"&gt;"),"&gt;")&amp;"&gt;"</f>
        <v>&lt;a href="canciones/nuevas/oh_padre_yo_te_amo.html"&gt;</v>
      </c>
      <c r="Y41" s="1"/>
      <c r="Z41" s="1"/>
      <c r="AA41" s="1"/>
    </row>
    <row r="42" spans="1:27" x14ac:dyDescent="0.3">
      <c r="A42" s="1">
        <f>ROW(CantoralDB[[#This Row],[Título]])-1</f>
        <v>41</v>
      </c>
      <c r="B42" s="1" t="s">
        <v>2414</v>
      </c>
      <c r="C42" s="1"/>
      <c r="F42" s="1">
        <v>27</v>
      </c>
      <c r="J42" s="1"/>
      <c r="M42" s="15" t="s">
        <v>795</v>
      </c>
      <c r="N42" s="15"/>
      <c r="O42" s="15"/>
      <c r="P42" s="15" t="str" cm="1">
        <f t="array" ref="P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2" s="15" t="str" cm="1">
        <f t="array" ref="Q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canciones/nuevas/tenemos_tanto.html</v>
      </c>
      <c r="S42" s="1"/>
      <c r="T42" s="1"/>
      <c r="U42" s="1"/>
      <c r="V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href="canciones/nuevas/tenemos_tanto.html"&gt;Tenemos tanto&lt;/a&gt;&lt;/li&gt;</v>
      </c>
      <c r="W42" s="15" t="str">
        <f>_xlfn.TEXTBEFORE(_xlfn.TEXTAFTER(CantoralDB[[#This Row],[index.html]],"&gt;"),"&gt;")&amp;"&gt;"</f>
        <v>&lt;a href="canciones/nuevas/tenemos_tanto.html"&gt;</v>
      </c>
      <c r="Y42" s="1"/>
      <c r="Z42" s="1"/>
      <c r="AA42" s="1"/>
    </row>
    <row r="43" spans="1:27" x14ac:dyDescent="0.3">
      <c r="A43" s="1">
        <f>ROW(CantoralDB[[#This Row],[Título]])-1</f>
        <v>42</v>
      </c>
      <c r="B43" s="1" t="s">
        <v>2415</v>
      </c>
      <c r="C43" s="1"/>
      <c r="F43" s="1">
        <v>28</v>
      </c>
      <c r="J43" s="1"/>
      <c r="M43" s="15" t="s">
        <v>795</v>
      </c>
      <c r="N43" s="15"/>
      <c r="O43" s="15"/>
      <c r="P43" s="15" t="str" cm="1">
        <f t="array" ref="P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3" s="15" t="str" cm="1">
        <f t="array" ref="Q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S43" s="1"/>
      <c r="T43" s="1"/>
      <c r="U43" s="1"/>
      <c r="V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href="canciones/nuevas/rey_de_reyes.html"&gt;Rey de reyes&lt;/a&gt;&lt;/li&gt;</v>
      </c>
      <c r="W43" s="15" t="str">
        <f>_xlfn.TEXTBEFORE(_xlfn.TEXTAFTER(CantoralDB[[#This Row],[index.html]],"&gt;"),"&gt;")&amp;"&gt;"</f>
        <v>&lt;a href="canciones/nuevas/rey_de_reyes.html"&gt;</v>
      </c>
      <c r="Y43" s="1"/>
      <c r="Z43" s="1"/>
      <c r="AA43" s="1"/>
    </row>
    <row r="44" spans="1:27" x14ac:dyDescent="0.3">
      <c r="A44" s="1">
        <f>ROW(CantoralDB[[#This Row],[Título]])-1</f>
        <v>43</v>
      </c>
      <c r="B44" s="1" t="s">
        <v>2416</v>
      </c>
      <c r="C44" s="1"/>
      <c r="F44" s="1">
        <v>29</v>
      </c>
      <c r="J44" s="1"/>
      <c r="M44" s="15" t="s">
        <v>795</v>
      </c>
      <c r="N44" s="15"/>
      <c r="O44" s="15"/>
      <c r="P44" s="15" t="str" cm="1">
        <f t="array" ref="P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4" s="15" t="str" cm="1">
        <f t="array" ref="Q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canciones/nuevas/seguid_unidos_a_mi.html</v>
      </c>
      <c r="S44" s="1"/>
      <c r="T44" s="1"/>
      <c r="U44" s="1"/>
      <c r="V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href="canciones/nuevas/seguid_unidos_a_mi.html"&gt;Seguid unidos a mí&lt;/a&gt;&lt;/li&gt;</v>
      </c>
      <c r="W44" s="15" t="str">
        <f>_xlfn.TEXTBEFORE(_xlfn.TEXTAFTER(CantoralDB[[#This Row],[index.html]],"&gt;"),"&gt;")&amp;"&gt;"</f>
        <v>&lt;a href="canciones/nuevas/seguid_unidos_a_mi.html"&gt;</v>
      </c>
      <c r="Y44" s="1"/>
      <c r="Z44" s="1"/>
      <c r="AA44" s="1"/>
    </row>
    <row r="45" spans="1:27" x14ac:dyDescent="0.3">
      <c r="A45" s="1">
        <f>ROW(CantoralDB[[#This Row],[Título]])-1</f>
        <v>44</v>
      </c>
      <c r="B45" s="1" t="s">
        <v>2419</v>
      </c>
      <c r="C45" s="1"/>
      <c r="F45" s="1">
        <v>32</v>
      </c>
      <c r="J45" s="1"/>
      <c r="M45" s="15" t="s">
        <v>795</v>
      </c>
      <c r="N45" s="15"/>
      <c r="O45" s="15"/>
      <c r="P45" s="15" t="str" cm="1">
        <f t="array" ref="P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5" s="15" t="str" cm="1">
        <f t="array" ref="Q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canciones/nuevas/vamos_a_juntarnos.html</v>
      </c>
      <c r="S45" s="1"/>
      <c r="T45" s="1"/>
      <c r="U45" s="1"/>
      <c r="V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href="canciones/nuevas/vamos_a_juntarnos.html"&gt;Vamos a juntarnos&lt;/a&gt;&lt;/li&gt;</v>
      </c>
      <c r="W45" s="15" t="str">
        <f>_xlfn.TEXTBEFORE(_xlfn.TEXTAFTER(CantoralDB[[#This Row],[index.html]],"&gt;"),"&gt;")&amp;"&gt;"</f>
        <v>&lt;a href="canciones/nuevas/vamos_a_juntarnos.html"&gt;</v>
      </c>
      <c r="Y45" s="1"/>
      <c r="Z45" s="1"/>
      <c r="AA45" s="1"/>
    </row>
    <row r="46" spans="1:27" x14ac:dyDescent="0.3">
      <c r="A46" s="1">
        <f>ROW(CantoralDB[[#This Row],[Título]])-1</f>
        <v>45</v>
      </c>
      <c r="B46" s="1" t="s">
        <v>2420</v>
      </c>
      <c r="C46" s="1"/>
      <c r="F46" s="1">
        <v>33</v>
      </c>
      <c r="J46" s="1"/>
      <c r="M46" s="15" t="s">
        <v>795</v>
      </c>
      <c r="N46" s="15"/>
      <c r="O46" s="15"/>
      <c r="P46" s="15" t="str" cm="1">
        <f t="array" ref="P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6" s="15" t="str" cm="1">
        <f t="array" ref="Q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canciones/nuevas/sea_la_gloria.html</v>
      </c>
      <c r="S46" s="1"/>
      <c r="T46" s="1"/>
      <c r="U46" s="1"/>
      <c r="V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href="canciones/nuevas/sea_la_gloria.html"&gt;Sea la gloria&lt;/a&gt;&lt;/li&gt;</v>
      </c>
      <c r="W46" s="15" t="str">
        <f>_xlfn.TEXTBEFORE(_xlfn.TEXTAFTER(CantoralDB[[#This Row],[index.html]],"&gt;"),"&gt;")&amp;"&gt;"</f>
        <v>&lt;a href="canciones/nuevas/sea_la_gloria.html"&gt;</v>
      </c>
      <c r="Y46" s="1"/>
      <c r="Z46" s="1"/>
      <c r="AA46" s="1"/>
    </row>
    <row r="47" spans="1:27" x14ac:dyDescent="0.3">
      <c r="A47" s="1">
        <f>ROW(CantoralDB[[#This Row],[Título]])-1</f>
        <v>46</v>
      </c>
      <c r="B47" s="1" t="s">
        <v>2428</v>
      </c>
      <c r="C47" s="1"/>
      <c r="F47" s="1">
        <v>40</v>
      </c>
      <c r="J47" s="1"/>
      <c r="M47" s="15" t="s">
        <v>795</v>
      </c>
      <c r="N47" s="15"/>
      <c r="O47" s="15"/>
      <c r="P47" s="15" t="str" cm="1">
        <f t="array" ref="P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7" s="15" t="str" cm="1">
        <f t="array" ref="Q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canciones/nuevas/tu_amor_sublime.html</v>
      </c>
      <c r="S47" s="1"/>
      <c r="T47" s="1"/>
      <c r="U47" s="1"/>
      <c r="V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href="canciones/nuevas/tu_amor_sublime.html"&gt;Tu amor sublime&lt;/a&gt;&lt;/li&gt;</v>
      </c>
      <c r="W47" s="15" t="str">
        <f>_xlfn.TEXTBEFORE(_xlfn.TEXTAFTER(CantoralDB[[#This Row],[index.html]],"&gt;"),"&gt;")&amp;"&gt;"</f>
        <v>&lt;a href="canciones/nuevas/tu_amor_sublime.html"&gt;</v>
      </c>
      <c r="Y47" s="1"/>
      <c r="Z47" s="1"/>
      <c r="AA47" s="1"/>
    </row>
    <row r="48" spans="1:27" x14ac:dyDescent="0.3">
      <c r="A48" s="1">
        <f>ROW(CantoralDB[[#This Row],[Título]])-1</f>
        <v>47</v>
      </c>
      <c r="B48" s="1" t="s">
        <v>1715</v>
      </c>
      <c r="C48" s="1"/>
      <c r="F48" s="1">
        <v>41</v>
      </c>
      <c r="J48" s="1"/>
      <c r="M48" s="15" t="s">
        <v>795</v>
      </c>
      <c r="N48" s="15"/>
      <c r="O48" s="15"/>
      <c r="P48" s="15" t="str" cm="1">
        <f t="array" ref="P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8" s="15" t="str" cm="1">
        <f t="array" ref="Q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canciones/nuevas/venimos_ante_ti.html</v>
      </c>
      <c r="S48" s="1"/>
      <c r="T48" s="1"/>
      <c r="U48" s="1"/>
      <c r="V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href="canciones/nuevas/venimos_ante_ti.html"&gt;Venimos ante ti&lt;/a&gt;&lt;/li&gt;</v>
      </c>
      <c r="W48" s="15" t="str">
        <f>_xlfn.TEXTBEFORE(_xlfn.TEXTAFTER(CantoralDB[[#This Row],[index.html]],"&gt;"),"&gt;")&amp;"&gt;"</f>
        <v>&lt;a href="canciones/nuevas/venimos_ante_ti.html"&gt;</v>
      </c>
      <c r="Y48" s="1"/>
      <c r="Z48" s="1"/>
      <c r="AA48" s="1"/>
    </row>
    <row r="49" spans="1:27" x14ac:dyDescent="0.3">
      <c r="A49" s="1">
        <f>ROW(CantoralDB[[#This Row],[Título]])-1</f>
        <v>48</v>
      </c>
      <c r="B49" s="1" t="s">
        <v>2429</v>
      </c>
      <c r="C49" s="1"/>
      <c r="F49" s="1">
        <v>42</v>
      </c>
      <c r="J49" s="1"/>
      <c r="M49" s="15" t="s">
        <v>795</v>
      </c>
      <c r="N49" s="15"/>
      <c r="O49" s="15"/>
      <c r="P49" s="15" t="str" cm="1">
        <f t="array" ref="P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9" s="15" t="str" cm="1">
        <f t="array" ref="Q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canciones/nuevas/si_yo_confio_en_el_señor.html</v>
      </c>
      <c r="S49" s="1"/>
      <c r="T49" s="1"/>
      <c r="U49" s="1"/>
      <c r="V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href="canciones/nuevas/si_yo_confio_en_el_señor.html"&gt;Si yo confío en el Señor&lt;/a&gt;&lt;/li&gt;</v>
      </c>
      <c r="W49" s="15" t="str">
        <f>_xlfn.TEXTBEFORE(_xlfn.TEXTAFTER(CantoralDB[[#This Row],[index.html]],"&gt;"),"&gt;")&amp;"&gt;"</f>
        <v>&lt;a href="canciones/nuevas/si_yo_confio_en_el_señor.html"&gt;</v>
      </c>
      <c r="Y49" s="1"/>
      <c r="Z49" s="1"/>
      <c r="AA49" s="1"/>
    </row>
    <row r="50" spans="1:27" x14ac:dyDescent="0.3">
      <c r="A50" s="1">
        <f>ROW(CantoralDB[[#This Row],[Título]])-1</f>
        <v>49</v>
      </c>
      <c r="B50" s="1" t="s">
        <v>2430</v>
      </c>
      <c r="C50" s="1"/>
      <c r="F50" s="1">
        <v>43</v>
      </c>
      <c r="J50" s="1"/>
      <c r="M50" s="15" t="s">
        <v>795</v>
      </c>
      <c r="N50" s="15"/>
      <c r="O50" s="15"/>
      <c r="P50" s="15" t="str" cm="1">
        <f t="array" ref="P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0" s="15" t="str" cm="1">
        <f t="array" ref="Q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canciones/nuevas/me_alegrare.html</v>
      </c>
      <c r="S50" s="1"/>
      <c r="T50" s="1"/>
      <c r="U50" s="1"/>
      <c r="V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href="canciones/nuevas/me_alegrare.html"&gt;Me alegraré&lt;/a&gt;&lt;/li&gt;</v>
      </c>
      <c r="W50" s="15" t="str">
        <f>_xlfn.TEXTBEFORE(_xlfn.TEXTAFTER(CantoralDB[[#This Row],[index.html]],"&gt;"),"&gt;")&amp;"&gt;"</f>
        <v>&lt;a href="canciones/nuevas/me_alegrare.html"&gt;</v>
      </c>
      <c r="Y50" s="1"/>
      <c r="Z50" s="1"/>
      <c r="AA50" s="1"/>
    </row>
    <row r="51" spans="1:27" x14ac:dyDescent="0.3">
      <c r="A51" s="1">
        <f>ROW(CantoralDB[[#This Row],[Título]])-1</f>
        <v>50</v>
      </c>
      <c r="B51" s="1" t="s">
        <v>2431</v>
      </c>
      <c r="C51" s="1"/>
      <c r="F51" s="1">
        <v>44</v>
      </c>
      <c r="J51" s="1"/>
      <c r="M51" s="15" t="s">
        <v>795</v>
      </c>
      <c r="N51" s="15"/>
      <c r="O51" s="15"/>
      <c r="P51" s="15" t="str" cm="1">
        <f t="array" ref="P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1" s="15" t="str" cm="1">
        <f t="array" ref="Q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canciones/nuevas/espiritu_santo_ven.html</v>
      </c>
      <c r="S51" s="1"/>
      <c r="T51" s="1"/>
      <c r="U51" s="1"/>
      <c r="V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href="canciones/nuevas/espiritu_santo_ven.html"&gt;Espíritu Santo, ven&lt;/a&gt;&lt;/li&gt;</v>
      </c>
      <c r="W51" s="15" t="str">
        <f>_xlfn.TEXTBEFORE(_xlfn.TEXTAFTER(CantoralDB[[#This Row],[index.html]],"&gt;"),"&gt;")&amp;"&gt;"</f>
        <v>&lt;a href="canciones/nuevas/espiritu_santo_ven.html"&gt;</v>
      </c>
      <c r="Y51" s="1"/>
      <c r="Z51" s="1"/>
      <c r="AA51" s="1"/>
    </row>
    <row r="52" spans="1:27" x14ac:dyDescent="0.3">
      <c r="A52" s="1">
        <f>ROW(CantoralDB[[#This Row],[Título]])-1</f>
        <v>51</v>
      </c>
      <c r="B52" s="1" t="s">
        <v>2436</v>
      </c>
      <c r="C52" s="1"/>
      <c r="F52" s="1">
        <v>48</v>
      </c>
      <c r="J52" s="1"/>
      <c r="M52" s="15" t="s">
        <v>795</v>
      </c>
      <c r="N52" s="15"/>
      <c r="O52" s="15"/>
      <c r="P52" s="15" t="str" cm="1">
        <f t="array" ref="P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2" s="15" t="str" cm="1">
        <f t="array" ref="Q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canciones/nuevas/el_nos_ha_elegido.html</v>
      </c>
      <c r="S52" s="1"/>
      <c r="T52" s="1"/>
      <c r="U52" s="1"/>
      <c r="V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href="canciones/nuevas/el_nos_ha_elegido.html"&gt;Él nos ha elegido&lt;/a&gt;&lt;/li&gt;</v>
      </c>
      <c r="W52" s="15" t="str">
        <f>_xlfn.TEXTBEFORE(_xlfn.TEXTAFTER(CantoralDB[[#This Row],[index.html]],"&gt;"),"&gt;")&amp;"&gt;"</f>
        <v>&lt;a href="canciones/nuevas/el_nos_ha_elegido.html"&gt;</v>
      </c>
      <c r="Y52" s="1"/>
      <c r="Z52" s="1"/>
      <c r="AA52" s="1"/>
    </row>
    <row r="53" spans="1:27" x14ac:dyDescent="0.3">
      <c r="A53" s="1">
        <f>ROW(CantoralDB[[#This Row],[Título]])-1</f>
        <v>52</v>
      </c>
      <c r="B53" s="1" t="s">
        <v>885</v>
      </c>
      <c r="C53" s="1"/>
      <c r="F53" s="1">
        <v>53</v>
      </c>
      <c r="J53" s="1"/>
      <c r="M53" s="15" t="s">
        <v>795</v>
      </c>
      <c r="N53" s="15"/>
      <c r="O53" s="15"/>
      <c r="P53" s="15" t="str" cm="1">
        <f t="array" ref="P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3" s="15" t="str" cm="1">
        <f t="array" ref="Q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S53" s="1"/>
      <c r="T53" s="1"/>
      <c r="U53" s="1"/>
      <c r="V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href="canciones/nuevas/bendecid_al_señor.html"&gt;Bendecid al Señor&lt;/a&gt;&lt;/li&gt;</v>
      </c>
      <c r="W53" s="15" t="str">
        <f>_xlfn.TEXTBEFORE(_xlfn.TEXTAFTER(CantoralDB[[#This Row],[index.html]],"&gt;"),"&gt;")&amp;"&gt;"</f>
        <v>&lt;a href="canciones/nuevas/bendecid_al_señor.html"&gt;</v>
      </c>
      <c r="Y53" s="1"/>
      <c r="Z53" s="1"/>
      <c r="AA53" s="1"/>
    </row>
    <row r="54" spans="1:27" x14ac:dyDescent="0.3">
      <c r="A54" s="1">
        <f>ROW(CantoralDB[[#This Row],[Título]])-1</f>
        <v>53</v>
      </c>
      <c r="B54" s="1" t="s">
        <v>2444</v>
      </c>
      <c r="C54" s="1"/>
      <c r="F54" s="1">
        <v>54</v>
      </c>
      <c r="J54" s="1"/>
      <c r="M54" s="15" t="s">
        <v>795</v>
      </c>
      <c r="N54" s="15"/>
      <c r="O54" s="15"/>
      <c r="P54" s="15" t="str" cm="1">
        <f t="array" ref="P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4" s="15" t="str" cm="1">
        <f t="array" ref="Q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canciones/nuevas/hoy_perdoname.html</v>
      </c>
      <c r="S54" s="1"/>
      <c r="T54" s="1"/>
      <c r="U54" s="1"/>
      <c r="V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href="canciones/nuevas/hoy_perdoname.html"&gt;Hoy perdóname&lt;/a&gt;&lt;/li&gt;</v>
      </c>
      <c r="W54" s="15" t="str">
        <f>_xlfn.TEXTBEFORE(_xlfn.TEXTAFTER(CantoralDB[[#This Row],[index.html]],"&gt;"),"&gt;")&amp;"&gt;"</f>
        <v>&lt;a href="canciones/nuevas/hoy_perdoname.html"&gt;</v>
      </c>
      <c r="Y54" s="1"/>
      <c r="Z54" s="1"/>
      <c r="AA54" s="1"/>
    </row>
    <row r="55" spans="1:27" x14ac:dyDescent="0.3">
      <c r="A55" s="1">
        <f>ROW(CantoralDB[[#This Row],[Título]])-1</f>
        <v>54</v>
      </c>
      <c r="B55" s="1" t="s">
        <v>2446</v>
      </c>
      <c r="C55" s="1"/>
      <c r="F55" s="1">
        <v>55</v>
      </c>
      <c r="J55" s="1"/>
      <c r="M55" s="15" t="s">
        <v>795</v>
      </c>
      <c r="N55" s="15"/>
      <c r="O55" s="15"/>
      <c r="P55" s="15" t="str" cm="1">
        <f t="array" ref="P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5" s="15" t="str" cm="1">
        <f t="array" ref="Q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canciones/nuevas/ven_espiritu_divino.html</v>
      </c>
      <c r="S55" s="1"/>
      <c r="T55" s="1"/>
      <c r="U55" s="1"/>
      <c r="V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href="canciones/nuevas/ven_espiritu_divino.html"&gt;Ven, Espíritu divino&lt;/a&gt;&lt;/li&gt;</v>
      </c>
      <c r="W55" s="15" t="str">
        <f>_xlfn.TEXTBEFORE(_xlfn.TEXTAFTER(CantoralDB[[#This Row],[index.html]],"&gt;"),"&gt;")&amp;"&gt;"</f>
        <v>&lt;a href="canciones/nuevas/ven_espiritu_divino.html"&gt;</v>
      </c>
      <c r="Y55" s="1"/>
      <c r="Z55" s="1"/>
      <c r="AA55" s="1"/>
    </row>
    <row r="56" spans="1:27" x14ac:dyDescent="0.3">
      <c r="A56" s="1">
        <f>ROW(CantoralDB[[#This Row],[Título]])-1</f>
        <v>55</v>
      </c>
      <c r="B56" s="1" t="s">
        <v>2449</v>
      </c>
      <c r="C56" s="1"/>
      <c r="F56" s="1">
        <v>58</v>
      </c>
      <c r="J56" s="1"/>
      <c r="M56" s="15" t="s">
        <v>795</v>
      </c>
      <c r="N56" s="15"/>
      <c r="O56" s="15"/>
      <c r="P56" s="15" t="str" cm="1">
        <f t="array" ref="P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6" s="15" t="str" cm="1">
        <f t="array" ref="Q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canciones/nuevas/vamos_a_cantar.html</v>
      </c>
      <c r="S56" s="1"/>
      <c r="T56" s="1"/>
      <c r="U56" s="1"/>
      <c r="V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href="canciones/nuevas/vamos_a_cantar.html"&gt;Vamos a cantar&lt;/a&gt;&lt;/li&gt;</v>
      </c>
      <c r="W56" s="15" t="str">
        <f>_xlfn.TEXTBEFORE(_xlfn.TEXTAFTER(CantoralDB[[#This Row],[index.html]],"&gt;"),"&gt;")&amp;"&gt;"</f>
        <v>&lt;a href="canciones/nuevas/vamos_a_cantar.html"&gt;</v>
      </c>
      <c r="Y56" s="1"/>
      <c r="Z56" s="1"/>
      <c r="AA56" s="1"/>
    </row>
    <row r="57" spans="1:27" x14ac:dyDescent="0.3">
      <c r="A57" s="1">
        <f>ROW(CantoralDB[[#This Row],[Título]])-1</f>
        <v>56</v>
      </c>
      <c r="B57" s="1" t="s">
        <v>2450</v>
      </c>
      <c r="C57" s="1"/>
      <c r="F57" s="1">
        <v>59</v>
      </c>
      <c r="J57" s="1"/>
      <c r="M57" s="15" t="s">
        <v>795</v>
      </c>
      <c r="N57" s="15"/>
      <c r="O57" s="15"/>
      <c r="P57" s="15" t="str" cm="1">
        <f t="array" ref="P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7" s="15" t="str" cm="1">
        <f t="array" ref="Q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canciones/nuevas/maravilloso_jesus_es_para_mi.html</v>
      </c>
      <c r="S57" s="1"/>
      <c r="T57" s="1"/>
      <c r="U57" s="1"/>
      <c r="V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href="canciones/nuevas/maravilloso_jesus_es_para_mi.html"&gt;Maravilloso Jesús es para mí&lt;/a&gt;&lt;/li&gt;</v>
      </c>
      <c r="W57" s="15" t="str">
        <f>_xlfn.TEXTBEFORE(_xlfn.TEXTAFTER(CantoralDB[[#This Row],[index.html]],"&gt;"),"&gt;")&amp;"&gt;"</f>
        <v>&lt;a href="canciones/nuevas/maravilloso_jesus_es_para_mi.html"&gt;</v>
      </c>
      <c r="Y57" s="1"/>
      <c r="Z57" s="1"/>
      <c r="AA57" s="1"/>
    </row>
    <row r="58" spans="1:27" x14ac:dyDescent="0.3">
      <c r="A58" s="1">
        <f>ROW(CantoralDB[[#This Row],[Título]])-1</f>
        <v>57</v>
      </c>
      <c r="B58" s="1" t="s">
        <v>2453</v>
      </c>
      <c r="C58" s="1"/>
      <c r="F58" s="1">
        <v>62</v>
      </c>
      <c r="J58" s="1"/>
      <c r="M58" s="15" t="s">
        <v>795</v>
      </c>
      <c r="N58" s="15"/>
      <c r="O58" s="15"/>
      <c r="P58" s="15" t="str" cm="1">
        <f t="array" ref="P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8" s="15" t="str" cm="1">
        <f t="array" ref="Q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canciones/nuevas/bendita_entre_las_mujeres.html</v>
      </c>
      <c r="S58" s="1"/>
      <c r="T58" s="1"/>
      <c r="U58" s="1"/>
      <c r="V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href="canciones/nuevas/bendita_entre_las_mujeres.html"&gt;Bendita entre las mujeres&lt;/a&gt;&lt;/li&gt;</v>
      </c>
      <c r="W58" s="15" t="str">
        <f>_xlfn.TEXTBEFORE(_xlfn.TEXTAFTER(CantoralDB[[#This Row],[index.html]],"&gt;"),"&gt;")&amp;"&gt;"</f>
        <v>&lt;a href="canciones/nuevas/bendita_entre_las_mujeres.html"&gt;</v>
      </c>
      <c r="Y58" s="1"/>
      <c r="Z58" s="1"/>
      <c r="AA58" s="1"/>
    </row>
    <row r="59" spans="1:27" x14ac:dyDescent="0.3">
      <c r="A59" s="1">
        <f>ROW(CantoralDB[[#This Row],[Título]])-1</f>
        <v>58</v>
      </c>
      <c r="B59" s="1" t="s">
        <v>2456</v>
      </c>
      <c r="C59" s="1"/>
      <c r="F59" s="1">
        <v>64</v>
      </c>
      <c r="J59" s="1"/>
      <c r="M59" s="15" t="s">
        <v>795</v>
      </c>
      <c r="N59" s="15"/>
      <c r="O59" s="15"/>
      <c r="P59" s="15" t="str" cm="1">
        <f t="array" ref="P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9" s="15" t="str" cm="1">
        <f t="array" ref="Q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canciones/nuevas/aleluya_alabad_a_dios.html</v>
      </c>
      <c r="S59" s="1"/>
      <c r="T59" s="1"/>
      <c r="U59" s="1"/>
      <c r="V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href="canciones/nuevas/aleluya_alabad_a_dios.html"&gt;Aleluya, alabad a Dios&lt;/a&gt;&lt;/li&gt;</v>
      </c>
      <c r="W59" s="15" t="str">
        <f>_xlfn.TEXTBEFORE(_xlfn.TEXTAFTER(CantoralDB[[#This Row],[index.html]],"&gt;"),"&gt;")&amp;"&gt;"</f>
        <v>&lt;a href="canciones/nuevas/aleluya_alabad_a_dios.html"&gt;</v>
      </c>
      <c r="Y59" s="1"/>
      <c r="Z59" s="1"/>
      <c r="AA59" s="1"/>
    </row>
    <row r="60" spans="1:27" x14ac:dyDescent="0.3">
      <c r="A60" s="1">
        <f>ROW(CantoralDB[[#This Row],[Título]])-1</f>
        <v>59</v>
      </c>
      <c r="B60" s="1" t="s">
        <v>2457</v>
      </c>
      <c r="C60" s="1"/>
      <c r="F60" s="1">
        <v>65</v>
      </c>
      <c r="J60" s="1"/>
      <c r="M60" s="15" t="s">
        <v>795</v>
      </c>
      <c r="N60" s="15"/>
      <c r="O60" s="15"/>
      <c r="P60" s="15" t="str" cm="1">
        <f t="array" ref="P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0" s="15" t="str" cm="1">
        <f t="array" ref="Q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canciones/nuevas/maravilloso.html</v>
      </c>
      <c r="S60" s="1"/>
      <c r="T60" s="1"/>
      <c r="U60" s="1"/>
      <c r="V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href="canciones/nuevas/maravilloso.html"&gt;Maravilloso&lt;/a&gt;&lt;/li&gt;</v>
      </c>
      <c r="W60" s="15" t="str">
        <f>_xlfn.TEXTBEFORE(_xlfn.TEXTAFTER(CantoralDB[[#This Row],[index.html]],"&gt;"),"&gt;")&amp;"&gt;"</f>
        <v>&lt;a href="canciones/nuevas/maravilloso.html"&gt;</v>
      </c>
      <c r="Y60" s="1"/>
      <c r="Z60" s="1"/>
      <c r="AA60" s="1"/>
    </row>
    <row r="61" spans="1:27" x14ac:dyDescent="0.3">
      <c r="A61" s="1">
        <f>ROW(CantoralDB[[#This Row],[Título]])-1</f>
        <v>60</v>
      </c>
      <c r="B61" s="1" t="s">
        <v>2458</v>
      </c>
      <c r="C61" s="1"/>
      <c r="F61" s="1">
        <v>66</v>
      </c>
      <c r="J61" s="1"/>
      <c r="M61" s="15" t="s">
        <v>795</v>
      </c>
      <c r="N61" s="15"/>
      <c r="O61" s="15"/>
      <c r="P61" s="15" t="str" cm="1">
        <f t="array" ref="P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1" s="15" t="str" cm="1">
        <f t="array" ref="Q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canciones/nuevas/hoy_el_señor_me_llamo.html</v>
      </c>
      <c r="S61" s="1"/>
      <c r="T61" s="1"/>
      <c r="U61" s="1"/>
      <c r="V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href="canciones/nuevas/hoy_el_señor_me_llamo.html"&gt;Hoy el Señor me llamó&lt;/a&gt;&lt;/li&gt;</v>
      </c>
      <c r="W61" s="15" t="str">
        <f>_xlfn.TEXTBEFORE(_xlfn.TEXTAFTER(CantoralDB[[#This Row],[index.html]],"&gt;"),"&gt;")&amp;"&gt;"</f>
        <v>&lt;a href="canciones/nuevas/hoy_el_señor_me_llamo.html"&gt;</v>
      </c>
      <c r="Y61" s="1"/>
      <c r="Z61" s="1"/>
      <c r="AA61" s="1"/>
    </row>
    <row r="62" spans="1:27" x14ac:dyDescent="0.3">
      <c r="A62" s="1">
        <f>ROW(CantoralDB[[#This Row],[Título]])-1</f>
        <v>61</v>
      </c>
      <c r="B62" s="1" t="s">
        <v>2459</v>
      </c>
      <c r="C62" s="1"/>
      <c r="F62" s="1">
        <v>67</v>
      </c>
      <c r="J62" s="1"/>
      <c r="M62" s="15" t="s">
        <v>795</v>
      </c>
      <c r="N62" s="15"/>
      <c r="O62" s="15"/>
      <c r="P62" s="15" t="str" cm="1">
        <f t="array" ref="P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2" s="15" t="str" cm="1">
        <f t="array" ref="Q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canciones/nuevas/tuya_es_la_gloria.html</v>
      </c>
      <c r="S62" s="1"/>
      <c r="T62" s="1"/>
      <c r="U62" s="1"/>
      <c r="V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href="canciones/nuevas/tuya_es_la_gloria.html"&gt;Tuya es la gloria&lt;/a&gt;&lt;/li&gt;</v>
      </c>
      <c r="W62" s="15" t="str">
        <f>_xlfn.TEXTBEFORE(_xlfn.TEXTAFTER(CantoralDB[[#This Row],[index.html]],"&gt;"),"&gt;")&amp;"&gt;"</f>
        <v>&lt;a href="canciones/nuevas/tuya_es_la_gloria.html"&gt;</v>
      </c>
      <c r="Y62" s="1"/>
      <c r="Z62" s="1"/>
      <c r="AA62" s="1"/>
    </row>
    <row r="63" spans="1:27" x14ac:dyDescent="0.3">
      <c r="A63" s="1">
        <f>ROW(CantoralDB[[#This Row],[Título]])-1</f>
        <v>62</v>
      </c>
      <c r="B63" s="1" t="s">
        <v>2460</v>
      </c>
      <c r="C63" s="1"/>
      <c r="F63" s="1">
        <v>69</v>
      </c>
      <c r="J63" s="1"/>
      <c r="M63" s="15" t="s">
        <v>795</v>
      </c>
      <c r="N63" s="15"/>
      <c r="O63" s="15"/>
      <c r="P63" s="15" t="str" cm="1">
        <f t="array" ref="P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3" s="15" t="str" cm="1">
        <f t="array" ref="Q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canciones/nuevas/entregame.html</v>
      </c>
      <c r="S63" s="1"/>
      <c r="T63" s="1"/>
      <c r="U63" s="1"/>
      <c r="V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href="canciones/nuevas/entregame.html"&gt;Entrégame&lt;/a&gt;&lt;/li&gt;</v>
      </c>
      <c r="W63" s="15" t="str">
        <f>_xlfn.TEXTBEFORE(_xlfn.TEXTAFTER(CantoralDB[[#This Row],[index.html]],"&gt;"),"&gt;")&amp;"&gt;"</f>
        <v>&lt;a href="canciones/nuevas/entregame.html"&gt;</v>
      </c>
      <c r="Y63" s="1"/>
      <c r="Z63" s="1"/>
      <c r="AA63" s="1"/>
    </row>
    <row r="64" spans="1:27" x14ac:dyDescent="0.3">
      <c r="A64" s="1">
        <f>ROW(CantoralDB[[#This Row],[Título]])-1</f>
        <v>63</v>
      </c>
      <c r="B64" s="1" t="s">
        <v>2463</v>
      </c>
      <c r="C64" s="1"/>
      <c r="F64" s="1">
        <v>71</v>
      </c>
      <c r="J64" s="1"/>
      <c r="M64" s="15" t="s">
        <v>795</v>
      </c>
      <c r="N64" s="15"/>
      <c r="O64" s="15"/>
      <c r="P64" s="15" t="str" cm="1">
        <f t="array" ref="P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4" s="15" t="str" cm="1">
        <f t="array" ref="Q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canciones/nuevas/santo_dios_de_fuerza_y_poder.html</v>
      </c>
      <c r="S64" s="1"/>
      <c r="T64" s="1"/>
      <c r="U64" s="1"/>
      <c r="V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href="canciones/nuevas/santo_dios_de_fuerza_y_poder.html"&gt;Santo, Dios de fuerza y poder&lt;/a&gt;&lt;/li&gt;</v>
      </c>
      <c r="W64" s="15" t="str">
        <f>_xlfn.TEXTBEFORE(_xlfn.TEXTAFTER(CantoralDB[[#This Row],[index.html]],"&gt;"),"&gt;")&amp;"&gt;"</f>
        <v>&lt;a href="canciones/nuevas/santo_dios_de_fuerza_y_poder.html"&gt;</v>
      </c>
      <c r="Y64" s="1"/>
      <c r="Z64" s="1"/>
      <c r="AA64" s="1"/>
    </row>
    <row r="65" spans="1:27" x14ac:dyDescent="0.3">
      <c r="A65" s="1">
        <f>ROW(CantoralDB[[#This Row],[Título]])-1</f>
        <v>64</v>
      </c>
      <c r="B65" s="1" t="s">
        <v>2464</v>
      </c>
      <c r="C65" s="1"/>
      <c r="F65" s="1">
        <v>72</v>
      </c>
      <c r="J65" s="1"/>
      <c r="M65" s="15" t="s">
        <v>795</v>
      </c>
      <c r="N65" s="15"/>
      <c r="O65" s="15"/>
      <c r="P65" s="15" t="str" cm="1">
        <f t="array" ref="P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5" s="15" t="str" cm="1">
        <f t="array" ref="Q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canciones/nuevas/santo_dios_de_los_hombres.html</v>
      </c>
      <c r="S65" s="1"/>
      <c r="T65" s="1"/>
      <c r="U65" s="1"/>
      <c r="V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href="canciones/nuevas/santo_dios_de_los_hombres.html"&gt;Santo, Dios de los hombres&lt;/a&gt;&lt;/li&gt;</v>
      </c>
      <c r="W65" s="15" t="str">
        <f>_xlfn.TEXTBEFORE(_xlfn.TEXTAFTER(CantoralDB[[#This Row],[index.html]],"&gt;"),"&gt;")&amp;"&gt;"</f>
        <v>&lt;a href="canciones/nuevas/santo_dios_de_los_hombres.html"&gt;</v>
      </c>
      <c r="Y65" s="1"/>
      <c r="Z65" s="1"/>
      <c r="AA65" s="1"/>
    </row>
    <row r="66" spans="1:27" x14ac:dyDescent="0.3">
      <c r="A66" s="1">
        <f>ROW(CantoralDB[[#This Row],[Título]])-1</f>
        <v>65</v>
      </c>
      <c r="B66" s="1" t="s">
        <v>2469</v>
      </c>
      <c r="C66" s="1"/>
      <c r="F66" s="1">
        <v>78</v>
      </c>
      <c r="J66" s="1"/>
      <c r="M66" s="15" t="s">
        <v>795</v>
      </c>
      <c r="N66" s="15"/>
      <c r="O66" s="15"/>
      <c r="P66" s="15" t="str" cm="1">
        <f t="array" ref="P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6" s="15" t="str" cm="1">
        <f t="array" ref="Q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canciones/nuevas/oh_ven_ven_y_deleitate.html</v>
      </c>
      <c r="S66" s="1"/>
      <c r="T66" s="1"/>
      <c r="U66" s="1"/>
      <c r="V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href="canciones/nuevas/oh_ven_ven_y_deleitate.html"&gt;Oh, ven, ven y deléitate&lt;/a&gt;&lt;/li&gt;</v>
      </c>
      <c r="W66" s="15" t="str">
        <f>_xlfn.TEXTBEFORE(_xlfn.TEXTAFTER(CantoralDB[[#This Row],[index.html]],"&gt;"),"&gt;")&amp;"&gt;"</f>
        <v>&lt;a href="canciones/nuevas/oh_ven_ven_y_deleitate.html"&gt;</v>
      </c>
      <c r="Y66" s="1"/>
      <c r="Z66" s="1"/>
      <c r="AA66" s="1"/>
    </row>
    <row r="67" spans="1:27" x14ac:dyDescent="0.3">
      <c r="A67" s="1">
        <f>ROW(CantoralDB[[#This Row],[Título]])-1</f>
        <v>66</v>
      </c>
      <c r="B67" s="1" t="s">
        <v>2470</v>
      </c>
      <c r="C67" s="1"/>
      <c r="F67" s="1">
        <v>79</v>
      </c>
      <c r="J67" s="1"/>
      <c r="M67" s="15" t="s">
        <v>795</v>
      </c>
      <c r="N67" s="15"/>
      <c r="O67" s="15"/>
      <c r="P67" s="15" t="str" cm="1">
        <f t="array" ref="P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7" s="15" t="str" cm="1">
        <f t="array" ref="Q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canciones/nuevas/moviste_mi_corazon.html</v>
      </c>
      <c r="S67" s="1"/>
      <c r="T67" s="1"/>
      <c r="U67" s="1"/>
      <c r="V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href="canciones/nuevas/moviste_mi_corazon.html"&gt;Moviste mi corazón&lt;/a&gt;&lt;/li&gt;</v>
      </c>
      <c r="W67" s="15" t="str">
        <f>_xlfn.TEXTBEFORE(_xlfn.TEXTAFTER(CantoralDB[[#This Row],[index.html]],"&gt;"),"&gt;")&amp;"&gt;"</f>
        <v>&lt;a href="canciones/nuevas/moviste_mi_corazon.html"&gt;</v>
      </c>
      <c r="Y67" s="1"/>
      <c r="Z67" s="1"/>
      <c r="AA67" s="1"/>
    </row>
    <row r="68" spans="1:27" x14ac:dyDescent="0.3">
      <c r="A68" s="1">
        <f>ROW(CantoralDB[[#This Row],[Título]])-1</f>
        <v>67</v>
      </c>
      <c r="B68" s="1" t="s">
        <v>2472</v>
      </c>
      <c r="C68" s="1"/>
      <c r="F68" s="1">
        <v>81</v>
      </c>
      <c r="J68" s="1"/>
      <c r="M68" s="15" t="s">
        <v>795</v>
      </c>
      <c r="N68" s="15"/>
      <c r="O68" s="15"/>
      <c r="P68" s="15" t="str" cm="1">
        <f t="array" ref="P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8" s="15" t="str" cm="1">
        <f t="array" ref="Q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canciones/nuevas/pueblo_de_dios.html</v>
      </c>
      <c r="S68" s="1"/>
      <c r="T68" s="1"/>
      <c r="U68" s="1"/>
      <c r="V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href="canciones/nuevas/pueblo_de_dios.html"&gt;Pueblo de Dios&lt;/a&gt;&lt;/li&gt;</v>
      </c>
      <c r="W68" s="15" t="str">
        <f>_xlfn.TEXTBEFORE(_xlfn.TEXTAFTER(CantoralDB[[#This Row],[index.html]],"&gt;"),"&gt;")&amp;"&gt;"</f>
        <v>&lt;a href="canciones/nuevas/pueblo_de_dios.html"&gt;</v>
      </c>
      <c r="Y68" s="1"/>
      <c r="Z68" s="1"/>
      <c r="AA68" s="1"/>
    </row>
    <row r="69" spans="1:27" x14ac:dyDescent="0.3">
      <c r="A69" s="1">
        <f>ROW(CantoralDB[[#This Row],[Título]])-1</f>
        <v>68</v>
      </c>
      <c r="B69" s="1" t="s">
        <v>2475</v>
      </c>
      <c r="C69" s="1"/>
      <c r="F69" s="1">
        <v>83</v>
      </c>
      <c r="J69" s="1"/>
      <c r="M69" s="15" t="s">
        <v>795</v>
      </c>
      <c r="N69" s="15"/>
      <c r="O69" s="15"/>
      <c r="P69" s="15" t="str" cm="1">
        <f t="array" ref="P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9" s="15" t="str" cm="1">
        <f t="array" ref="Q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canciones/nuevas/oh_oh_oh_padre.html</v>
      </c>
      <c r="S69" s="1"/>
      <c r="T69" s="1"/>
      <c r="U69" s="1"/>
      <c r="V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href="canciones/nuevas/oh_oh_oh_padre.html"&gt;Oh, oh, oh, Padre&lt;/a&gt;&lt;/li&gt;</v>
      </c>
      <c r="W69" s="15" t="str">
        <f>_xlfn.TEXTBEFORE(_xlfn.TEXTAFTER(CantoralDB[[#This Row],[index.html]],"&gt;"),"&gt;")&amp;"&gt;"</f>
        <v>&lt;a href="canciones/nuevas/oh_oh_oh_padre.html"&gt;</v>
      </c>
      <c r="Y69" s="1"/>
      <c r="Z69" s="1"/>
      <c r="AA69" s="1"/>
    </row>
    <row r="70" spans="1:27" x14ac:dyDescent="0.3">
      <c r="A70" s="1">
        <f>ROW(CantoralDB[[#This Row],[Título]])-1</f>
        <v>69</v>
      </c>
      <c r="B70" s="1" t="s">
        <v>2476</v>
      </c>
      <c r="C70" s="1"/>
      <c r="F70" s="1">
        <v>84</v>
      </c>
      <c r="J70" s="1"/>
      <c r="M70" s="15" t="s">
        <v>795</v>
      </c>
      <c r="N70" s="15"/>
      <c r="O70" s="15"/>
      <c r="P70" s="15" t="str" cm="1">
        <f t="array" ref="P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70" s="15" t="str" cm="1">
        <f t="array" ref="Q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canciones/nuevas/te_ensalzamos.html</v>
      </c>
      <c r="S70" s="1"/>
      <c r="T70" s="1"/>
      <c r="U70" s="1"/>
      <c r="V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href="canciones/nuevas/te_ensalzamos.html"&gt;Te ensalzamos&lt;/a&gt;&lt;/li&gt;</v>
      </c>
      <c r="W70" s="15" t="str">
        <f>_xlfn.TEXTBEFORE(_xlfn.TEXTAFTER(CantoralDB[[#This Row],[index.html]],"&gt;"),"&gt;")&amp;"&gt;"</f>
        <v>&lt;a href="canciones/nuevas/te_ensalzamos.html"&gt;</v>
      </c>
      <c r="Y70" s="1"/>
      <c r="Z70" s="1"/>
      <c r="AA70" s="1"/>
    </row>
    <row r="71" spans="1:27" x14ac:dyDescent="0.3">
      <c r="A71" s="1">
        <f>ROW(CantoralDB[[#This Row],[Título]])-1</f>
        <v>70</v>
      </c>
      <c r="B71" s="1" t="s">
        <v>1758</v>
      </c>
      <c r="C71" s="1"/>
      <c r="F71" s="1">
        <v>86</v>
      </c>
      <c r="J71" s="1"/>
      <c r="M71" s="15" t="s">
        <v>795</v>
      </c>
      <c r="N71" s="15"/>
      <c r="O71" s="15"/>
      <c r="P71" s="15" t="str" cm="1">
        <f t="array" ref="P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71" s="15" t="str" cm="1">
        <f t="array" ref="Q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canciones/nuevas/ruah.html</v>
      </c>
      <c r="S71" s="1"/>
      <c r="T71" s="1"/>
      <c r="U71" s="1"/>
      <c r="V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href="canciones/nuevas/ruah.html"&gt;Ruah&lt;/a&gt;&lt;/li&gt;</v>
      </c>
      <c r="W71" s="15" t="str">
        <f>_xlfn.TEXTBEFORE(_xlfn.TEXTAFTER(CantoralDB[[#This Row],[index.html]],"&gt;"),"&gt;")&amp;"&gt;"</f>
        <v>&lt;a href="canciones/nuevas/ruah.html"&gt;</v>
      </c>
      <c r="Y71" s="1"/>
      <c r="Z71" s="1"/>
      <c r="AA71" s="1"/>
    </row>
    <row r="72" spans="1:27" x14ac:dyDescent="0.3">
      <c r="A72" s="1">
        <f>ROW(CantoralDB[[#This Row],[Título]])-1</f>
        <v>71</v>
      </c>
      <c r="B72" s="1" t="s">
        <v>2480</v>
      </c>
      <c r="C72" s="1"/>
      <c r="F72" s="1">
        <v>88</v>
      </c>
      <c r="J72" s="1"/>
      <c r="M72" s="15" t="s">
        <v>795</v>
      </c>
      <c r="N72" s="15"/>
      <c r="O72" s="15"/>
      <c r="P72" s="15" t="str" cm="1">
        <f t="array" ref="P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72" s="15" t="str" cm="1">
        <f t="array" ref="Q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canciones/nuevas/nombra_a_jesus.html</v>
      </c>
      <c r="S72" s="1"/>
      <c r="T72" s="1"/>
      <c r="U72" s="1"/>
      <c r="V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href="canciones/nuevas/nombra_a_jesus.html"&gt;Nombra a Jesús&lt;/a&gt;&lt;/li&gt;</v>
      </c>
      <c r="W72" s="15" t="str">
        <f>_xlfn.TEXTBEFORE(_xlfn.TEXTAFTER(CantoralDB[[#This Row],[index.html]],"&gt;"),"&gt;")&amp;"&gt;"</f>
        <v>&lt;a href="canciones/nuevas/nombra_a_jesus.html"&gt;</v>
      </c>
      <c r="Y72" s="1"/>
      <c r="Z72" s="1"/>
      <c r="AA72" s="1"/>
    </row>
    <row r="73" spans="1:27" x14ac:dyDescent="0.3">
      <c r="A73" s="1">
        <f>ROW(CantoralDB[[#This Row],[Título]])-1</f>
        <v>72</v>
      </c>
      <c r="B73" s="1" t="s">
        <v>2487</v>
      </c>
      <c r="C73" s="1"/>
      <c r="F73" s="1">
        <v>95</v>
      </c>
      <c r="J73" s="1"/>
      <c r="M73" s="15" t="s">
        <v>795</v>
      </c>
      <c r="N73" s="15"/>
      <c r="O73" s="15"/>
      <c r="P73" s="15" t="str" cm="1">
        <f t="array" ref="P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73" s="15" t="str" cm="1">
        <f t="array" ref="Q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canciones/nuevas/muchos_hermanos_aqui.html</v>
      </c>
      <c r="S73" s="1"/>
      <c r="T73" s="1"/>
      <c r="U73" s="1"/>
      <c r="V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href="canciones/nuevas/muchos_hermanos_aqui.html"&gt;Muchos hermanos aquí&lt;/a&gt;&lt;/li&gt;</v>
      </c>
      <c r="W73" s="15" t="str">
        <f>_xlfn.TEXTBEFORE(_xlfn.TEXTAFTER(CantoralDB[[#This Row],[index.html]],"&gt;"),"&gt;")&amp;"&gt;"</f>
        <v>&lt;a href="canciones/nuevas/muchos_hermanos_aqui.html"&gt;</v>
      </c>
      <c r="Y73" s="1"/>
      <c r="Z73" s="1"/>
      <c r="AA73" s="1"/>
    </row>
    <row r="74" spans="1:27" x14ac:dyDescent="0.3">
      <c r="A74" s="1">
        <f>ROW(CantoralDB[[#This Row],[Título]])-1</f>
        <v>73</v>
      </c>
      <c r="B74" s="1" t="s">
        <v>2491</v>
      </c>
      <c r="C74" s="1"/>
      <c r="F74" s="1">
        <v>99</v>
      </c>
      <c r="J74" s="1"/>
      <c r="M74" s="15" t="s">
        <v>795</v>
      </c>
      <c r="N74" s="15"/>
      <c r="O74" s="15"/>
      <c r="P74" s="15" t="str" cm="1">
        <f t="array" ref="P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74" s="15" t="str" cm="1">
        <f t="array" ref="Q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canciones/nuevas/el_señor_esta_en_medio_de_ti.html</v>
      </c>
      <c r="S74" s="1"/>
      <c r="T74" s="1"/>
      <c r="U74" s="1"/>
      <c r="V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href="canciones/nuevas/el_señor_esta_en_medio_de_ti.html"&gt;El Señor está en medio de ti&lt;/a&gt;&lt;/li&gt;</v>
      </c>
      <c r="W74" s="15" t="str">
        <f>_xlfn.TEXTBEFORE(_xlfn.TEXTAFTER(CantoralDB[[#This Row],[index.html]],"&gt;"),"&gt;")&amp;"&gt;"</f>
        <v>&lt;a href="canciones/nuevas/el_señor_esta_en_medio_de_ti.html"&gt;</v>
      </c>
      <c r="Y74" s="1"/>
      <c r="Z74" s="1"/>
      <c r="AA74" s="1"/>
    </row>
    <row r="75" spans="1:27" x14ac:dyDescent="0.3">
      <c r="A75" s="1">
        <f>ROW(CantoralDB[[#This Row],[Título]])-1</f>
        <v>74</v>
      </c>
      <c r="B75" s="1" t="s">
        <v>2497</v>
      </c>
      <c r="C75" s="1"/>
      <c r="F75" s="1">
        <v>106</v>
      </c>
      <c r="J75" s="1"/>
      <c r="M75" s="15" t="s">
        <v>795</v>
      </c>
      <c r="N75" s="15"/>
      <c r="O75" s="15"/>
      <c r="P75" s="15" t="str" cm="1">
        <f t="array" ref="P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75" s="15" t="str" cm="1">
        <f t="array" ref="Q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canciones/nuevas/va_bajando_ya.html</v>
      </c>
      <c r="S75" s="1"/>
      <c r="T75" s="1"/>
      <c r="U75" s="1"/>
      <c r="V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href="canciones/nuevas/va_bajando_ya.html"&gt;Va bajando ya&lt;/a&gt;&lt;/li&gt;</v>
      </c>
      <c r="W75" s="15" t="str">
        <f>_xlfn.TEXTBEFORE(_xlfn.TEXTAFTER(CantoralDB[[#This Row],[index.html]],"&gt;"),"&gt;")&amp;"&gt;"</f>
        <v>&lt;a href="canciones/nuevas/va_bajando_ya.html"&gt;</v>
      </c>
      <c r="Y75" s="1"/>
      <c r="Z75" s="1"/>
      <c r="AA75" s="1"/>
    </row>
    <row r="76" spans="1:27" x14ac:dyDescent="0.3">
      <c r="A76" s="1">
        <f>ROW(CantoralDB[[#This Row],[Título]])-1</f>
        <v>75</v>
      </c>
      <c r="B76" s="1" t="s">
        <v>2499</v>
      </c>
      <c r="C76" s="1"/>
      <c r="F76" s="1">
        <v>109</v>
      </c>
      <c r="J76" s="1"/>
      <c r="M76" s="15" t="s">
        <v>795</v>
      </c>
      <c r="N76" s="15"/>
      <c r="O76" s="15"/>
      <c r="P76" s="15" t="str" cm="1">
        <f t="array" ref="P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76" s="15" t="str" cm="1">
        <f t="array" ref="Q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canciones/nuevas/aclamad.html</v>
      </c>
      <c r="S76" s="1"/>
      <c r="T76" s="1"/>
      <c r="U76" s="1"/>
      <c r="V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href="canciones/nuevas/aclamad.html"&gt;Aclamad&lt;/a&gt;&lt;/li&gt;</v>
      </c>
      <c r="W76" s="15" t="str">
        <f>_xlfn.TEXTBEFORE(_xlfn.TEXTAFTER(CantoralDB[[#This Row],[index.html]],"&gt;"),"&gt;")&amp;"&gt;"</f>
        <v>&lt;a href="canciones/nuevas/aclamad.html"&gt;</v>
      </c>
      <c r="Y76" s="1"/>
      <c r="Z76" s="1"/>
      <c r="AA76" s="1"/>
    </row>
    <row r="77" spans="1:27" x14ac:dyDescent="0.3">
      <c r="A77" s="1">
        <f>ROW(CantoralDB[[#This Row],[Título]])-1</f>
        <v>76</v>
      </c>
      <c r="B77" s="1" t="s">
        <v>197</v>
      </c>
      <c r="C77" s="1"/>
      <c r="F77" s="1">
        <v>114</v>
      </c>
      <c r="J77" s="1"/>
      <c r="M77" s="15" t="s">
        <v>795</v>
      </c>
      <c r="N77" s="15"/>
      <c r="O77" s="15"/>
      <c r="P77" s="15" t="str" cm="1">
        <f t="array" ref="P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77" s="15" t="str" cm="1">
        <f t="array" ref="Q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canciones/nuevas/padrenuestro.html</v>
      </c>
      <c r="S77" s="1"/>
      <c r="T77" s="1"/>
      <c r="U77" s="1"/>
      <c r="V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href="canciones/nuevas/padrenuestro.html"&gt;Padrenuestro&lt;/a&gt;&lt;/li&gt;</v>
      </c>
      <c r="W77" s="15" t="str">
        <f>_xlfn.TEXTBEFORE(_xlfn.TEXTAFTER(CantoralDB[[#This Row],[index.html]],"&gt;"),"&gt;")&amp;"&gt;"</f>
        <v>&lt;a href="canciones/nuevas/padrenuestro.html"&gt;</v>
      </c>
      <c r="Y77" s="1"/>
      <c r="Z77" s="1"/>
      <c r="AA77" s="1"/>
    </row>
    <row r="78" spans="1:27" x14ac:dyDescent="0.3">
      <c r="A78" s="1">
        <f>ROW(CantoralDB[[#This Row],[Título]])-1</f>
        <v>77</v>
      </c>
      <c r="B78" s="1" t="s">
        <v>2505</v>
      </c>
      <c r="C78" s="1"/>
      <c r="F78" s="1">
        <v>116</v>
      </c>
      <c r="J78" s="1"/>
      <c r="M78" s="15" t="s">
        <v>795</v>
      </c>
      <c r="N78" s="15"/>
      <c r="O78" s="15"/>
      <c r="P78" s="15" t="str" cm="1">
        <f t="array" ref="P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78" s="15" t="str" cm="1">
        <f t="array" ref="Q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canciones/nuevas/bendito_sea_tu_nombre.html</v>
      </c>
      <c r="S78" s="1"/>
      <c r="T78" s="1"/>
      <c r="U78" s="1"/>
      <c r="V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href="canciones/nuevas/bendito_sea_tu_nombre.html"&gt;Bendito sea tu nombre&lt;/a&gt;&lt;/li&gt;</v>
      </c>
      <c r="W78" s="15" t="str">
        <f>_xlfn.TEXTBEFORE(_xlfn.TEXTAFTER(CantoralDB[[#This Row],[index.html]],"&gt;"),"&gt;")&amp;"&gt;"</f>
        <v>&lt;a href="canciones/nuevas/bendito_sea_tu_nombre.html"&gt;</v>
      </c>
      <c r="Y78" s="1"/>
      <c r="Z78" s="1"/>
      <c r="AA78" s="1"/>
    </row>
    <row r="79" spans="1:27" x14ac:dyDescent="0.3">
      <c r="A79" s="1">
        <f>ROW(CantoralDB[[#This Row],[Título]])-1</f>
        <v>78</v>
      </c>
      <c r="B79" s="1" t="s">
        <v>2530</v>
      </c>
      <c r="C79" s="1"/>
      <c r="F79" s="1">
        <v>132</v>
      </c>
      <c r="J79" s="1"/>
      <c r="M79" s="15" t="s">
        <v>795</v>
      </c>
      <c r="N79" s="15"/>
      <c r="O79" s="15"/>
      <c r="P79" s="15" t="str" cm="1">
        <f t="array" ref="P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79" s="15" t="str" cm="1">
        <f t="array" ref="Q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canciones/nuevas/mi_alma_alaba_al_señor.html</v>
      </c>
      <c r="S79" s="1"/>
      <c r="T79" s="1"/>
      <c r="U79" s="1"/>
      <c r="V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href="canciones/nuevas/mi_alma_alaba_al_señor.html"&gt;Mi alma alaba al Señor&lt;/a&gt;&lt;/li&gt;</v>
      </c>
      <c r="W79" s="15" t="str">
        <f>_xlfn.TEXTBEFORE(_xlfn.TEXTAFTER(CantoralDB[[#This Row],[index.html]],"&gt;"),"&gt;")&amp;"&gt;"</f>
        <v>&lt;a href="canciones/nuevas/mi_alma_alaba_al_señor.html"&gt;</v>
      </c>
      <c r="Y79" s="1"/>
      <c r="Z79" s="1"/>
      <c r="AA79" s="1"/>
    </row>
    <row r="80" spans="1:27" x14ac:dyDescent="0.3">
      <c r="A80" s="1">
        <f>ROW(CantoralDB[[#This Row],[Título]])-1</f>
        <v>79</v>
      </c>
      <c r="B80" s="1" t="s">
        <v>2415</v>
      </c>
      <c r="C80" s="1"/>
      <c r="F80" s="1">
        <v>138</v>
      </c>
      <c r="J80" s="1"/>
      <c r="M80" s="15" t="s">
        <v>795</v>
      </c>
      <c r="N80" s="15"/>
      <c r="O80" s="15"/>
      <c r="P80" s="15" t="str" cm="1">
        <f t="array" ref="P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0" s="15" t="str" cm="1">
        <f t="array" ref="Q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S80" s="1"/>
      <c r="T80" s="1"/>
      <c r="U80" s="1"/>
      <c r="V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href="canciones/nuevas/rey_de_reyes.html"&gt;Rey de reyes&lt;/a&gt;&lt;/li&gt;</v>
      </c>
      <c r="W80" s="15" t="str">
        <f>_xlfn.TEXTBEFORE(_xlfn.TEXTAFTER(CantoralDB[[#This Row],[index.html]],"&gt;"),"&gt;")&amp;"&gt;"</f>
        <v>&lt;a href="canciones/nuevas/rey_de_reyes.html"&gt;</v>
      </c>
      <c r="Y80" s="1"/>
      <c r="Z80" s="1"/>
      <c r="AA80" s="1"/>
    </row>
    <row r="81" spans="1:27" x14ac:dyDescent="0.3">
      <c r="A81" s="1">
        <f>ROW(CantoralDB[[#This Row],[Título]])-1</f>
        <v>80</v>
      </c>
      <c r="B81" s="1" t="s">
        <v>2539</v>
      </c>
      <c r="C81" s="1"/>
      <c r="F81" s="1">
        <v>143</v>
      </c>
      <c r="J81" s="1"/>
      <c r="M81" s="15" t="s">
        <v>795</v>
      </c>
      <c r="N81" s="15"/>
      <c r="O81" s="15"/>
      <c r="P81" s="15" t="str" cm="1">
        <f t="array" ref="P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1" s="15" t="str" cm="1">
        <f t="array" ref="Q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canciones/nuevas/el_diario_de_maria.html</v>
      </c>
      <c r="S81" s="1"/>
      <c r="T81" s="1"/>
      <c r="U81" s="1"/>
      <c r="V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href="canciones/nuevas/el_diario_de_maria.html"&gt;El diario de María&lt;/a&gt;&lt;/li&gt;</v>
      </c>
      <c r="W81" s="15" t="str">
        <f>_xlfn.TEXTBEFORE(_xlfn.TEXTAFTER(CantoralDB[[#This Row],[index.html]],"&gt;"),"&gt;")&amp;"&gt;"</f>
        <v>&lt;a href="canciones/nuevas/el_diario_de_maria.html"&gt;</v>
      </c>
      <c r="Y81" s="1"/>
      <c r="Z81" s="1"/>
      <c r="AA81" s="1"/>
    </row>
    <row r="82" spans="1:27" x14ac:dyDescent="0.3">
      <c r="A82" s="1">
        <f>ROW(CantoralDB[[#This Row],[Título]])-1</f>
        <v>81</v>
      </c>
      <c r="B82" s="1" t="s">
        <v>2543</v>
      </c>
      <c r="C82" s="1"/>
      <c r="F82" s="1">
        <v>147</v>
      </c>
      <c r="J82" s="1"/>
      <c r="M82" s="15" t="s">
        <v>795</v>
      </c>
      <c r="N82" s="15"/>
      <c r="O82" s="15"/>
      <c r="P82" s="15" t="str" cm="1">
        <f t="array" ref="P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2" s="15" t="str" cm="1">
        <f t="array" ref="Q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canciones/nuevas/esta_alegria_no_va_a_pasar.html</v>
      </c>
      <c r="S82" s="1"/>
      <c r="T82" s="1"/>
      <c r="U82" s="1"/>
      <c r="V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href="canciones/nuevas/esta_alegria_no_va_a_pasar.html"&gt;Esta alegría no va a pasar&lt;/a&gt;&lt;/li&gt;</v>
      </c>
      <c r="W82" s="15" t="str">
        <f>_xlfn.TEXTBEFORE(_xlfn.TEXTAFTER(CantoralDB[[#This Row],[index.html]],"&gt;"),"&gt;")&amp;"&gt;"</f>
        <v>&lt;a href="canciones/nuevas/esta_alegria_no_va_a_pasar.html"&gt;</v>
      </c>
      <c r="Y82" s="1"/>
      <c r="Z82" s="1"/>
      <c r="AA82" s="1"/>
    </row>
    <row r="83" spans="1:27" x14ac:dyDescent="0.3">
      <c r="A83" s="1">
        <f>ROW(CantoralDB[[#This Row],[Título]])-1</f>
        <v>82</v>
      </c>
      <c r="B83" s="1" t="s">
        <v>2546</v>
      </c>
      <c r="C83" s="1"/>
      <c r="F83" s="1">
        <v>150</v>
      </c>
      <c r="J83" s="1"/>
      <c r="M83" s="15" t="s">
        <v>795</v>
      </c>
      <c r="N83" s="15"/>
      <c r="O83" s="15"/>
      <c r="P83" s="15" t="str" cm="1">
        <f t="array" ref="P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3" s="15" t="str" cm="1">
        <f t="array" ref="Q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canciones/nuevas/abre_mis_labios.html</v>
      </c>
      <c r="S83" s="1"/>
      <c r="T83" s="1"/>
      <c r="U83" s="1"/>
      <c r="V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href="canciones/nuevas/abre_mis_labios.html"&gt;Abre mis labios&lt;/a&gt;&lt;/li&gt;</v>
      </c>
      <c r="W83" s="15" t="str">
        <f>_xlfn.TEXTBEFORE(_xlfn.TEXTAFTER(CantoralDB[[#This Row],[index.html]],"&gt;"),"&gt;")&amp;"&gt;"</f>
        <v>&lt;a href="canciones/nuevas/abre_mis_labios.html"&gt;</v>
      </c>
      <c r="Y83" s="1"/>
      <c r="Z83" s="1"/>
      <c r="AA83" s="1"/>
    </row>
    <row r="84" spans="1:27" x14ac:dyDescent="0.3">
      <c r="A84" s="1">
        <f>ROW(CantoralDB[[#This Row],[Título]])-1</f>
        <v>83</v>
      </c>
      <c r="B84" s="1" t="s">
        <v>2551</v>
      </c>
      <c r="C84" s="1"/>
      <c r="F84" s="1">
        <v>155</v>
      </c>
      <c r="J84" s="1"/>
      <c r="M84" s="15" t="s">
        <v>795</v>
      </c>
      <c r="N84" s="15"/>
      <c r="O84" s="15"/>
      <c r="P84" s="15" t="str" cm="1">
        <f t="array" ref="P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4" s="15" t="str" cm="1">
        <f t="array" ref="Q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canciones/nuevas/amor_tan_grande.html</v>
      </c>
      <c r="S84" s="1"/>
      <c r="T84" s="1"/>
      <c r="U84" s="1"/>
      <c r="V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href="canciones/nuevas/amor_tan_grande.html"&gt;Amor tan grande&lt;/a&gt;&lt;/li&gt;</v>
      </c>
      <c r="W84" s="15" t="str">
        <f>_xlfn.TEXTBEFORE(_xlfn.TEXTAFTER(CantoralDB[[#This Row],[index.html]],"&gt;"),"&gt;")&amp;"&gt;"</f>
        <v>&lt;a href="canciones/nuevas/amor_tan_grande.html"&gt;</v>
      </c>
      <c r="Y84" s="1"/>
      <c r="Z84" s="1"/>
      <c r="AA84" s="1"/>
    </row>
    <row r="85" spans="1:27" x14ac:dyDescent="0.3">
      <c r="A85" s="1">
        <f>ROW(CantoralDB[[#This Row],[Título]])-1</f>
        <v>84</v>
      </c>
      <c r="B85" s="1" t="s">
        <v>2552</v>
      </c>
      <c r="C85" s="1"/>
      <c r="F85" s="1">
        <v>156</v>
      </c>
      <c r="J85" s="1"/>
      <c r="M85" s="15" t="s">
        <v>795</v>
      </c>
      <c r="N85" s="15"/>
      <c r="O85" s="15"/>
      <c r="P85" s="15" t="str" cm="1">
        <f t="array" ref="P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5" s="15" t="str" cm="1">
        <f t="array" ref="Q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canciones/nuevas/si_el_espiritu_de_dios.html</v>
      </c>
      <c r="S85" s="1"/>
      <c r="T85" s="1"/>
      <c r="U85" s="1"/>
      <c r="V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href="canciones/nuevas/si_el_espiritu_de_dios.html"&gt;Si el Espíritu de Dios&lt;/a&gt;&lt;/li&gt;</v>
      </c>
      <c r="W85" s="15" t="str">
        <f>_xlfn.TEXTBEFORE(_xlfn.TEXTAFTER(CantoralDB[[#This Row],[index.html]],"&gt;"),"&gt;")&amp;"&gt;"</f>
        <v>&lt;a href="canciones/nuevas/si_el_espiritu_de_dios.html"&gt;</v>
      </c>
      <c r="Y85" s="1"/>
      <c r="Z85" s="1"/>
      <c r="AA85" s="1"/>
    </row>
    <row r="86" spans="1:27" x14ac:dyDescent="0.3">
      <c r="A86" s="1">
        <f>ROW(CantoralDB[[#This Row],[Título]])-1</f>
        <v>85</v>
      </c>
      <c r="B86" s="1" t="s">
        <v>560</v>
      </c>
      <c r="C86" s="1"/>
      <c r="F86" s="1">
        <v>161</v>
      </c>
      <c r="J86" s="1"/>
      <c r="M86" s="15" t="s">
        <v>795</v>
      </c>
      <c r="N86" s="15"/>
      <c r="O86" s="15"/>
      <c r="P86" s="15" t="str" cm="1">
        <f t="array" ref="P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6" s="15" t="str" cm="1">
        <f t="array" ref="Q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canciones/nuevas/santo_es_el_señor.html</v>
      </c>
      <c r="S86" s="1"/>
      <c r="T86" s="1"/>
      <c r="U86" s="1"/>
      <c r="V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href="canciones/nuevas/santo_es_el_señor.html"&gt;Santo es el Señor&lt;/a&gt;&lt;/li&gt;</v>
      </c>
      <c r="W86" s="15" t="str">
        <f>_xlfn.TEXTBEFORE(_xlfn.TEXTAFTER(CantoralDB[[#This Row],[index.html]],"&gt;"),"&gt;")&amp;"&gt;"</f>
        <v>&lt;a href="canciones/nuevas/santo_es_el_señor.html"&gt;</v>
      </c>
      <c r="Y86" s="1"/>
      <c r="Z86" s="1"/>
      <c r="AA86" s="1"/>
    </row>
    <row r="87" spans="1:27" x14ac:dyDescent="0.3">
      <c r="A87" s="1">
        <f>ROW(CantoralDB[[#This Row],[Título]])-1</f>
        <v>86</v>
      </c>
      <c r="B87" s="1" t="s">
        <v>2559</v>
      </c>
      <c r="C87" s="1"/>
      <c r="F87" s="1">
        <v>162</v>
      </c>
      <c r="J87" s="1"/>
      <c r="M87" s="15" t="s">
        <v>795</v>
      </c>
      <c r="N87" s="15"/>
      <c r="O87" s="15"/>
      <c r="P87" s="15" t="str" cm="1">
        <f t="array" ref="P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7" s="15" t="str" cm="1">
        <f t="array" ref="Q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S87" s="1"/>
      <c r="T87" s="1"/>
      <c r="U87" s="1"/>
      <c r="V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href="canciones/nuevas/vamos_con_gozo.html"&gt;Vamos con gozo&lt;/a&gt;&lt;/li&gt;</v>
      </c>
      <c r="W87" s="15" t="str">
        <f>_xlfn.TEXTBEFORE(_xlfn.TEXTAFTER(CantoralDB[[#This Row],[index.html]],"&gt;"),"&gt;")&amp;"&gt;"</f>
        <v>&lt;a href="canciones/nuevas/vamos_con_gozo.html"&gt;</v>
      </c>
      <c r="Y87" s="1"/>
      <c r="Z87" s="1"/>
      <c r="AA87" s="1"/>
    </row>
    <row r="88" spans="1:27" x14ac:dyDescent="0.3">
      <c r="A88" s="1">
        <f>ROW(CantoralDB[[#This Row],[Título]])-1</f>
        <v>87</v>
      </c>
      <c r="B88" s="1" t="s">
        <v>2564</v>
      </c>
      <c r="C88" s="1"/>
      <c r="F88" s="1">
        <v>166</v>
      </c>
      <c r="J88" s="1"/>
      <c r="M88" s="15" t="s">
        <v>795</v>
      </c>
      <c r="N88" s="15"/>
      <c r="O88" s="15"/>
      <c r="P88" s="15" t="str" cm="1">
        <f t="array" ref="P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8" s="15" t="str" cm="1">
        <f t="array" ref="Q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canciones/nuevas/cuando_con_el_corazon.html</v>
      </c>
      <c r="S88" s="1"/>
      <c r="T88" s="1"/>
      <c r="U88" s="1"/>
      <c r="V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href="canciones/nuevas/cuando_con_el_corazon.html"&gt;Cuando con el corazón&lt;/a&gt;&lt;/li&gt;</v>
      </c>
      <c r="W88" s="15" t="str">
        <f>_xlfn.TEXTBEFORE(_xlfn.TEXTAFTER(CantoralDB[[#This Row],[index.html]],"&gt;"),"&gt;")&amp;"&gt;"</f>
        <v>&lt;a href="canciones/nuevas/cuando_con_el_corazon.html"&gt;</v>
      </c>
      <c r="Y88" s="1"/>
      <c r="Z88" s="1"/>
      <c r="AA88" s="1"/>
    </row>
    <row r="89" spans="1:27" x14ac:dyDescent="0.3">
      <c r="A89" s="1">
        <f>ROW(CantoralDB[[#This Row],[Título]])-1</f>
        <v>88</v>
      </c>
      <c r="B89" s="1" t="s">
        <v>2565</v>
      </c>
      <c r="C89" s="1"/>
      <c r="F89" s="1">
        <v>167</v>
      </c>
      <c r="J89" s="1"/>
      <c r="M89" s="15" t="s">
        <v>795</v>
      </c>
      <c r="N89" s="15"/>
      <c r="O89" s="15"/>
      <c r="P89" s="15" t="str" cm="1">
        <f t="array" ref="P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9" s="15" t="str" cm="1">
        <f t="array" ref="Q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canciones/nuevas/estoy_cantando_alegre.html</v>
      </c>
      <c r="S89" s="1"/>
      <c r="T89" s="1"/>
      <c r="U89" s="1"/>
      <c r="V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href="canciones/nuevas/estoy_cantando_alegre.html"&gt;Estoy cantando alegre&lt;/a&gt;&lt;/li&gt;</v>
      </c>
      <c r="W89" s="15" t="str">
        <f>_xlfn.TEXTBEFORE(_xlfn.TEXTAFTER(CantoralDB[[#This Row],[index.html]],"&gt;"),"&gt;")&amp;"&gt;"</f>
        <v>&lt;a href="canciones/nuevas/estoy_cantando_alegre.html"&gt;</v>
      </c>
      <c r="Y89" s="1"/>
      <c r="Z89" s="1"/>
      <c r="AA89" s="1"/>
    </row>
    <row r="90" spans="1:27" x14ac:dyDescent="0.3">
      <c r="A90" s="1">
        <f>ROW(CantoralDB[[#This Row],[Título]])-1</f>
        <v>89</v>
      </c>
      <c r="B90" s="1" t="s">
        <v>2573</v>
      </c>
      <c r="C90" s="1"/>
      <c r="F90" s="1">
        <v>174</v>
      </c>
      <c r="J90" s="1"/>
      <c r="M90" s="15" t="s">
        <v>795</v>
      </c>
      <c r="N90" s="15"/>
      <c r="O90" s="15"/>
      <c r="P90" s="15" t="str" cm="1">
        <f t="array" ref="P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90" s="15" t="str" cm="1">
        <f t="array" ref="Q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canciones/nuevas/si_es_verdad_que_dios_te_quiere.html</v>
      </c>
      <c r="S90" s="1"/>
      <c r="T90" s="1"/>
      <c r="U90" s="1"/>
      <c r="V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href="canciones/nuevas/si_es_verdad_que_dios_te_quiere.html"&gt;Si es verdad que Dios te quiere&lt;/a&gt;&lt;/li&gt;</v>
      </c>
      <c r="W90" s="15" t="str">
        <f>_xlfn.TEXTBEFORE(_xlfn.TEXTAFTER(CantoralDB[[#This Row],[index.html]],"&gt;"),"&gt;")&amp;"&gt;"</f>
        <v>&lt;a href="canciones/nuevas/si_es_verdad_que_dios_te_quiere.html"&gt;</v>
      </c>
      <c r="Y90" s="1"/>
      <c r="Z90" s="1"/>
      <c r="AA90" s="1"/>
    </row>
    <row r="91" spans="1:27" x14ac:dyDescent="0.3">
      <c r="A91" s="1">
        <f>ROW(CantoralDB[[#This Row],[Título]])-1</f>
        <v>90</v>
      </c>
      <c r="B91" s="1" t="s">
        <v>2575</v>
      </c>
      <c r="C91" s="1"/>
      <c r="F91" s="1">
        <v>177</v>
      </c>
      <c r="J91" s="1"/>
      <c r="M91" s="15" t="s">
        <v>795</v>
      </c>
      <c r="N91" s="15"/>
      <c r="O91" s="15"/>
      <c r="P91" s="15" t="str" cm="1">
        <f t="array" ref="P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91" s="15" t="str" cm="1">
        <f t="array" ref="Q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canciones/nuevas/abba.html</v>
      </c>
      <c r="S91" s="1"/>
      <c r="T91" s="1"/>
      <c r="U91" s="1"/>
      <c r="V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href="canciones/nuevas/abba.html"&gt;Abbá&lt;/a&gt;&lt;/li&gt;</v>
      </c>
      <c r="W91" s="15" t="str">
        <f>_xlfn.TEXTBEFORE(_xlfn.TEXTAFTER(CantoralDB[[#This Row],[index.html]],"&gt;"),"&gt;")&amp;"&gt;"</f>
        <v>&lt;a href="canciones/nuevas/abba.html"&gt;</v>
      </c>
      <c r="Y91" s="1"/>
      <c r="Z91" s="1"/>
      <c r="AA91" s="1"/>
    </row>
    <row r="92" spans="1:27" x14ac:dyDescent="0.3">
      <c r="A92" s="1">
        <f>ROW(CantoralDB[[#This Row],[Título]])-1</f>
        <v>91</v>
      </c>
      <c r="B92" s="1" t="s">
        <v>2576</v>
      </c>
      <c r="C92" s="1"/>
      <c r="F92" s="1">
        <v>178</v>
      </c>
      <c r="J92" s="1"/>
      <c r="M92" s="15" t="s">
        <v>795</v>
      </c>
      <c r="N92" s="15"/>
      <c r="O92" s="15"/>
      <c r="P92" s="15" t="str" cm="1">
        <f t="array" ref="P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92" s="15" t="str" cm="1">
        <f t="array" ref="Q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canciones/nuevas/jesucristo_es_tan_grande.html</v>
      </c>
      <c r="S92" s="1"/>
      <c r="T92" s="1"/>
      <c r="U92" s="1"/>
      <c r="V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href="canciones/nuevas/jesucristo_es_tan_grande.html"&gt;Jesucristo es tan grande&lt;/a&gt;&lt;/li&gt;</v>
      </c>
      <c r="W92" s="15" t="str">
        <f>_xlfn.TEXTBEFORE(_xlfn.TEXTAFTER(CantoralDB[[#This Row],[index.html]],"&gt;"),"&gt;")&amp;"&gt;"</f>
        <v>&lt;a href="canciones/nuevas/jesucristo_es_tan_grande.html"&gt;</v>
      </c>
      <c r="Y92" s="1"/>
      <c r="Z92" s="1"/>
      <c r="AA92" s="1"/>
    </row>
    <row r="93" spans="1:27" x14ac:dyDescent="0.3">
      <c r="A93" s="1">
        <f>ROW(CantoralDB[[#This Row],[Título]])-1</f>
        <v>92</v>
      </c>
      <c r="B93" s="1" t="s">
        <v>2577</v>
      </c>
      <c r="C93" s="1"/>
      <c r="F93" s="1">
        <v>179</v>
      </c>
      <c r="J93" s="1"/>
      <c r="M93" s="15" t="s">
        <v>795</v>
      </c>
      <c r="N93" s="15"/>
      <c r="O93" s="15"/>
      <c r="P93" s="15" t="str" cm="1">
        <f t="array" ref="P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93" s="15" t="str" cm="1">
        <f t="array" ref="Q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canciones/nuevas/alabare.html</v>
      </c>
      <c r="S93" s="1"/>
      <c r="T93" s="1"/>
      <c r="U93" s="1"/>
      <c r="V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href="canciones/nuevas/alabare.html"&gt;Alabaré&lt;/a&gt;&lt;/li&gt;</v>
      </c>
      <c r="W93" s="15" t="str">
        <f>_xlfn.TEXTBEFORE(_xlfn.TEXTAFTER(CantoralDB[[#This Row],[index.html]],"&gt;"),"&gt;")&amp;"&gt;"</f>
        <v>&lt;a href="canciones/nuevas/alabare.html"&gt;</v>
      </c>
      <c r="Y93" s="1"/>
      <c r="Z93" s="1"/>
      <c r="AA93" s="1"/>
    </row>
    <row r="94" spans="1:27" x14ac:dyDescent="0.3">
      <c r="A94" s="1">
        <f>ROW(CantoralDB[[#This Row],[Título]])-1</f>
        <v>93</v>
      </c>
      <c r="B94" s="1" t="s">
        <v>2581</v>
      </c>
      <c r="C94" s="1"/>
      <c r="F94" s="1">
        <v>182</v>
      </c>
      <c r="J94" s="1"/>
      <c r="M94" s="15" t="s">
        <v>795</v>
      </c>
      <c r="N94" s="15"/>
      <c r="O94" s="15"/>
      <c r="P94" s="15" t="str" cm="1">
        <f t="array" ref="P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94" s="15" t="str" cm="1">
        <f t="array" ref="Q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canciones/nuevas/hay_momentos.html</v>
      </c>
      <c r="S94" s="1"/>
      <c r="T94" s="1"/>
      <c r="U94" s="1"/>
      <c r="V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href="canciones/nuevas/hay_momentos.html"&gt;Hay momentos&lt;/a&gt;&lt;/li&gt;</v>
      </c>
      <c r="W94" s="15" t="str">
        <f>_xlfn.TEXTBEFORE(_xlfn.TEXTAFTER(CantoralDB[[#This Row],[index.html]],"&gt;"),"&gt;")&amp;"&gt;"</f>
        <v>&lt;a href="canciones/nuevas/hay_momentos.html"&gt;</v>
      </c>
      <c r="Y94" s="1"/>
      <c r="Z94" s="1"/>
      <c r="AA94" s="1"/>
    </row>
    <row r="95" spans="1:27" x14ac:dyDescent="0.3">
      <c r="A95" s="1">
        <f>ROW(CantoralDB[[#This Row],[Título]])-1</f>
        <v>94</v>
      </c>
      <c r="B95" s="1" t="s">
        <v>2582</v>
      </c>
      <c r="C95" s="1"/>
      <c r="F95" s="1">
        <v>183</v>
      </c>
      <c r="J95" s="1"/>
      <c r="M95" s="15" t="s">
        <v>795</v>
      </c>
      <c r="N95" s="15"/>
      <c r="O95" s="15"/>
      <c r="P95" s="15" t="str" cm="1">
        <f t="array" ref="P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95" s="15" t="str" cm="1">
        <f t="array" ref="Q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canciones/nuevas/el_amor_de_dios_ha_sido_derramado.html</v>
      </c>
      <c r="S95" s="1"/>
      <c r="T95" s="1"/>
      <c r="U95" s="1"/>
      <c r="V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href="canciones/nuevas/el_amor_de_dios_ha_sido_derramado.html"&gt;El amor de Dios ha sido derramado&lt;/a&gt;&lt;/li&gt;</v>
      </c>
      <c r="W95" s="15" t="str">
        <f>_xlfn.TEXTBEFORE(_xlfn.TEXTAFTER(CantoralDB[[#This Row],[index.html]],"&gt;"),"&gt;")&amp;"&gt;"</f>
        <v>&lt;a href="canciones/nuevas/el_amor_de_dios_ha_sido_derramado.html"&gt;</v>
      </c>
      <c r="Y95" s="1"/>
      <c r="Z95" s="1"/>
      <c r="AA95" s="1"/>
    </row>
    <row r="96" spans="1:27" x14ac:dyDescent="0.3">
      <c r="A96" s="1">
        <f>ROW(CantoralDB[[#This Row],[Título]])-1</f>
        <v>95</v>
      </c>
      <c r="B96" s="1" t="s">
        <v>2587</v>
      </c>
      <c r="C96" s="1"/>
      <c r="F96" s="1">
        <v>188</v>
      </c>
      <c r="J96" s="1"/>
      <c r="M96" s="15" t="s">
        <v>795</v>
      </c>
      <c r="N96" s="15"/>
      <c r="O96" s="15"/>
      <c r="P96" s="15" t="str" cm="1">
        <f t="array" ref="P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96" s="15" t="str" cm="1">
        <f t="array" ref="Q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canciones/nuevas/estoy_alegre_porque_soy_de_cristo.html</v>
      </c>
      <c r="S96" s="1"/>
      <c r="T96" s="1"/>
      <c r="U96" s="1"/>
      <c r="V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href="canciones/nuevas/estoy_alegre_porque_soy_de_cristo.html"&gt;Estoy alegre porque soy de Cristo&lt;/a&gt;&lt;/li&gt;</v>
      </c>
      <c r="W96" s="15" t="str">
        <f>_xlfn.TEXTBEFORE(_xlfn.TEXTAFTER(CantoralDB[[#This Row],[index.html]],"&gt;"),"&gt;")&amp;"&gt;"</f>
        <v>&lt;a href="canciones/nuevas/estoy_alegre_porque_soy_de_cristo.html"&gt;</v>
      </c>
      <c r="Y96" s="1"/>
      <c r="Z96" s="1"/>
      <c r="AA96" s="1"/>
    </row>
    <row r="97" spans="1:27" x14ac:dyDescent="0.3">
      <c r="A97" s="1">
        <f>ROW(CantoralDB[[#This Row],[Título]])-1</f>
        <v>96</v>
      </c>
      <c r="B97" s="1" t="s">
        <v>2590</v>
      </c>
      <c r="C97" s="1"/>
      <c r="F97" s="1">
        <v>190</v>
      </c>
      <c r="J97" s="1"/>
      <c r="M97" s="15" t="s">
        <v>795</v>
      </c>
      <c r="N97" s="15"/>
      <c r="O97" s="15"/>
      <c r="P97" s="15" t="str" cm="1">
        <f t="array" ref="P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97" s="15" t="str" cm="1">
        <f t="array" ref="Q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canciones/nuevas/al_estar_aqui.html</v>
      </c>
      <c r="S97" s="1"/>
      <c r="T97" s="1"/>
      <c r="U97" s="1"/>
      <c r="V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href="canciones/nuevas/al_estar_aqui.html"&gt;Al estar aquí&lt;/a&gt;&lt;/li&gt;</v>
      </c>
      <c r="W97" s="15" t="str">
        <f>_xlfn.TEXTBEFORE(_xlfn.TEXTAFTER(CantoralDB[[#This Row],[index.html]],"&gt;"),"&gt;")&amp;"&gt;"</f>
        <v>&lt;a href="canciones/nuevas/al_estar_aqui.html"&gt;</v>
      </c>
      <c r="Y97" s="1"/>
      <c r="Z97" s="1"/>
      <c r="AA97" s="1"/>
    </row>
    <row r="98" spans="1:27" x14ac:dyDescent="0.3">
      <c r="A98" s="1">
        <f>ROW(CantoralDB[[#This Row],[Título]])-1</f>
        <v>97</v>
      </c>
      <c r="B98" s="1" t="s">
        <v>2592</v>
      </c>
      <c r="C98" s="1"/>
      <c r="F98" s="1">
        <v>194</v>
      </c>
      <c r="J98" s="1"/>
      <c r="M98" s="15" t="s">
        <v>795</v>
      </c>
      <c r="N98" s="15"/>
      <c r="O98" s="15"/>
      <c r="P98" s="15" t="str" cm="1">
        <f t="array" ref="P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98" s="15" t="str" cm="1">
        <f t="array" ref="Q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canciones/nuevas/el_espiritu_de_dios_esta_en_este_lugar.html</v>
      </c>
      <c r="S98" s="1"/>
      <c r="T98" s="1"/>
      <c r="U98" s="1"/>
      <c r="V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href="canciones/nuevas/el_espiritu_de_dios_esta_en_este_lugar.html"&gt;El Espíritu de Dios está en este lugar&lt;/a&gt;&lt;/li&gt;</v>
      </c>
      <c r="W98" s="15" t="str">
        <f>_xlfn.TEXTBEFORE(_xlfn.TEXTAFTER(CantoralDB[[#This Row],[index.html]],"&gt;"),"&gt;")&amp;"&gt;"</f>
        <v>&lt;a href="canciones/nuevas/el_espiritu_de_dios_esta_en_este_lugar.html"&gt;</v>
      </c>
      <c r="Y98" s="1"/>
      <c r="Z98" s="1"/>
      <c r="AA98" s="1"/>
    </row>
    <row r="99" spans="1:27" x14ac:dyDescent="0.3">
      <c r="A99" s="1">
        <f>ROW(CantoralDB[[#This Row],[Título]])-1</f>
        <v>98</v>
      </c>
      <c r="B99" s="1" t="s">
        <v>2594</v>
      </c>
      <c r="C99" s="1"/>
      <c r="F99" s="1">
        <v>196</v>
      </c>
      <c r="J99" s="1"/>
      <c r="M99" s="15" t="s">
        <v>795</v>
      </c>
      <c r="N99" s="15"/>
      <c r="O99" s="15"/>
      <c r="P99" s="15" t="str" cm="1">
        <f t="array" ref="P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99" s="15" t="str" cm="1">
        <f t="array" ref="Q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canciones/nuevas/a_que_tu_no_sabes.html</v>
      </c>
      <c r="S99" s="1"/>
      <c r="T99" s="1"/>
      <c r="U99" s="1"/>
      <c r="V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href="canciones/nuevas/a_que_tu_no_sabes.html"&gt;A que tú no sabes&lt;/a&gt;&lt;/li&gt;</v>
      </c>
      <c r="W99" s="15" t="str">
        <f>_xlfn.TEXTBEFORE(_xlfn.TEXTAFTER(CantoralDB[[#This Row],[index.html]],"&gt;"),"&gt;")&amp;"&gt;"</f>
        <v>&lt;a href="canciones/nuevas/a_que_tu_no_sabes.html"&gt;</v>
      </c>
      <c r="Y99" s="1"/>
      <c r="Z99" s="1"/>
      <c r="AA99" s="1"/>
    </row>
    <row r="100" spans="1:27" x14ac:dyDescent="0.3">
      <c r="A100" s="1">
        <f>ROW(CantoralDB[[#This Row],[Título]])-1</f>
        <v>99</v>
      </c>
      <c r="B100" s="1" t="s">
        <v>2595</v>
      </c>
      <c r="C100" s="1"/>
      <c r="F100" s="1">
        <v>197</v>
      </c>
      <c r="J100" s="1"/>
      <c r="M100" s="15" t="s">
        <v>795</v>
      </c>
      <c r="N100" s="15"/>
      <c r="O100" s="15"/>
      <c r="P100" s="15" t="str" cm="1">
        <f t="array" ref="P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0" s="15" t="str" cm="1">
        <f t="array" ref="Q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canciones/nuevas/los_que_esperan.html</v>
      </c>
      <c r="S100" s="1"/>
      <c r="T100" s="1"/>
      <c r="U100" s="1"/>
      <c r="V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href="canciones/nuevas/los_que_esperan.html"&gt;Los que esperan&lt;/a&gt;&lt;/li&gt;</v>
      </c>
      <c r="W100" s="15" t="str">
        <f>_xlfn.TEXTBEFORE(_xlfn.TEXTAFTER(CantoralDB[[#This Row],[index.html]],"&gt;"),"&gt;")&amp;"&gt;"</f>
        <v>&lt;a href="canciones/nuevas/los_que_esperan.html"&gt;</v>
      </c>
      <c r="Y100" s="1"/>
      <c r="Z100" s="1"/>
      <c r="AA100" s="1"/>
    </row>
    <row r="101" spans="1:27" x14ac:dyDescent="0.3">
      <c r="A101" s="1">
        <f>ROW(CantoralDB[[#This Row],[Título]])-1</f>
        <v>100</v>
      </c>
      <c r="B101" s="1" t="s">
        <v>2601</v>
      </c>
      <c r="C101" s="1"/>
      <c r="F101" s="1">
        <v>204</v>
      </c>
      <c r="J101" s="1"/>
      <c r="M101" s="15" t="s">
        <v>795</v>
      </c>
      <c r="N101" s="15"/>
      <c r="O101" s="15"/>
      <c r="P101" s="15" t="str" cm="1">
        <f t="array" ref="P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1" s="15" t="str" cm="1">
        <f t="array" ref="Q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canciones/nuevas/laudato_sii_o_mi_signore.html</v>
      </c>
      <c r="S101" s="1"/>
      <c r="T101" s="1"/>
      <c r="U101" s="1"/>
      <c r="V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href="canciones/nuevas/laudato_sii_o_mi_signore.html"&gt;Laudato sii, o, mi Signore&lt;/a&gt;&lt;/li&gt;</v>
      </c>
      <c r="W101" s="15" t="str">
        <f>_xlfn.TEXTBEFORE(_xlfn.TEXTAFTER(CantoralDB[[#This Row],[index.html]],"&gt;"),"&gt;")&amp;"&gt;"</f>
        <v>&lt;a href="canciones/nuevas/laudato_sii_o_mi_signore.html"&gt;</v>
      </c>
      <c r="Y101" s="1"/>
      <c r="Z101" s="1"/>
      <c r="AA101" s="1"/>
    </row>
    <row r="102" spans="1:27" x14ac:dyDescent="0.3">
      <c r="A102" s="1">
        <f>ROW(CantoralDB[[#This Row],[Título]])-1</f>
        <v>101</v>
      </c>
      <c r="B102" s="1" t="s">
        <v>2602</v>
      </c>
      <c r="C102" s="1"/>
      <c r="F102" s="1">
        <v>207</v>
      </c>
      <c r="J102" s="1"/>
      <c r="M102" s="15" t="s">
        <v>795</v>
      </c>
      <c r="N102" s="15"/>
      <c r="O102" s="15"/>
      <c r="P102" s="15" t="str" cm="1">
        <f t="array" ref="P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2" s="15" t="str" cm="1">
        <f t="array" ref="Q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canciones/nuevas/yo_tengo_un_gozo_en_el_alma.html</v>
      </c>
      <c r="S102" s="1"/>
      <c r="T102" s="1"/>
      <c r="U102" s="1"/>
      <c r="V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href="canciones/nuevas/yo_tengo_un_gozo_en_el_alma.html"&gt;Yo tengo un gozo en el alma&lt;/a&gt;&lt;/li&gt;</v>
      </c>
      <c r="W102" s="15" t="str">
        <f>_xlfn.TEXTBEFORE(_xlfn.TEXTAFTER(CantoralDB[[#This Row],[index.html]],"&gt;"),"&gt;")&amp;"&gt;"</f>
        <v>&lt;a href="canciones/nuevas/yo_tengo_un_gozo_en_el_alma.html"&gt;</v>
      </c>
      <c r="Y102" s="1"/>
      <c r="Z102" s="1"/>
      <c r="AA102" s="1"/>
    </row>
    <row r="103" spans="1:27" x14ac:dyDescent="0.3">
      <c r="A103" s="1">
        <f>ROW(CantoralDB[[#This Row],[Título]])-1</f>
        <v>102</v>
      </c>
      <c r="B103" s="1" t="s">
        <v>2605</v>
      </c>
      <c r="C103" s="1"/>
      <c r="F103" s="1">
        <v>211</v>
      </c>
      <c r="J103" s="1"/>
      <c r="M103" s="15" t="s">
        <v>795</v>
      </c>
      <c r="N103" s="15"/>
      <c r="O103" s="15"/>
      <c r="P103" s="15" t="str" cm="1">
        <f t="array" ref="P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3" s="15" t="str" cm="1">
        <f t="array" ref="Q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canciones/nuevas/manos_abiertas_ante_ti.html</v>
      </c>
      <c r="S103" s="1"/>
      <c r="T103" s="1"/>
      <c r="U103" s="1"/>
      <c r="V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href="canciones/nuevas/manos_abiertas_ante_ti.html"&gt;Manos abiertas ante ti&lt;/a&gt;&lt;/li&gt;</v>
      </c>
      <c r="W103" s="15" t="str">
        <f>_xlfn.TEXTBEFORE(_xlfn.TEXTAFTER(CantoralDB[[#This Row],[index.html]],"&gt;"),"&gt;")&amp;"&gt;"</f>
        <v>&lt;a href="canciones/nuevas/manos_abiertas_ante_ti.html"&gt;</v>
      </c>
      <c r="Y103" s="1"/>
      <c r="Z103" s="1"/>
      <c r="AA103" s="1"/>
    </row>
    <row r="104" spans="1:27" x14ac:dyDescent="0.3">
      <c r="A104" s="1">
        <f>ROW(CantoralDB[[#This Row],[Título]])-1</f>
        <v>103</v>
      </c>
      <c r="B104" s="1" t="s">
        <v>2607</v>
      </c>
      <c r="C104" s="1"/>
      <c r="F104" s="1">
        <v>213</v>
      </c>
      <c r="J104" s="1"/>
      <c r="M104" s="15" t="s">
        <v>795</v>
      </c>
      <c r="N104" s="15"/>
      <c r="O104" s="15"/>
      <c r="P104" s="15" t="str" cm="1">
        <f t="array" ref="P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4" s="15" t="str" cm="1">
        <f t="array" ref="Q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canciones/nuevas/ay_de_mi_si_no_evangelizara.html</v>
      </c>
      <c r="S104" s="1"/>
      <c r="T104" s="1"/>
      <c r="U104" s="1"/>
      <c r="V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href="canciones/nuevas/ay_de_mi_si_no_evangelizara.html"&gt;Ay de mí, si no evangelizara&lt;/a&gt;&lt;/li&gt;</v>
      </c>
      <c r="W104" s="15" t="str">
        <f>_xlfn.TEXTBEFORE(_xlfn.TEXTAFTER(CantoralDB[[#This Row],[index.html]],"&gt;"),"&gt;")&amp;"&gt;"</f>
        <v>&lt;a href="canciones/nuevas/ay_de_mi_si_no_evangelizara.html"&gt;</v>
      </c>
      <c r="Y104" s="1"/>
      <c r="Z104" s="1"/>
      <c r="AA104" s="1"/>
    </row>
    <row r="105" spans="1:27" x14ac:dyDescent="0.3">
      <c r="A105" s="1">
        <f>ROW(CantoralDB[[#This Row],[Título]])-1</f>
        <v>104</v>
      </c>
      <c r="B105" s="1" t="s">
        <v>2610</v>
      </c>
      <c r="C105" s="1"/>
      <c r="F105" s="1">
        <v>217</v>
      </c>
      <c r="J105" s="1"/>
      <c r="M105" s="15" t="s">
        <v>795</v>
      </c>
      <c r="N105" s="15"/>
      <c r="O105" s="15"/>
      <c r="P105" s="15" t="str" cm="1">
        <f t="array" ref="P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5" s="15" t="str" cm="1">
        <f t="array" ref="Q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canciones/nuevas/levantare_mis_manos.html</v>
      </c>
      <c r="S105" s="1"/>
      <c r="T105" s="1"/>
      <c r="U105" s="1"/>
      <c r="V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href="canciones/nuevas/levantare_mis_manos.html"&gt;Levantaré mis manos&lt;/a&gt;&lt;/li&gt;</v>
      </c>
      <c r="W105" s="15" t="str">
        <f>_xlfn.TEXTBEFORE(_xlfn.TEXTAFTER(CantoralDB[[#This Row],[index.html]],"&gt;"),"&gt;")&amp;"&gt;"</f>
        <v>&lt;a href="canciones/nuevas/levantare_mis_manos.html"&gt;</v>
      </c>
      <c r="Y105" s="1"/>
      <c r="Z105" s="1"/>
      <c r="AA105" s="1"/>
    </row>
    <row r="106" spans="1:27" x14ac:dyDescent="0.3">
      <c r="A106" s="1">
        <f>ROW(CantoralDB[[#This Row],[Título]])-1</f>
        <v>105</v>
      </c>
      <c r="B106" s="1" t="s">
        <v>2615</v>
      </c>
      <c r="C106" s="1"/>
      <c r="F106" s="1">
        <v>222</v>
      </c>
      <c r="J106" s="1"/>
      <c r="M106" s="15" t="s">
        <v>795</v>
      </c>
      <c r="N106" s="15"/>
      <c r="O106" s="15"/>
      <c r="P106" s="15" t="str" cm="1">
        <f t="array" ref="P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6" s="15" t="str" cm="1">
        <f t="array" ref="Q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canciones/nuevas/manos_vacias.html</v>
      </c>
      <c r="S106" s="1"/>
      <c r="T106" s="1"/>
      <c r="U106" s="1"/>
      <c r="V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href="canciones/nuevas/manos_vacias.html"&gt;Manos vacías&lt;/a&gt;&lt;/li&gt;</v>
      </c>
      <c r="W106" s="15" t="str">
        <f>_xlfn.TEXTBEFORE(_xlfn.TEXTAFTER(CantoralDB[[#This Row],[index.html]],"&gt;"),"&gt;")&amp;"&gt;"</f>
        <v>&lt;a href="canciones/nuevas/manos_vacias.html"&gt;</v>
      </c>
      <c r="Y106" s="1"/>
      <c r="Z106" s="1"/>
      <c r="AA106" s="1"/>
    </row>
    <row r="107" spans="1:27" x14ac:dyDescent="0.3">
      <c r="A107" s="1">
        <f>ROW(CantoralDB[[#This Row],[Título]])-1</f>
        <v>106</v>
      </c>
      <c r="B107" s="1" t="s">
        <v>2616</v>
      </c>
      <c r="C107" s="1"/>
      <c r="F107" s="1">
        <v>223</v>
      </c>
      <c r="J107" s="1"/>
      <c r="M107" s="15" t="s">
        <v>795</v>
      </c>
      <c r="N107" s="15"/>
      <c r="O107" s="15"/>
      <c r="P107" s="15" t="str" cm="1">
        <f t="array" ref="P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7" s="15" t="str" cm="1">
        <f t="array" ref="Q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canciones/nuevas/algo_esta_descendiendo.html</v>
      </c>
      <c r="S107" s="1"/>
      <c r="T107" s="1"/>
      <c r="U107" s="1"/>
      <c r="V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href="canciones/nuevas/algo_esta_descendiendo.html"&gt;Algo está descendiendo&lt;/a&gt;&lt;/li&gt;</v>
      </c>
      <c r="W107" s="15" t="str">
        <f>_xlfn.TEXTBEFORE(_xlfn.TEXTAFTER(CantoralDB[[#This Row],[index.html]],"&gt;"),"&gt;")&amp;"&gt;"</f>
        <v>&lt;a href="canciones/nuevas/algo_esta_descendiendo.html"&gt;</v>
      </c>
      <c r="Y107" s="1"/>
      <c r="Z107" s="1"/>
      <c r="AA107" s="1"/>
    </row>
    <row r="108" spans="1:27" x14ac:dyDescent="0.3">
      <c r="A108" s="1">
        <f>ROW(CantoralDB[[#This Row],[Título]])-1</f>
        <v>107</v>
      </c>
      <c r="B108" s="1" t="s">
        <v>2617</v>
      </c>
      <c r="C108" s="1"/>
      <c r="F108" s="1">
        <v>224</v>
      </c>
      <c r="J108" s="1"/>
      <c r="M108" s="15" t="s">
        <v>795</v>
      </c>
      <c r="N108" s="15"/>
      <c r="O108" s="15"/>
      <c r="P108" s="15" t="str" cm="1">
        <f t="array" ref="P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8" s="15" t="str" cm="1">
        <f t="array" ref="Q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canciones/nuevas/ven_a_conocer.html</v>
      </c>
      <c r="S108" s="1"/>
      <c r="T108" s="1"/>
      <c r="U108" s="1"/>
      <c r="V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href="canciones/nuevas/ven_a_conocer.html"&gt;Ven a conocer&lt;/a&gt;&lt;/li&gt;</v>
      </c>
      <c r="W108" s="15" t="str">
        <f>_xlfn.TEXTBEFORE(_xlfn.TEXTAFTER(CantoralDB[[#This Row],[index.html]],"&gt;"),"&gt;")&amp;"&gt;"</f>
        <v>&lt;a href="canciones/nuevas/ven_a_conocer.html"&gt;</v>
      </c>
      <c r="Y108" s="1"/>
      <c r="Z108" s="1"/>
      <c r="AA108" s="1"/>
    </row>
    <row r="109" spans="1:27" x14ac:dyDescent="0.3">
      <c r="A109" s="1">
        <f>ROW(CantoralDB[[#This Row],[Título]])-1</f>
        <v>108</v>
      </c>
      <c r="B109" s="1" t="s">
        <v>2618</v>
      </c>
      <c r="C109" s="1"/>
      <c r="F109" s="1">
        <v>225</v>
      </c>
      <c r="J109" s="1"/>
      <c r="M109" s="15" t="s">
        <v>795</v>
      </c>
      <c r="N109" s="15"/>
      <c r="O109" s="15"/>
      <c r="P109" s="15" t="str" cm="1">
        <f t="array" ref="P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09" s="15" t="str" cm="1">
        <f t="array" ref="Q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canciones/nuevas/pequeño_como_una_brisa.html</v>
      </c>
      <c r="S109" s="1"/>
      <c r="T109" s="1"/>
      <c r="U109" s="1"/>
      <c r="V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href="canciones/nuevas/pequeño_como_una_brisa.html"&gt;Pequeño como una brisa&lt;/a&gt;&lt;/li&gt;</v>
      </c>
      <c r="W109" s="15" t="str">
        <f>_xlfn.TEXTBEFORE(_xlfn.TEXTAFTER(CantoralDB[[#This Row],[index.html]],"&gt;"),"&gt;")&amp;"&gt;"</f>
        <v>&lt;a href="canciones/nuevas/pequeño_como_una_brisa.html"&gt;</v>
      </c>
      <c r="Y109" s="1"/>
      <c r="Z109" s="1"/>
      <c r="AA109" s="1"/>
    </row>
    <row r="110" spans="1:27" x14ac:dyDescent="0.3">
      <c r="A110" s="1">
        <f>ROW(CantoralDB[[#This Row],[Título]])-1</f>
        <v>109</v>
      </c>
      <c r="B110" s="1" t="s">
        <v>2619</v>
      </c>
      <c r="C110" s="1"/>
      <c r="F110" s="1">
        <v>227</v>
      </c>
      <c r="J110" s="1"/>
      <c r="M110" s="15" t="s">
        <v>795</v>
      </c>
      <c r="N110" s="15"/>
      <c r="O110" s="15"/>
      <c r="P110" s="15" t="str" cm="1">
        <f t="array" ref="P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0" s="15" t="str" cm="1">
        <f t="array" ref="Q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canciones/nuevas/gloria_a_ti_por_siempre.html</v>
      </c>
      <c r="S110" s="1"/>
      <c r="T110" s="1"/>
      <c r="U110" s="1"/>
      <c r="V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href="canciones/nuevas/gloria_a_ti_por_siempre.html"&gt;Gloria a ti por siempre&lt;/a&gt;&lt;/li&gt;</v>
      </c>
      <c r="W110" s="15" t="str">
        <f>_xlfn.TEXTBEFORE(_xlfn.TEXTAFTER(CantoralDB[[#This Row],[index.html]],"&gt;"),"&gt;")&amp;"&gt;"</f>
        <v>&lt;a href="canciones/nuevas/gloria_a_ti_por_siempre.html"&gt;</v>
      </c>
      <c r="Y110" s="1"/>
      <c r="Z110" s="1"/>
      <c r="AA110" s="1"/>
    </row>
    <row r="111" spans="1:27" x14ac:dyDescent="0.3">
      <c r="A111" s="1">
        <f>ROW(CantoralDB[[#This Row],[Título]])-1</f>
        <v>110</v>
      </c>
      <c r="B111" s="1" t="s">
        <v>2621</v>
      </c>
      <c r="C111" s="1"/>
      <c r="F111" s="1">
        <v>230</v>
      </c>
      <c r="J111" s="1"/>
      <c r="M111" s="15" t="s">
        <v>795</v>
      </c>
      <c r="N111" s="15"/>
      <c r="O111" s="15"/>
      <c r="P111" s="15" t="str" cm="1">
        <f t="array" ref="P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1" s="15" t="str" cm="1">
        <f t="array" ref="Q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canciones/nuevas/porque_para_siempre_dios.html</v>
      </c>
      <c r="S111" s="1"/>
      <c r="T111" s="1"/>
      <c r="U111" s="1"/>
      <c r="V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href="canciones/nuevas/porque_para_siempre_dios.html"&gt;Porque para siempre, Dios&lt;/a&gt;&lt;/li&gt;</v>
      </c>
      <c r="W111" s="15" t="str">
        <f>_xlfn.TEXTBEFORE(_xlfn.TEXTAFTER(CantoralDB[[#This Row],[index.html]],"&gt;"),"&gt;")&amp;"&gt;"</f>
        <v>&lt;a href="canciones/nuevas/porque_para_siempre_dios.html"&gt;</v>
      </c>
      <c r="Y111" s="1"/>
      <c r="Z111" s="1"/>
      <c r="AA111" s="1"/>
    </row>
    <row r="112" spans="1:27" x14ac:dyDescent="0.3">
      <c r="A112" s="1">
        <f>ROW(CantoralDB[[#This Row],[Título]])-1</f>
        <v>111</v>
      </c>
      <c r="B112" s="1" t="s">
        <v>2622</v>
      </c>
      <c r="C112" s="1"/>
      <c r="F112" s="1">
        <v>231</v>
      </c>
      <c r="J112" s="1"/>
      <c r="M112" s="15" t="s">
        <v>795</v>
      </c>
      <c r="N112" s="15"/>
      <c r="O112" s="15"/>
      <c r="P112" s="15" t="str" cm="1">
        <f t="array" ref="P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2" s="15" t="str" cm="1">
        <f t="array" ref="Q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canciones/nuevas/aqui_se_alaba.html</v>
      </c>
      <c r="S112" s="1"/>
      <c r="T112" s="1"/>
      <c r="U112" s="1"/>
      <c r="V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href="canciones/nuevas/aqui_se_alaba.html"&gt;Aquí se alaba&lt;/a&gt;&lt;/li&gt;</v>
      </c>
      <c r="W112" s="15" t="str">
        <f>_xlfn.TEXTBEFORE(_xlfn.TEXTAFTER(CantoralDB[[#This Row],[index.html]],"&gt;"),"&gt;")&amp;"&gt;"</f>
        <v>&lt;a href="canciones/nuevas/aqui_se_alaba.html"&gt;</v>
      </c>
      <c r="Y112" s="1"/>
      <c r="Z112" s="1"/>
      <c r="AA112" s="1"/>
    </row>
    <row r="113" spans="1:27" x14ac:dyDescent="0.3">
      <c r="A113" s="1">
        <f>ROW(CantoralDB[[#This Row],[Título]])-1</f>
        <v>112</v>
      </c>
      <c r="B113" s="1" t="s">
        <v>2624</v>
      </c>
      <c r="C113" s="1"/>
      <c r="F113" s="1">
        <v>234</v>
      </c>
      <c r="J113" s="1"/>
      <c r="M113" s="15" t="s">
        <v>795</v>
      </c>
      <c r="N113" s="15"/>
      <c r="O113" s="15"/>
      <c r="P113" s="15" t="str" cm="1">
        <f t="array" ref="P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3" s="15" t="str" cm="1">
        <f t="array" ref="Q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canciones/nuevas/quiero_levantar_mis_manos.html</v>
      </c>
      <c r="S113" s="1"/>
      <c r="T113" s="1"/>
      <c r="U113" s="1"/>
      <c r="V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href="canciones/nuevas/quiero_levantar_mis_manos.html"&gt;Quiero levantar mis manos&lt;/a&gt;&lt;/li&gt;</v>
      </c>
      <c r="W113" s="15" t="str">
        <f>_xlfn.TEXTBEFORE(_xlfn.TEXTAFTER(CantoralDB[[#This Row],[index.html]],"&gt;"),"&gt;")&amp;"&gt;"</f>
        <v>&lt;a href="canciones/nuevas/quiero_levantar_mis_manos.html"&gt;</v>
      </c>
      <c r="Y113" s="1"/>
      <c r="Z113" s="1"/>
      <c r="AA113" s="1"/>
    </row>
    <row r="114" spans="1:27" x14ac:dyDescent="0.3">
      <c r="A114" s="1">
        <f>ROW(CantoralDB[[#This Row],[Título]])-1</f>
        <v>113</v>
      </c>
      <c r="B114" s="1" t="s">
        <v>2626</v>
      </c>
      <c r="C114" s="1"/>
      <c r="F114" s="1">
        <v>236</v>
      </c>
      <c r="J114" s="1"/>
      <c r="M114" s="15" t="s">
        <v>795</v>
      </c>
      <c r="N114" s="15"/>
      <c r="O114" s="15"/>
      <c r="P114" s="15" t="str" cm="1">
        <f t="array" ref="P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4" s="15" t="str" cm="1">
        <f t="array" ref="Q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canciones/nuevas/como_corre_un_rio.html</v>
      </c>
      <c r="S114" s="1"/>
      <c r="T114" s="1"/>
      <c r="U114" s="1"/>
      <c r="V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href="canciones/nuevas/como_corre_un_rio.html"&gt;Como corre un río&lt;/a&gt;&lt;/li&gt;</v>
      </c>
      <c r="W114" s="15" t="str">
        <f>_xlfn.TEXTBEFORE(_xlfn.TEXTAFTER(CantoralDB[[#This Row],[index.html]],"&gt;"),"&gt;")&amp;"&gt;"</f>
        <v>&lt;a href="canciones/nuevas/como_corre_un_rio.html"&gt;</v>
      </c>
      <c r="Y114" s="1"/>
      <c r="Z114" s="1"/>
      <c r="AA114" s="1"/>
    </row>
    <row r="115" spans="1:27" x14ac:dyDescent="0.3">
      <c r="A115" s="1">
        <f>ROW(CantoralDB[[#This Row],[Título]])-1</f>
        <v>114</v>
      </c>
      <c r="B115" s="1" t="s">
        <v>2629</v>
      </c>
      <c r="C115" s="1"/>
      <c r="F115" s="1">
        <v>240</v>
      </c>
      <c r="J115" s="1"/>
      <c r="M115" s="15" t="s">
        <v>795</v>
      </c>
      <c r="N115" s="15"/>
      <c r="O115" s="15"/>
      <c r="P115" s="15" t="str" cm="1">
        <f t="array" ref="P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5" s="15" t="str" cm="1">
        <f t="array" ref="Q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canciones/nuevas/oh_aleluya.html</v>
      </c>
      <c r="S115" s="1"/>
      <c r="T115" s="1"/>
      <c r="U115" s="1"/>
      <c r="V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href="canciones/nuevas/oh_aleluya.html"&gt;Oh, aleluya&lt;/a&gt;&lt;/li&gt;</v>
      </c>
      <c r="W115" s="15" t="str">
        <f>_xlfn.TEXTBEFORE(_xlfn.TEXTAFTER(CantoralDB[[#This Row],[index.html]],"&gt;"),"&gt;")&amp;"&gt;"</f>
        <v>&lt;a href="canciones/nuevas/oh_aleluya.html"&gt;</v>
      </c>
      <c r="Y115" s="1"/>
      <c r="Z115" s="1"/>
      <c r="AA115" s="1"/>
    </row>
    <row r="116" spans="1:27" x14ac:dyDescent="0.3">
      <c r="A116" s="1">
        <f>ROW(CantoralDB[[#This Row],[Título]])-1</f>
        <v>115</v>
      </c>
      <c r="B116" s="1" t="s">
        <v>2634</v>
      </c>
      <c r="C116" s="1"/>
      <c r="F116" s="1">
        <v>245</v>
      </c>
      <c r="J116" s="1"/>
      <c r="M116" s="15" t="s">
        <v>795</v>
      </c>
      <c r="N116" s="15"/>
      <c r="O116" s="15"/>
      <c r="P116" s="15" t="str" cm="1">
        <f t="array" ref="P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6" s="15" t="str" cm="1">
        <f t="array" ref="Q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canciones/nuevas/salvador_para_todos.html</v>
      </c>
      <c r="S116" s="1"/>
      <c r="T116" s="1"/>
      <c r="U116" s="1"/>
      <c r="V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href="canciones/nuevas/salvador_para_todos.html"&gt;Salvador para todos&lt;/a&gt;&lt;/li&gt;</v>
      </c>
      <c r="W116" s="15" t="str">
        <f>_xlfn.TEXTBEFORE(_xlfn.TEXTAFTER(CantoralDB[[#This Row],[index.html]],"&gt;"),"&gt;")&amp;"&gt;"</f>
        <v>&lt;a href="canciones/nuevas/salvador_para_todos.html"&gt;</v>
      </c>
      <c r="Y116" s="1"/>
      <c r="Z116" s="1"/>
      <c r="AA116" s="1"/>
    </row>
    <row r="117" spans="1:27" x14ac:dyDescent="0.3">
      <c r="A117" s="1">
        <f>ROW(CantoralDB[[#This Row],[Título]])-1</f>
        <v>116</v>
      </c>
      <c r="B117" s="1" t="s">
        <v>245</v>
      </c>
      <c r="C117" s="1"/>
      <c r="F117" s="1">
        <v>252</v>
      </c>
      <c r="J117" s="1"/>
      <c r="M117" s="15" t="s">
        <v>795</v>
      </c>
      <c r="N117" s="15"/>
      <c r="O117" s="15"/>
      <c r="P117" s="15" t="str" cm="1">
        <f t="array" ref="P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7" s="15" t="str" cm="1">
        <f t="array" ref="Q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canciones/nuevas/bienvenidos.html</v>
      </c>
      <c r="S117" s="1"/>
      <c r="T117" s="1"/>
      <c r="U117" s="1"/>
      <c r="V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href="canciones/nuevas/bienvenidos.html"&gt;Bienvenidos&lt;/a&gt;&lt;/li&gt;</v>
      </c>
      <c r="W117" s="15" t="str">
        <f>_xlfn.TEXTBEFORE(_xlfn.TEXTAFTER(CantoralDB[[#This Row],[index.html]],"&gt;"),"&gt;")&amp;"&gt;"</f>
        <v>&lt;a href="canciones/nuevas/bienvenidos.html"&gt;</v>
      </c>
      <c r="Y117" s="1"/>
      <c r="Z117" s="1"/>
      <c r="AA117" s="1"/>
    </row>
    <row r="118" spans="1:27" x14ac:dyDescent="0.3">
      <c r="A118" s="1">
        <f>ROW(CantoralDB[[#This Row],[Título]])-1</f>
        <v>117</v>
      </c>
      <c r="B118" s="1" t="s">
        <v>1160</v>
      </c>
      <c r="C118" s="1"/>
      <c r="F118" s="1">
        <v>253</v>
      </c>
      <c r="J118" s="1"/>
      <c r="M118" s="15" t="s">
        <v>795</v>
      </c>
      <c r="N118" s="15"/>
      <c r="O118" s="15"/>
      <c r="P118" s="15" t="str" cm="1">
        <f t="array" ref="P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8" s="15" t="str" cm="1">
        <f t="array" ref="Q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canciones/nuevas/alabad_al_señor_en_su_templo.html</v>
      </c>
      <c r="S118" s="1"/>
      <c r="T118" s="1"/>
      <c r="U118" s="1"/>
      <c r="V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href="canciones/nuevas/alabad_al_señor_en_su_templo.html"&gt;Alabad al Señor en su templo&lt;/a&gt;&lt;/li&gt;</v>
      </c>
      <c r="W118" s="15" t="str">
        <f>_xlfn.TEXTBEFORE(_xlfn.TEXTAFTER(CantoralDB[[#This Row],[index.html]],"&gt;"),"&gt;")&amp;"&gt;"</f>
        <v>&lt;a href="canciones/nuevas/alabad_al_señor_en_su_templo.html"&gt;</v>
      </c>
      <c r="Y118" s="1"/>
      <c r="Z118" s="1"/>
      <c r="AA118" s="1"/>
    </row>
    <row r="119" spans="1:27" x14ac:dyDescent="0.3">
      <c r="A119" s="1">
        <f>ROW(CantoralDB[[#This Row],[Título]])-1</f>
        <v>118</v>
      </c>
      <c r="B119" s="1" t="s">
        <v>2641</v>
      </c>
      <c r="C119" s="1"/>
      <c r="F119" s="1">
        <v>256</v>
      </c>
      <c r="J119" s="1"/>
      <c r="M119" s="15" t="s">
        <v>795</v>
      </c>
      <c r="N119" s="15"/>
      <c r="O119" s="15"/>
      <c r="P119" s="15" t="str" cm="1">
        <f t="array" ref="P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19" s="15" t="str" cm="1">
        <f t="array" ref="Q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canciones/nuevas/me_sedujiste_señor.html</v>
      </c>
      <c r="S119" s="1"/>
      <c r="T119" s="1"/>
      <c r="U119" s="1"/>
      <c r="V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href="canciones/nuevas/me_sedujiste_señor.html"&gt;Me sedujiste, Señor&lt;/a&gt;&lt;/li&gt;</v>
      </c>
      <c r="W119" s="15" t="str">
        <f>_xlfn.TEXTBEFORE(_xlfn.TEXTAFTER(CantoralDB[[#This Row],[index.html]],"&gt;"),"&gt;")&amp;"&gt;"</f>
        <v>&lt;a href="canciones/nuevas/me_sedujiste_señor.html"&gt;</v>
      </c>
      <c r="Y119" s="1"/>
      <c r="Z119" s="1"/>
      <c r="AA119" s="1"/>
    </row>
    <row r="120" spans="1:27" x14ac:dyDescent="0.3">
      <c r="A120" s="1">
        <f>ROW(CantoralDB[[#This Row],[Título]])-1</f>
        <v>119</v>
      </c>
      <c r="B120" s="1" t="s">
        <v>2363</v>
      </c>
      <c r="C120" s="1"/>
      <c r="F120" s="1">
        <v>259</v>
      </c>
      <c r="J120" s="1"/>
      <c r="M120" s="15" t="s">
        <v>795</v>
      </c>
      <c r="N120" s="15"/>
      <c r="O120" s="15"/>
      <c r="P120" s="15" t="str" cm="1">
        <f t="array" ref="P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0" s="15" t="str" cm="1">
        <f t="array" ref="Q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canciones/nuevas/venid_a_mi.html</v>
      </c>
      <c r="S120" s="1"/>
      <c r="T120" s="1"/>
      <c r="U120" s="1"/>
      <c r="V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href="canciones/nuevas/venid_a_mi.html"&gt;Venid a mí&lt;/a&gt;&lt;/li&gt;</v>
      </c>
      <c r="W120" s="15" t="str">
        <f>_xlfn.TEXTBEFORE(_xlfn.TEXTAFTER(CantoralDB[[#This Row],[index.html]],"&gt;"),"&gt;")&amp;"&gt;"</f>
        <v>&lt;a href="canciones/nuevas/venid_a_mi.html"&gt;</v>
      </c>
      <c r="Y120" s="1"/>
      <c r="Z120" s="1"/>
      <c r="AA120" s="1"/>
    </row>
    <row r="121" spans="1:27" x14ac:dyDescent="0.3">
      <c r="A121" s="1">
        <f>ROW(CantoralDB[[#This Row],[Título]])-1</f>
        <v>120</v>
      </c>
      <c r="B121" s="1" t="s">
        <v>2646</v>
      </c>
      <c r="C121" s="1"/>
      <c r="F121" s="1">
        <v>260</v>
      </c>
      <c r="J121" s="1"/>
      <c r="M121" s="15" t="s">
        <v>795</v>
      </c>
      <c r="N121" s="15"/>
      <c r="O121" s="15"/>
      <c r="P121" s="15" t="str" cm="1">
        <f t="array" ref="P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1" s="15" t="str" cm="1">
        <f t="array" ref="Q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canciones/nuevas/conviene_que_cristo_crezca.html</v>
      </c>
      <c r="S121" s="1"/>
      <c r="T121" s="1"/>
      <c r="U121" s="1"/>
      <c r="V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href="canciones/nuevas/conviene_que_cristo_crezca.html"&gt;Conviene que Cristo crezca&lt;/a&gt;&lt;/li&gt;</v>
      </c>
      <c r="W121" s="15" t="str">
        <f>_xlfn.TEXTBEFORE(_xlfn.TEXTAFTER(CantoralDB[[#This Row],[index.html]],"&gt;"),"&gt;")&amp;"&gt;"</f>
        <v>&lt;a href="canciones/nuevas/conviene_que_cristo_crezca.html"&gt;</v>
      </c>
      <c r="Y121" s="1"/>
      <c r="Z121" s="1"/>
      <c r="AA121" s="1"/>
    </row>
    <row r="122" spans="1:27" x14ac:dyDescent="0.3">
      <c r="A122" s="1">
        <f>ROW(CantoralDB[[#This Row],[Título]])-1</f>
        <v>121</v>
      </c>
      <c r="B122" s="1" t="s">
        <v>2251</v>
      </c>
      <c r="C122" s="1"/>
      <c r="F122" s="1">
        <v>261</v>
      </c>
      <c r="J122" s="1"/>
      <c r="M122" s="15" t="s">
        <v>795</v>
      </c>
      <c r="N122" s="15"/>
      <c r="O122" s="15"/>
      <c r="P122" s="15" t="str" cm="1">
        <f t="array" ref="P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2" s="15" t="str" cm="1">
        <f t="array" ref="Q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canciones/nuevas/cristo_vive_en_mi.html</v>
      </c>
      <c r="S122" s="1"/>
      <c r="T122" s="1"/>
      <c r="U122" s="1"/>
      <c r="V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href="canciones/nuevas/cristo_vive_en_mi.html"&gt;Cristo vive en mí&lt;/a&gt;&lt;/li&gt;</v>
      </c>
      <c r="W122" s="15" t="str">
        <f>_xlfn.TEXTBEFORE(_xlfn.TEXTAFTER(CantoralDB[[#This Row],[index.html]],"&gt;"),"&gt;")&amp;"&gt;"</f>
        <v>&lt;a href="canciones/nuevas/cristo_vive_en_mi.html"&gt;</v>
      </c>
      <c r="Y122" s="1"/>
      <c r="Z122" s="1"/>
      <c r="AA122" s="1"/>
    </row>
    <row r="123" spans="1:27" x14ac:dyDescent="0.3">
      <c r="A123" s="1">
        <f>ROW(CantoralDB[[#This Row],[Título]])-1</f>
        <v>122</v>
      </c>
      <c r="B123" s="1" t="s">
        <v>2649</v>
      </c>
      <c r="C123" s="1"/>
      <c r="F123" s="1">
        <v>263</v>
      </c>
      <c r="J123" s="1"/>
      <c r="M123" s="15" t="s">
        <v>795</v>
      </c>
      <c r="N123" s="15"/>
      <c r="O123" s="15"/>
      <c r="P123" s="15" t="str" cm="1">
        <f t="array" ref="P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3" s="15" t="str" cm="1">
        <f t="array" ref="Q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canciones/nuevas/pon_hoy_la_llama_de_amor.html</v>
      </c>
      <c r="S123" s="1"/>
      <c r="T123" s="1"/>
      <c r="U123" s="1"/>
      <c r="V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href="canciones/nuevas/pon_hoy_la_llama_de_amor.html"&gt;Pon hoy la llama de amor&lt;/a&gt;&lt;/li&gt;</v>
      </c>
      <c r="W123" s="15" t="str">
        <f>_xlfn.TEXTBEFORE(_xlfn.TEXTAFTER(CantoralDB[[#This Row],[index.html]],"&gt;"),"&gt;")&amp;"&gt;"</f>
        <v>&lt;a href="canciones/nuevas/pon_hoy_la_llama_de_amor.html"&gt;</v>
      </c>
      <c r="Y123" s="1"/>
      <c r="Z123" s="1"/>
      <c r="AA123" s="1"/>
    </row>
    <row r="124" spans="1:27" x14ac:dyDescent="0.3">
      <c r="A124" s="1">
        <f>ROW(CantoralDB[[#This Row],[Título]])-1</f>
        <v>123</v>
      </c>
      <c r="B124" s="1" t="s">
        <v>2650</v>
      </c>
      <c r="C124" s="1"/>
      <c r="F124" s="1">
        <v>264</v>
      </c>
      <c r="J124" s="1"/>
      <c r="M124" s="15" t="s">
        <v>795</v>
      </c>
      <c r="N124" s="15"/>
      <c r="O124" s="15"/>
      <c r="P124" s="15" t="str" cm="1">
        <f t="array" ref="P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4" s="15" t="str" cm="1">
        <f t="array" ref="Q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canciones/nuevas/honor_y_gloria_a_tu_nombre.html</v>
      </c>
      <c r="S124" s="1"/>
      <c r="T124" s="1"/>
      <c r="U124" s="1"/>
      <c r="V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href="canciones/nuevas/honor_y_gloria_a_tu_nombre.html"&gt;Honor y gloria a tu nombre&lt;/a&gt;&lt;/li&gt;</v>
      </c>
      <c r="W124" s="15" t="str">
        <f>_xlfn.TEXTBEFORE(_xlfn.TEXTAFTER(CantoralDB[[#This Row],[index.html]],"&gt;"),"&gt;")&amp;"&gt;"</f>
        <v>&lt;a href="canciones/nuevas/honor_y_gloria_a_tu_nombre.html"&gt;</v>
      </c>
      <c r="Y124" s="1"/>
      <c r="Z124" s="1"/>
      <c r="AA124" s="1"/>
    </row>
    <row r="125" spans="1:27" x14ac:dyDescent="0.3">
      <c r="A125" s="1">
        <f>ROW(CantoralDB[[#This Row],[Título]])-1</f>
        <v>124</v>
      </c>
      <c r="B125" s="1" t="s">
        <v>1190</v>
      </c>
      <c r="C125" s="1"/>
      <c r="F125" s="1">
        <v>268</v>
      </c>
      <c r="J125" s="1"/>
      <c r="M125" s="15" t="s">
        <v>795</v>
      </c>
      <c r="N125" s="15"/>
      <c r="O125" s="15"/>
      <c r="P125" s="15" t="str" cm="1">
        <f t="array" ref="P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5" s="15" t="str" cm="1">
        <f t="array" ref="Q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canciones/nuevas/criaturas_del_señor.html</v>
      </c>
      <c r="S125" s="1"/>
      <c r="T125" s="1"/>
      <c r="U125" s="1"/>
      <c r="V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href="canciones/nuevas/criaturas_del_señor.html"&gt;Criaturas del Señor&lt;/a&gt;&lt;/li&gt;</v>
      </c>
      <c r="W125" s="15" t="str">
        <f>_xlfn.TEXTBEFORE(_xlfn.TEXTAFTER(CantoralDB[[#This Row],[index.html]],"&gt;"),"&gt;")&amp;"&gt;"</f>
        <v>&lt;a href="canciones/nuevas/criaturas_del_señor.html"&gt;</v>
      </c>
      <c r="Y125" s="1"/>
      <c r="Z125" s="1"/>
      <c r="AA125" s="1"/>
    </row>
    <row r="126" spans="1:27" x14ac:dyDescent="0.3">
      <c r="A126" s="1">
        <f>ROW(CantoralDB[[#This Row],[Título]])-1</f>
        <v>125</v>
      </c>
      <c r="B126" s="1" t="s">
        <v>2656</v>
      </c>
      <c r="C126" s="1"/>
      <c r="F126" s="1">
        <v>270</v>
      </c>
      <c r="J126" s="1"/>
      <c r="M126" s="15" t="s">
        <v>795</v>
      </c>
      <c r="N126" s="15"/>
      <c r="O126" s="15"/>
      <c r="P126" s="15" t="str" cm="1">
        <f t="array" ref="P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6" s="15" t="str" cm="1">
        <f t="array" ref="Q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canciones/nuevas/tomame.html</v>
      </c>
      <c r="S126" s="1"/>
      <c r="T126" s="1"/>
      <c r="U126" s="1"/>
      <c r="V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href="canciones/nuevas/tomame.html"&gt;Tómame&lt;/a&gt;&lt;/li&gt;</v>
      </c>
      <c r="W126" s="15" t="str">
        <f>_xlfn.TEXTBEFORE(_xlfn.TEXTAFTER(CantoralDB[[#This Row],[index.html]],"&gt;"),"&gt;")&amp;"&gt;"</f>
        <v>&lt;a href="canciones/nuevas/tomame.html"&gt;</v>
      </c>
      <c r="Y126" s="1"/>
      <c r="Z126" s="1"/>
      <c r="AA126" s="1"/>
    </row>
    <row r="127" spans="1:27" x14ac:dyDescent="0.3">
      <c r="A127" s="1">
        <f>ROW(CantoralDB[[#This Row],[Título]])-1</f>
        <v>126</v>
      </c>
      <c r="B127" s="1" t="s">
        <v>2660</v>
      </c>
      <c r="C127" s="1"/>
      <c r="F127" s="1">
        <v>274</v>
      </c>
      <c r="J127" s="1"/>
      <c r="M127" s="15" t="s">
        <v>795</v>
      </c>
      <c r="N127" s="15"/>
      <c r="O127" s="15"/>
      <c r="P127" s="15" t="str" cm="1">
        <f t="array" ref="P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7" s="15" t="str" cm="1">
        <f t="array" ref="Q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canciones/nuevas/no_puede_estar_triste.html</v>
      </c>
      <c r="S127" s="1"/>
      <c r="T127" s="1"/>
      <c r="U127" s="1"/>
      <c r="V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href="canciones/nuevas/no_puede_estar_triste.html"&gt;No puede estar triste&lt;/a&gt;&lt;/li&gt;</v>
      </c>
      <c r="W127" s="15" t="str">
        <f>_xlfn.TEXTBEFORE(_xlfn.TEXTAFTER(CantoralDB[[#This Row],[index.html]],"&gt;"),"&gt;")&amp;"&gt;"</f>
        <v>&lt;a href="canciones/nuevas/no_puede_estar_triste.html"&gt;</v>
      </c>
      <c r="Y127" s="1"/>
      <c r="Z127" s="1"/>
      <c r="AA127" s="1"/>
    </row>
    <row r="128" spans="1:27" x14ac:dyDescent="0.3">
      <c r="A128" s="1">
        <f>ROW(CantoralDB[[#This Row],[Título]])-1</f>
        <v>127</v>
      </c>
      <c r="B128" s="1" t="s">
        <v>2663</v>
      </c>
      <c r="C128" s="1"/>
      <c r="F128" s="1">
        <v>276</v>
      </c>
      <c r="J128" s="1"/>
      <c r="M128" s="15" t="s">
        <v>795</v>
      </c>
      <c r="N128" s="15"/>
      <c r="O128" s="15"/>
      <c r="P128" s="15" t="str" cm="1">
        <f t="array" ref="P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8" s="15" t="str" cm="1">
        <f t="array" ref="Q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canciones/nuevas/venid_alabad.html</v>
      </c>
      <c r="S128" s="1"/>
      <c r="T128" s="1"/>
      <c r="U128" s="1"/>
      <c r="V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href="canciones/nuevas/venid_alabad.html"&gt;Venid, alabad&lt;/a&gt;&lt;/li&gt;</v>
      </c>
      <c r="W128" s="15" t="str">
        <f>_xlfn.TEXTBEFORE(_xlfn.TEXTAFTER(CantoralDB[[#This Row],[index.html]],"&gt;"),"&gt;")&amp;"&gt;"</f>
        <v>&lt;a href="canciones/nuevas/venid_alabad.html"&gt;</v>
      </c>
      <c r="Y128" s="1"/>
      <c r="Z128" s="1"/>
      <c r="AA128" s="1"/>
    </row>
    <row r="129" spans="1:27" x14ac:dyDescent="0.3">
      <c r="A129" s="1">
        <f>ROW(CantoralDB[[#This Row],[Título]])-1</f>
        <v>128</v>
      </c>
      <c r="B129" s="1" t="s">
        <v>2665</v>
      </c>
      <c r="C129" s="1"/>
      <c r="F129" s="1">
        <v>278</v>
      </c>
      <c r="J129" s="1"/>
      <c r="M129" s="15" t="s">
        <v>795</v>
      </c>
      <c r="N129" s="15"/>
      <c r="O129" s="15"/>
      <c r="P129" s="15" t="str" cm="1">
        <f t="array" ref="P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9" s="15" t="str" cm="1">
        <f t="array" ref="Q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canciones/nuevas/ven_ahora.html</v>
      </c>
      <c r="S129" s="1"/>
      <c r="T129" s="1"/>
      <c r="U129" s="1"/>
      <c r="V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href="canciones/nuevas/ven_ahora.html"&gt;Ven ahora&lt;/a&gt;&lt;/li&gt;</v>
      </c>
      <c r="W129" s="15" t="str">
        <f>_xlfn.TEXTBEFORE(_xlfn.TEXTAFTER(CantoralDB[[#This Row],[index.html]],"&gt;"),"&gt;")&amp;"&gt;"</f>
        <v>&lt;a href="canciones/nuevas/ven_ahora.html"&gt;</v>
      </c>
      <c r="Y129" s="1"/>
      <c r="Z129" s="1"/>
      <c r="AA129" s="1"/>
    </row>
    <row r="130" spans="1:27" x14ac:dyDescent="0.3">
      <c r="A130" s="1">
        <f>ROW(CantoralDB[[#This Row],[Título]])-1</f>
        <v>129</v>
      </c>
      <c r="B130" s="1" t="s">
        <v>2666</v>
      </c>
      <c r="C130" s="1"/>
      <c r="F130" s="1">
        <v>279</v>
      </c>
      <c r="J130" s="1"/>
      <c r="M130" s="15" t="s">
        <v>795</v>
      </c>
      <c r="N130" s="15"/>
      <c r="O130" s="15"/>
      <c r="P130" s="15" t="str" cm="1">
        <f t="array" ref="P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0" s="15" t="str" cm="1">
        <f t="array" ref="Q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canciones/nuevas/es_necesario_morir.html</v>
      </c>
      <c r="S130" s="1"/>
      <c r="T130" s="1"/>
      <c r="U130" s="1"/>
      <c r="V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href="canciones/nuevas/es_necesario_morir.html"&gt;Es necesario morir&lt;/a&gt;&lt;/li&gt;</v>
      </c>
      <c r="W130" s="15" t="str">
        <f>_xlfn.TEXTBEFORE(_xlfn.TEXTAFTER(CantoralDB[[#This Row],[index.html]],"&gt;"),"&gt;")&amp;"&gt;"</f>
        <v>&lt;a href="canciones/nuevas/es_necesario_morir.html"&gt;</v>
      </c>
      <c r="Y130" s="1"/>
      <c r="Z130" s="1"/>
      <c r="AA130" s="1"/>
    </row>
    <row r="131" spans="1:27" x14ac:dyDescent="0.3">
      <c r="A131" s="1">
        <f>ROW(CantoralDB[[#This Row],[Título]])-1</f>
        <v>130</v>
      </c>
      <c r="B131" s="1" t="s">
        <v>2667</v>
      </c>
      <c r="C131" s="1"/>
      <c r="F131" s="1">
        <v>281</v>
      </c>
      <c r="J131" s="1"/>
      <c r="M131" s="15" t="s">
        <v>795</v>
      </c>
      <c r="N131" s="15"/>
      <c r="O131" s="15"/>
      <c r="P131" s="15" t="str" cm="1">
        <f t="array" ref="P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1" s="15" t="str" cm="1">
        <f t="array" ref="Q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canciones/nuevas/el_amor_del_señor.html</v>
      </c>
      <c r="S131" s="1"/>
      <c r="T131" s="1"/>
      <c r="U131" s="1"/>
      <c r="V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href="canciones/nuevas/el_amor_del_señor.html"&gt;El amor del Señor&lt;/a&gt;&lt;/li&gt;</v>
      </c>
      <c r="W131" s="15" t="str">
        <f>_xlfn.TEXTBEFORE(_xlfn.TEXTAFTER(CantoralDB[[#This Row],[index.html]],"&gt;"),"&gt;")&amp;"&gt;"</f>
        <v>&lt;a href="canciones/nuevas/el_amor_del_señor.html"&gt;</v>
      </c>
      <c r="Y131" s="1"/>
      <c r="Z131" s="1"/>
      <c r="AA131" s="1"/>
    </row>
    <row r="132" spans="1:27" x14ac:dyDescent="0.3">
      <c r="A132" s="1">
        <f>ROW(CantoralDB[[#This Row],[Título]])-1</f>
        <v>131</v>
      </c>
      <c r="B132" s="1" t="s">
        <v>2669</v>
      </c>
      <c r="C132" s="1"/>
      <c r="F132" s="1">
        <v>283</v>
      </c>
      <c r="J132" s="1"/>
      <c r="M132" s="15" t="s">
        <v>795</v>
      </c>
      <c r="N132" s="15"/>
      <c r="O132" s="15"/>
      <c r="P132" s="15" t="str" cm="1">
        <f t="array" ref="P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2" s="15" t="str" cm="1">
        <f t="array" ref="Q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canciones/nuevas/ven_amor_de_dios.html</v>
      </c>
      <c r="S132" s="1"/>
      <c r="T132" s="1"/>
      <c r="U132" s="1"/>
      <c r="V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href="canciones/nuevas/ven_amor_de_dios.html"&gt;Ven, Amor de Dios&lt;/a&gt;&lt;/li&gt;</v>
      </c>
      <c r="W132" s="15" t="str">
        <f>_xlfn.TEXTBEFORE(_xlfn.TEXTAFTER(CantoralDB[[#This Row],[index.html]],"&gt;"),"&gt;")&amp;"&gt;"</f>
        <v>&lt;a href="canciones/nuevas/ven_amor_de_dios.html"&gt;</v>
      </c>
      <c r="Y132" s="1"/>
      <c r="Z132" s="1"/>
      <c r="AA132" s="1"/>
    </row>
    <row r="133" spans="1:27" x14ac:dyDescent="0.3">
      <c r="A133" s="1">
        <f>ROW(CantoralDB[[#This Row],[Título]])-1</f>
        <v>132</v>
      </c>
      <c r="B133" s="1" t="s">
        <v>2673</v>
      </c>
      <c r="C133" s="1"/>
      <c r="F133" s="1">
        <v>289</v>
      </c>
      <c r="J133" s="1"/>
      <c r="M133" s="15" t="s">
        <v>795</v>
      </c>
      <c r="N133" s="15"/>
      <c r="O133" s="15"/>
      <c r="P133" s="15" t="str" cm="1">
        <f t="array" ref="P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3" s="15" t="str" cm="1">
        <f t="array" ref="Q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canciones/nuevas/me_gozare_me_alegrare.html</v>
      </c>
      <c r="S133" s="1"/>
      <c r="T133" s="1"/>
      <c r="U133" s="1"/>
      <c r="V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href="canciones/nuevas/me_gozare_me_alegrare.html"&gt;Me gozaré, me alegraré&lt;/a&gt;&lt;/li&gt;</v>
      </c>
      <c r="W133" s="15" t="str">
        <f>_xlfn.TEXTBEFORE(_xlfn.TEXTAFTER(CantoralDB[[#This Row],[index.html]],"&gt;"),"&gt;")&amp;"&gt;"</f>
        <v>&lt;a href="canciones/nuevas/me_gozare_me_alegrare.html"&gt;</v>
      </c>
      <c r="Y133" s="1"/>
      <c r="Z133" s="1"/>
      <c r="AA133" s="1"/>
    </row>
    <row r="134" spans="1:27" x14ac:dyDescent="0.3">
      <c r="A134" s="1">
        <f>ROW(CantoralDB[[#This Row],[Título]])-1</f>
        <v>133</v>
      </c>
      <c r="B134" s="1" t="s">
        <v>2689</v>
      </c>
      <c r="C134" s="1"/>
      <c r="F134" s="1">
        <v>304</v>
      </c>
      <c r="J134" s="1"/>
      <c r="M134" s="15" t="s">
        <v>795</v>
      </c>
      <c r="N134" s="15"/>
      <c r="O134" s="15"/>
      <c r="P134" s="15" t="str" cm="1">
        <f t="array" ref="P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" s="15" t="str" cm="1">
        <f t="array" ref="Q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canciones/nuevas/jesus_(asis).html</v>
      </c>
      <c r="S134" s="1"/>
      <c r="T134" s="1"/>
      <c r="U134" s="1"/>
      <c r="V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href="canciones/nuevas/jesus_(asis).html"&gt;Jesús (Asís)&lt;/a&gt;&lt;/li&gt;</v>
      </c>
      <c r="W134" s="15" t="str">
        <f>_xlfn.TEXTBEFORE(_xlfn.TEXTAFTER(CantoralDB[[#This Row],[index.html]],"&gt;"),"&gt;")&amp;"&gt;"</f>
        <v>&lt;a href="canciones/nuevas/jesus_(asis).html"&gt;</v>
      </c>
      <c r="Y134" s="1"/>
      <c r="Z134" s="1"/>
      <c r="AA134" s="1"/>
    </row>
    <row r="135" spans="1:27" x14ac:dyDescent="0.3">
      <c r="A135" s="1">
        <f>ROW(CantoralDB[[#This Row],[Título]])-1</f>
        <v>134</v>
      </c>
      <c r="B135" s="1" t="s">
        <v>2698</v>
      </c>
      <c r="C135" s="1"/>
      <c r="F135" s="1">
        <v>314</v>
      </c>
      <c r="J135" s="1"/>
      <c r="M135" s="15" t="s">
        <v>795</v>
      </c>
      <c r="N135" s="15"/>
      <c r="O135" s="15"/>
      <c r="P135" s="15" t="str" cm="1">
        <f t="array" ref="P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" s="15" t="str" cm="1">
        <f t="array" ref="Q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canciones/nuevas/gracias_por_lo_que_haces_por_mi.html</v>
      </c>
      <c r="S135" s="1"/>
      <c r="T135" s="1"/>
      <c r="U135" s="1"/>
      <c r="V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href="canciones/nuevas/gracias_por_lo_que_haces_por_mi.html"&gt;Gracias por lo que haces por mí&lt;/a&gt;&lt;/li&gt;</v>
      </c>
      <c r="W135" s="15" t="str">
        <f>_xlfn.TEXTBEFORE(_xlfn.TEXTAFTER(CantoralDB[[#This Row],[index.html]],"&gt;"),"&gt;")&amp;"&gt;"</f>
        <v>&lt;a href="canciones/nuevas/gracias_por_lo_que_haces_por_mi.html"&gt;</v>
      </c>
      <c r="Y135" s="1"/>
      <c r="Z135" s="1"/>
      <c r="AA135" s="1"/>
    </row>
    <row r="136" spans="1:27" x14ac:dyDescent="0.3">
      <c r="A136" s="1">
        <f>ROW(CantoralDB[[#This Row],[Título]])-1</f>
        <v>135</v>
      </c>
      <c r="B136" s="1" t="s">
        <v>2709</v>
      </c>
      <c r="C136" s="1"/>
      <c r="F136" s="1">
        <v>327</v>
      </c>
      <c r="J136" s="1"/>
      <c r="M136" s="15" t="s">
        <v>795</v>
      </c>
      <c r="N136" s="15"/>
      <c r="O136" s="15"/>
      <c r="P136" s="15" t="str" cm="1">
        <f t="array" ref="P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" s="15" t="str" cm="1">
        <f t="array" ref="Q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canciones/nuevas/haz_de_mi_una_ofrenda.html</v>
      </c>
      <c r="S136" s="1"/>
      <c r="T136" s="1"/>
      <c r="U136" s="1"/>
      <c r="V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href="canciones/nuevas/haz_de_mi_una_ofrenda.html"&gt;Haz de mí una ofrenda&lt;/a&gt;&lt;/li&gt;</v>
      </c>
      <c r="W136" s="15" t="str">
        <f>_xlfn.TEXTBEFORE(_xlfn.TEXTAFTER(CantoralDB[[#This Row],[index.html]],"&gt;"),"&gt;")&amp;"&gt;"</f>
        <v>&lt;a href="canciones/nuevas/haz_de_mi_una_ofrenda.html"&gt;</v>
      </c>
      <c r="Y136" s="1"/>
      <c r="Z136" s="1"/>
      <c r="AA136" s="1"/>
    </row>
    <row r="137" spans="1:27" x14ac:dyDescent="0.3">
      <c r="A137" s="1">
        <f>ROW(CantoralDB[[#This Row],[Título]])-1</f>
        <v>136</v>
      </c>
      <c r="B137" s="1" t="s">
        <v>2710</v>
      </c>
      <c r="C137" s="1"/>
      <c r="F137" s="1">
        <v>330</v>
      </c>
      <c r="J137" s="1"/>
      <c r="M137" s="15" t="s">
        <v>795</v>
      </c>
      <c r="N137" s="15"/>
      <c r="O137" s="15"/>
      <c r="P137" s="15" t="str" cm="1">
        <f t="array" ref="P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" s="15" t="str" cm="1">
        <f t="array" ref="Q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canciones/nuevas/cristo_maravilloso_eres_tu.html</v>
      </c>
      <c r="S137" s="1"/>
      <c r="T137" s="1"/>
      <c r="U137" s="1"/>
      <c r="V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href="canciones/nuevas/cristo_maravilloso_eres_tu.html"&gt;Cristo, maravilloso eres tú&lt;/a&gt;&lt;/li&gt;</v>
      </c>
      <c r="W137" s="15" t="str">
        <f>_xlfn.TEXTBEFORE(_xlfn.TEXTAFTER(CantoralDB[[#This Row],[index.html]],"&gt;"),"&gt;")&amp;"&gt;"</f>
        <v>&lt;a href="canciones/nuevas/cristo_maravilloso_eres_tu.html"&gt;</v>
      </c>
      <c r="Y137" s="1"/>
      <c r="Z137" s="1"/>
      <c r="AA137" s="1"/>
    </row>
    <row r="138" spans="1:27" x14ac:dyDescent="0.3">
      <c r="A138" s="1">
        <f>ROW(CantoralDB[[#This Row],[Título]])-1</f>
        <v>137</v>
      </c>
      <c r="B138" s="1" t="s">
        <v>2711</v>
      </c>
      <c r="C138" s="1"/>
      <c r="F138" s="1">
        <v>331</v>
      </c>
      <c r="J138" s="1"/>
      <c r="M138" s="15" t="s">
        <v>795</v>
      </c>
      <c r="N138" s="15"/>
      <c r="O138" s="15"/>
      <c r="P138" s="15" t="str" cm="1">
        <f t="array" ref="P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8" s="15" t="str" cm="1">
        <f t="array" ref="Q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canciones/nuevas/cantemos_al_señor.html</v>
      </c>
      <c r="S138" s="1"/>
      <c r="T138" s="1"/>
      <c r="U138" s="1"/>
      <c r="V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href="canciones/nuevas/cantemos_al_señor.html"&gt;Cantemos al Señor&lt;/a&gt;&lt;/li&gt;</v>
      </c>
      <c r="W138" s="15" t="str">
        <f>_xlfn.TEXTBEFORE(_xlfn.TEXTAFTER(CantoralDB[[#This Row],[index.html]],"&gt;"),"&gt;")&amp;"&gt;"</f>
        <v>&lt;a href="canciones/nuevas/cantemos_al_señor.html"&gt;</v>
      </c>
      <c r="Y138" s="1"/>
      <c r="Z138" s="1"/>
      <c r="AA138" s="1"/>
    </row>
    <row r="139" spans="1:27" x14ac:dyDescent="0.3">
      <c r="A139" s="1">
        <f>ROW(CantoralDB[[#This Row],[Título]])-1</f>
        <v>138</v>
      </c>
      <c r="B139" s="1" t="s">
        <v>2715</v>
      </c>
      <c r="C139" s="1"/>
      <c r="F139" s="1">
        <v>335</v>
      </c>
      <c r="J139" s="1"/>
      <c r="M139" s="15" t="s">
        <v>795</v>
      </c>
      <c r="N139" s="15"/>
      <c r="O139" s="15"/>
      <c r="P139" s="15" t="str" cm="1">
        <f t="array" ref="P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" s="15" t="str" cm="1">
        <f t="array" ref="Q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canciones/nuevas/no_hay_nadie_como_mi_dios.html</v>
      </c>
      <c r="S139" s="1"/>
      <c r="T139" s="1"/>
      <c r="U139" s="1"/>
      <c r="V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href="canciones/nuevas/no_hay_nadie_como_mi_dios.html"&gt;No hay nadie como mi Dios&lt;/a&gt;&lt;/li&gt;</v>
      </c>
      <c r="W139" s="15" t="str">
        <f>_xlfn.TEXTBEFORE(_xlfn.TEXTAFTER(CantoralDB[[#This Row],[index.html]],"&gt;"),"&gt;")&amp;"&gt;"</f>
        <v>&lt;a href="canciones/nuevas/no_hay_nadie_como_mi_dios.html"&gt;</v>
      </c>
      <c r="Y139" s="1"/>
      <c r="Z139" s="1"/>
      <c r="AA139" s="1"/>
    </row>
    <row r="140" spans="1:27" x14ac:dyDescent="0.3">
      <c r="A140" s="1">
        <f>ROW(CantoralDB[[#This Row],[Título]])-1</f>
        <v>139</v>
      </c>
      <c r="B140" s="1" t="s">
        <v>2716</v>
      </c>
      <c r="C140" s="1"/>
      <c r="F140" s="1">
        <v>336</v>
      </c>
      <c r="J140" s="1"/>
      <c r="M140" s="15" t="s">
        <v>795</v>
      </c>
      <c r="N140" s="15"/>
      <c r="O140" s="15"/>
      <c r="P140" s="15" t="str" cm="1">
        <f t="array" ref="P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" s="15" t="str" cm="1">
        <f t="array" ref="Q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canciones/nuevas/te_alabaran_oh_señor.html</v>
      </c>
      <c r="S140" s="1"/>
      <c r="T140" s="1"/>
      <c r="U140" s="1"/>
      <c r="V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href="canciones/nuevas/te_alabaran_oh_señor.html"&gt;Te alabarán, oh, Señor&lt;/a&gt;&lt;/li&gt;</v>
      </c>
      <c r="W140" s="15" t="str">
        <f>_xlfn.TEXTBEFORE(_xlfn.TEXTAFTER(CantoralDB[[#This Row],[index.html]],"&gt;"),"&gt;")&amp;"&gt;"</f>
        <v>&lt;a href="canciones/nuevas/te_alabaran_oh_señor.html"&gt;</v>
      </c>
      <c r="Y140" s="1"/>
      <c r="Z140" s="1"/>
      <c r="AA140" s="1"/>
    </row>
    <row r="141" spans="1:27" x14ac:dyDescent="0.3">
      <c r="A141" s="1">
        <f>ROW(CantoralDB[[#This Row],[Título]])-1</f>
        <v>140</v>
      </c>
      <c r="B141" s="1" t="s">
        <v>2722</v>
      </c>
      <c r="C141" s="1"/>
      <c r="F141" s="1">
        <v>342</v>
      </c>
      <c r="J141" s="1"/>
      <c r="M141" s="15" t="s">
        <v>795</v>
      </c>
      <c r="N141" s="15"/>
      <c r="O141" s="15"/>
      <c r="P141" s="15" t="str" cm="1">
        <f t="array" ref="P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1" s="15" t="str" cm="1">
        <f t="array" ref="Q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canciones/nuevas/queremos_ser.html</v>
      </c>
      <c r="S141" s="1"/>
      <c r="T141" s="1"/>
      <c r="U141" s="1"/>
      <c r="V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href="canciones/nuevas/queremos_ser.html"&gt;Queremos ser&lt;/a&gt;&lt;/li&gt;</v>
      </c>
      <c r="W141" s="15" t="str">
        <f>_xlfn.TEXTBEFORE(_xlfn.TEXTAFTER(CantoralDB[[#This Row],[index.html]],"&gt;"),"&gt;")&amp;"&gt;"</f>
        <v>&lt;a href="canciones/nuevas/queremos_ser.html"&gt;</v>
      </c>
      <c r="Y141" s="1"/>
      <c r="Z141" s="1"/>
      <c r="AA141" s="1"/>
    </row>
    <row r="142" spans="1:27" x14ac:dyDescent="0.3">
      <c r="A142" s="1">
        <f>ROW(CantoralDB[[#This Row],[Título]])-1</f>
        <v>141</v>
      </c>
      <c r="B142" s="1" t="s">
        <v>2723</v>
      </c>
      <c r="C142" s="1"/>
      <c r="F142" s="1">
        <v>343</v>
      </c>
      <c r="J142" s="1"/>
      <c r="M142" s="15" t="s">
        <v>795</v>
      </c>
      <c r="N142" s="15"/>
      <c r="O142" s="15"/>
      <c r="P142" s="15" t="str" cm="1">
        <f t="array" ref="P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" s="15" t="str" cm="1">
        <f t="array" ref="Q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canciones/nuevas/quiero_llenar_tu_trono_de_alabanza.html</v>
      </c>
      <c r="S142" s="1"/>
      <c r="T142" s="1"/>
      <c r="U142" s="1"/>
      <c r="V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href="canciones/nuevas/quiero_llenar_tu_trono_de_alabanza.html"&gt;Quiero llenar tu trono de alabanza&lt;/a&gt;&lt;/li&gt;</v>
      </c>
      <c r="W142" s="15" t="str">
        <f>_xlfn.TEXTBEFORE(_xlfn.TEXTAFTER(CantoralDB[[#This Row],[index.html]],"&gt;"),"&gt;")&amp;"&gt;"</f>
        <v>&lt;a href="canciones/nuevas/quiero_llenar_tu_trono_de_alabanza.html"&gt;</v>
      </c>
      <c r="Y142" s="1"/>
      <c r="Z142" s="1"/>
      <c r="AA142" s="1"/>
    </row>
    <row r="143" spans="1:27" x14ac:dyDescent="0.3">
      <c r="A143" s="1">
        <f>ROW(CantoralDB[[#This Row],[Título]])-1</f>
        <v>142</v>
      </c>
      <c r="B143" s="1" t="s">
        <v>2729</v>
      </c>
      <c r="C143" s="1"/>
      <c r="F143" s="1">
        <v>347</v>
      </c>
      <c r="J143" s="1"/>
      <c r="M143" s="15" t="s">
        <v>795</v>
      </c>
      <c r="N143" s="15"/>
      <c r="O143" s="15"/>
      <c r="P143" s="15" t="str" cm="1">
        <f t="array" ref="P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3" s="15" t="str" cm="1">
        <f t="array" ref="Q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canciones/nuevas/dios_me_ama_y_yo_le_amo.html</v>
      </c>
      <c r="S143" s="1"/>
      <c r="T143" s="1"/>
      <c r="U143" s="1"/>
      <c r="V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href="canciones/nuevas/dios_me_ama_y_yo_le_amo.html"&gt;Dios me ama y yo le amo&lt;/a&gt;&lt;/li&gt;</v>
      </c>
      <c r="W143" s="15" t="str">
        <f>_xlfn.TEXTBEFORE(_xlfn.TEXTAFTER(CantoralDB[[#This Row],[index.html]],"&gt;"),"&gt;")&amp;"&gt;"</f>
        <v>&lt;a href="canciones/nuevas/dios_me_ama_y_yo_le_amo.html"&gt;</v>
      </c>
      <c r="Y143" s="1"/>
      <c r="Z143" s="1"/>
      <c r="AA143" s="1"/>
    </row>
    <row r="144" spans="1:27" x14ac:dyDescent="0.3">
      <c r="A144" s="1">
        <f>ROW(CantoralDB[[#This Row],[Título]])-1</f>
        <v>143</v>
      </c>
      <c r="B144" s="1" t="s">
        <v>2732</v>
      </c>
      <c r="C144" s="1"/>
      <c r="F144" s="1">
        <v>349</v>
      </c>
      <c r="J144" s="1"/>
      <c r="M144" s="15" t="s">
        <v>795</v>
      </c>
      <c r="N144" s="15"/>
      <c r="O144" s="15"/>
      <c r="P144" s="15" t="str" cm="1">
        <f t="array" ref="P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4" s="15" t="str" cm="1">
        <f t="array" ref="Q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canciones/nuevas/vamos_a_bendecir_al_señor.html</v>
      </c>
      <c r="S144" s="1"/>
      <c r="T144" s="1"/>
      <c r="U144" s="1"/>
      <c r="V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href="canciones/nuevas/vamos_a_bendecir_al_señor.html"&gt;Vamos a bendecir al Señor&lt;/a&gt;&lt;/li&gt;</v>
      </c>
      <c r="W144" s="15" t="str">
        <f>_xlfn.TEXTBEFORE(_xlfn.TEXTAFTER(CantoralDB[[#This Row],[index.html]],"&gt;"),"&gt;")&amp;"&gt;"</f>
        <v>&lt;a href="canciones/nuevas/vamos_a_bendecir_al_señor.html"&gt;</v>
      </c>
      <c r="Y144" s="1"/>
      <c r="Z144" s="1"/>
      <c r="AA144" s="1"/>
    </row>
    <row r="145" spans="1:27" x14ac:dyDescent="0.3">
      <c r="A145" s="1">
        <f>ROW(CantoralDB[[#This Row],[Título]])-1</f>
        <v>144</v>
      </c>
      <c r="B145" s="1" t="s">
        <v>2735</v>
      </c>
      <c r="C145" s="1"/>
      <c r="F145" s="1">
        <v>351</v>
      </c>
      <c r="J145" s="1"/>
      <c r="M145" s="15" t="s">
        <v>795</v>
      </c>
      <c r="N145" s="15"/>
      <c r="O145" s="15"/>
      <c r="P145" s="15" t="str" cm="1">
        <f t="array" ref="P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5" s="15" t="str" cm="1">
        <f t="array" ref="Q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canciones/nuevas/yo_cantare_tus_alabanzas.html</v>
      </c>
      <c r="S145" s="1"/>
      <c r="T145" s="1"/>
      <c r="U145" s="1"/>
      <c r="V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href="canciones/nuevas/yo_cantare_tus_alabanzas.html"&gt;Yo cantaré tus alabanzas&lt;/a&gt;&lt;/li&gt;</v>
      </c>
      <c r="W145" s="15" t="str">
        <f>_xlfn.TEXTBEFORE(_xlfn.TEXTAFTER(CantoralDB[[#This Row],[index.html]],"&gt;"),"&gt;")&amp;"&gt;"</f>
        <v>&lt;a href="canciones/nuevas/yo_cantare_tus_alabanzas.html"&gt;</v>
      </c>
      <c r="Y145" s="1"/>
      <c r="Z145" s="1"/>
      <c r="AA145" s="1"/>
    </row>
    <row r="146" spans="1:27" x14ac:dyDescent="0.3">
      <c r="A146" s="1">
        <f>ROW(CantoralDB[[#This Row],[Título]])-1</f>
        <v>145</v>
      </c>
      <c r="B146" s="1" t="s">
        <v>2736</v>
      </c>
      <c r="C146" s="1"/>
      <c r="F146" s="1">
        <v>352</v>
      </c>
      <c r="J146" s="1"/>
      <c r="M146" s="15" t="s">
        <v>795</v>
      </c>
      <c r="N146" s="15"/>
      <c r="O146" s="15"/>
      <c r="P146" s="15" t="str" cm="1">
        <f t="array" ref="P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6" s="15" t="str" cm="1">
        <f t="array" ref="Q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canciones/nuevas/hay_una_fuente_en_mi.html</v>
      </c>
      <c r="S146" s="1"/>
      <c r="T146" s="1"/>
      <c r="U146" s="1"/>
      <c r="V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href="canciones/nuevas/hay_una_fuente_en_mi.html"&gt;Hay una fuente en mí&lt;/a&gt;&lt;/li&gt;</v>
      </c>
      <c r="W146" s="15" t="str">
        <f>_xlfn.TEXTBEFORE(_xlfn.TEXTAFTER(CantoralDB[[#This Row],[index.html]],"&gt;"),"&gt;")&amp;"&gt;"</f>
        <v>&lt;a href="canciones/nuevas/hay_una_fuente_en_mi.html"&gt;</v>
      </c>
      <c r="Y146" s="1"/>
      <c r="Z146" s="1"/>
      <c r="AA146" s="1"/>
    </row>
    <row r="147" spans="1:27" x14ac:dyDescent="0.3">
      <c r="A147" s="1">
        <f>ROW(CantoralDB[[#This Row],[Título]])-1</f>
        <v>146</v>
      </c>
      <c r="B147" s="1" t="s">
        <v>2740</v>
      </c>
      <c r="C147" s="1"/>
      <c r="F147" s="1">
        <v>356</v>
      </c>
      <c r="J147" s="1"/>
      <c r="M147" s="15" t="s">
        <v>795</v>
      </c>
      <c r="N147" s="15"/>
      <c r="O147" s="15"/>
      <c r="P147" s="15" t="str" cm="1">
        <f t="array" ref="P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7" s="15" t="str" cm="1">
        <f t="array" ref="Q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canciones/nuevas/reina_en_mi.html</v>
      </c>
      <c r="S147" s="1"/>
      <c r="T147" s="1"/>
      <c r="U147" s="1"/>
      <c r="V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href="canciones/nuevas/reina_en_mi.html"&gt;Reina en mí&lt;/a&gt;&lt;/li&gt;</v>
      </c>
      <c r="W147" s="15" t="str">
        <f>_xlfn.TEXTBEFORE(_xlfn.TEXTAFTER(CantoralDB[[#This Row],[index.html]],"&gt;"),"&gt;")&amp;"&gt;"</f>
        <v>&lt;a href="canciones/nuevas/reina_en_mi.html"&gt;</v>
      </c>
      <c r="Y147" s="1"/>
      <c r="Z147" s="1"/>
      <c r="AA147" s="1"/>
    </row>
    <row r="148" spans="1:27" x14ac:dyDescent="0.3">
      <c r="A148" s="1">
        <f>ROW(CantoralDB[[#This Row],[Título]])-1</f>
        <v>147</v>
      </c>
      <c r="B148" s="1" t="s">
        <v>2745</v>
      </c>
      <c r="C148" s="1"/>
      <c r="F148" s="1">
        <v>360</v>
      </c>
      <c r="J148" s="1"/>
      <c r="M148" s="15" t="s">
        <v>795</v>
      </c>
      <c r="N148" s="15"/>
      <c r="O148" s="15"/>
      <c r="P148" s="15" t="str" cm="1">
        <f t="array" ref="P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" s="15" t="str" cm="1">
        <f t="array" ref="Q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canciones/nuevas/adonai.html</v>
      </c>
      <c r="S148" s="1"/>
      <c r="T148" s="1"/>
      <c r="U148" s="1"/>
      <c r="V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href="canciones/nuevas/adonai.html"&gt;Adonai&lt;/a&gt;&lt;/li&gt;</v>
      </c>
      <c r="W148" s="15" t="str">
        <f>_xlfn.TEXTBEFORE(_xlfn.TEXTAFTER(CantoralDB[[#This Row],[index.html]],"&gt;"),"&gt;")&amp;"&gt;"</f>
        <v>&lt;a href="canciones/nuevas/adonai.html"&gt;</v>
      </c>
      <c r="Y148" s="1"/>
      <c r="Z148" s="1"/>
      <c r="AA148" s="1"/>
    </row>
    <row r="149" spans="1:27" x14ac:dyDescent="0.3">
      <c r="A149" s="1">
        <f>ROW(CantoralDB[[#This Row],[Título]])-1</f>
        <v>148</v>
      </c>
      <c r="B149" s="1" t="s">
        <v>2747</v>
      </c>
      <c r="C149" s="1"/>
      <c r="F149" s="1">
        <v>362</v>
      </c>
      <c r="J149" s="1"/>
      <c r="M149" s="15" t="s">
        <v>795</v>
      </c>
      <c r="N149" s="15"/>
      <c r="O149" s="15"/>
      <c r="P149" s="15" t="str" cm="1">
        <f t="array" ref="P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" s="15" t="str" cm="1">
        <f t="array" ref="Q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canciones/nuevas/exaltando_a_jesus.html</v>
      </c>
      <c r="S149" s="1"/>
      <c r="T149" s="1"/>
      <c r="U149" s="1"/>
      <c r="V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href="canciones/nuevas/exaltando_a_jesus.html"&gt;Exaltando a Jesús&lt;/a&gt;&lt;/li&gt;</v>
      </c>
      <c r="W149" s="15" t="str">
        <f>_xlfn.TEXTBEFORE(_xlfn.TEXTAFTER(CantoralDB[[#This Row],[index.html]],"&gt;"),"&gt;")&amp;"&gt;"</f>
        <v>&lt;a href="canciones/nuevas/exaltando_a_jesus.html"&gt;</v>
      </c>
      <c r="Y149" s="1"/>
      <c r="Z149" s="1"/>
      <c r="AA149" s="1"/>
    </row>
    <row r="150" spans="1:27" x14ac:dyDescent="0.3">
      <c r="A150" s="1">
        <f>ROW(CantoralDB[[#This Row],[Título]])-1</f>
        <v>149</v>
      </c>
      <c r="B150" s="1" t="s">
        <v>2748</v>
      </c>
      <c r="C150" s="1"/>
      <c r="F150" s="1">
        <v>363</v>
      </c>
      <c r="J150" s="1"/>
      <c r="M150" s="15" t="s">
        <v>795</v>
      </c>
      <c r="N150" s="15"/>
      <c r="O150" s="15"/>
      <c r="P150" s="15" t="str" cm="1">
        <f t="array" ref="P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" s="15" t="str" cm="1">
        <f t="array" ref="Q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canciones/nuevas/ante_su_nombre_todo_caera.html</v>
      </c>
      <c r="S150" s="1"/>
      <c r="T150" s="1"/>
      <c r="U150" s="1"/>
      <c r="V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href="canciones/nuevas/ante_su_nombre_todo_caera.html"&gt;Ante su nombre todo caerá&lt;/a&gt;&lt;/li&gt;</v>
      </c>
      <c r="W150" s="15" t="str">
        <f>_xlfn.TEXTBEFORE(_xlfn.TEXTAFTER(CantoralDB[[#This Row],[index.html]],"&gt;"),"&gt;")&amp;"&gt;"</f>
        <v>&lt;a href="canciones/nuevas/ante_su_nombre_todo_caera.html"&gt;</v>
      </c>
      <c r="Y150" s="1"/>
      <c r="Z150" s="1"/>
      <c r="AA150" s="1"/>
    </row>
    <row r="151" spans="1:27" x14ac:dyDescent="0.3">
      <c r="A151" s="1">
        <f>ROW(CantoralDB[[#This Row],[Título]])-1</f>
        <v>150</v>
      </c>
      <c r="B151" s="1" t="s">
        <v>885</v>
      </c>
      <c r="C151" s="1"/>
      <c r="F151" s="1">
        <v>364</v>
      </c>
      <c r="J151" s="1"/>
      <c r="M151" s="15" t="s">
        <v>795</v>
      </c>
      <c r="N151" s="15"/>
      <c r="O151" s="15"/>
      <c r="P151" s="15" t="str" cm="1">
        <f t="array" ref="P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1" s="15" t="str" cm="1">
        <f t="array" ref="Q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S151" s="1"/>
      <c r="T151" s="1"/>
      <c r="U151" s="1"/>
      <c r="V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href="canciones/nuevas/bendecid_al_señor.html"&gt;Bendecid al Señor&lt;/a&gt;&lt;/li&gt;</v>
      </c>
      <c r="W151" s="15" t="str">
        <f>_xlfn.TEXTBEFORE(_xlfn.TEXTAFTER(CantoralDB[[#This Row],[index.html]],"&gt;"),"&gt;")&amp;"&gt;"</f>
        <v>&lt;a href="canciones/nuevas/bendecid_al_señor.html"&gt;</v>
      </c>
      <c r="Y151" s="1"/>
      <c r="Z151" s="1"/>
      <c r="AA151" s="1"/>
    </row>
    <row r="152" spans="1:27" x14ac:dyDescent="0.3">
      <c r="A152" s="1">
        <f>ROW(CantoralDB[[#This Row],[Título]])-1</f>
        <v>151</v>
      </c>
      <c r="B152" s="1" t="s">
        <v>2755</v>
      </c>
      <c r="C152" s="1"/>
      <c r="F152" s="1">
        <v>371</v>
      </c>
      <c r="J152" s="1"/>
      <c r="M152" s="15" t="s">
        <v>795</v>
      </c>
      <c r="N152" s="15"/>
      <c r="O152" s="15"/>
      <c r="P152" s="15" t="str" cm="1">
        <f t="array" ref="P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2" s="15" t="str" cm="1">
        <f t="array" ref="Q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canciones/nuevas/te_damos_gloria.html</v>
      </c>
      <c r="S152" s="1"/>
      <c r="T152" s="1"/>
      <c r="U152" s="1"/>
      <c r="V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href="canciones/nuevas/te_damos_gloria.html"&gt;Te damos gloria&lt;/a&gt;&lt;/li&gt;</v>
      </c>
      <c r="W152" s="15" t="str">
        <f>_xlfn.TEXTBEFORE(_xlfn.TEXTAFTER(CantoralDB[[#This Row],[index.html]],"&gt;"),"&gt;")&amp;"&gt;"</f>
        <v>&lt;a href="canciones/nuevas/te_damos_gloria.html"&gt;</v>
      </c>
      <c r="Y152" s="1"/>
      <c r="Z152" s="1"/>
      <c r="AA152" s="1"/>
    </row>
    <row r="153" spans="1:27" x14ac:dyDescent="0.3">
      <c r="A153" s="1">
        <f>ROW(CantoralDB[[#This Row],[Título]])-1</f>
        <v>152</v>
      </c>
      <c r="B153" s="1" t="s">
        <v>2760</v>
      </c>
      <c r="C153" s="1"/>
      <c r="F153" s="1">
        <v>374</v>
      </c>
      <c r="J153" s="1"/>
      <c r="M153" s="15" t="s">
        <v>795</v>
      </c>
      <c r="N153" s="15"/>
      <c r="O153" s="15"/>
      <c r="P153" s="15" t="str" cm="1">
        <f t="array" ref="P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3" s="15" t="str" cm="1">
        <f t="array" ref="Q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canciones/nuevas/en_el_cielo_se_oye.html</v>
      </c>
      <c r="S153" s="1"/>
      <c r="T153" s="1"/>
      <c r="U153" s="1"/>
      <c r="V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href="canciones/nuevas/en_el_cielo_se_oye.html"&gt;En el cielo se oye&lt;/a&gt;&lt;/li&gt;</v>
      </c>
      <c r="W153" s="15" t="str">
        <f>_xlfn.TEXTBEFORE(_xlfn.TEXTAFTER(CantoralDB[[#This Row],[index.html]],"&gt;"),"&gt;")&amp;"&gt;"</f>
        <v>&lt;a href="canciones/nuevas/en_el_cielo_se_oye.html"&gt;</v>
      </c>
      <c r="Y153" s="1"/>
      <c r="Z153" s="1"/>
      <c r="AA153" s="1"/>
    </row>
    <row r="154" spans="1:27" x14ac:dyDescent="0.3">
      <c r="A154" s="1">
        <f>ROW(CantoralDB[[#This Row],[Título]])-1</f>
        <v>153</v>
      </c>
      <c r="B154" s="1" t="s">
        <v>2765</v>
      </c>
      <c r="C154" s="1"/>
      <c r="F154" s="1">
        <v>378</v>
      </c>
      <c r="J154" s="1"/>
      <c r="M154" s="15" t="s">
        <v>795</v>
      </c>
      <c r="N154" s="15"/>
      <c r="O154" s="15"/>
      <c r="P154" s="15" t="str" cm="1">
        <f t="array" ref="P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4" s="15" t="str" cm="1">
        <f t="array" ref="Q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canciones/nuevas/mi_pensamiento_eres_tu.html</v>
      </c>
      <c r="S154" s="1"/>
      <c r="T154" s="1"/>
      <c r="U154" s="1"/>
      <c r="V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href="canciones/nuevas/mi_pensamiento_eres_tu.html"&gt;Mi pensamiento eres tú&lt;/a&gt;&lt;/li&gt;</v>
      </c>
      <c r="W154" s="15" t="str">
        <f>_xlfn.TEXTBEFORE(_xlfn.TEXTAFTER(CantoralDB[[#This Row],[index.html]],"&gt;"),"&gt;")&amp;"&gt;"</f>
        <v>&lt;a href="canciones/nuevas/mi_pensamiento_eres_tu.html"&gt;</v>
      </c>
      <c r="Y154" s="1"/>
      <c r="Z154" s="1"/>
      <c r="AA154" s="1"/>
    </row>
    <row r="155" spans="1:27" x14ac:dyDescent="0.3">
      <c r="A155" s="1">
        <f>ROW(CantoralDB[[#This Row],[Título]])-1</f>
        <v>154</v>
      </c>
      <c r="B155" s="1" t="s">
        <v>2776</v>
      </c>
      <c r="C155" s="1"/>
      <c r="F155" s="1">
        <v>388</v>
      </c>
      <c r="J155" s="1"/>
      <c r="M155" s="15" t="s">
        <v>795</v>
      </c>
      <c r="N155" s="15"/>
      <c r="O155" s="15"/>
      <c r="P155" s="15" t="str" cm="1">
        <f t="array" ref="P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5" s="15" t="str" cm="1">
        <f t="array" ref="Q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canciones/nuevas/se_encienden_las_velas.html</v>
      </c>
      <c r="S155" s="1"/>
      <c r="T155" s="1"/>
      <c r="U155" s="1"/>
      <c r="V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href="canciones/nuevas/se_encienden_las_velas.html"&gt;Se encienden las velas&lt;/a&gt;&lt;/li&gt;</v>
      </c>
      <c r="W155" s="15" t="str">
        <f>_xlfn.TEXTBEFORE(_xlfn.TEXTAFTER(CantoralDB[[#This Row],[index.html]],"&gt;"),"&gt;")&amp;"&gt;"</f>
        <v>&lt;a href="canciones/nuevas/se_encienden_las_velas.html"&gt;</v>
      </c>
      <c r="Y155" s="1"/>
      <c r="Z155" s="1"/>
      <c r="AA155" s="1"/>
    </row>
    <row r="156" spans="1:27" x14ac:dyDescent="0.3">
      <c r="A156" s="1">
        <f>ROW(CantoralDB[[#This Row],[Título]])-1</f>
        <v>155</v>
      </c>
      <c r="B156" s="1" t="s">
        <v>2782</v>
      </c>
      <c r="C156" s="1"/>
      <c r="F156" s="1">
        <v>391</v>
      </c>
      <c r="J156" s="1"/>
      <c r="M156" s="15" t="s">
        <v>795</v>
      </c>
      <c r="N156" s="15"/>
      <c r="O156" s="15"/>
      <c r="P156" s="15" t="str" cm="1">
        <f t="array" ref="P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6" s="15" t="str" cm="1">
        <f t="array" ref="Q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canciones/nuevas/cuando_cristo_venga_en_gloria.html</v>
      </c>
      <c r="S156" s="1"/>
      <c r="T156" s="1"/>
      <c r="U156" s="1"/>
      <c r="V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href="canciones/nuevas/cuando_cristo_venga_en_gloria.html"&gt;Cuando Cristo venga en gloria&lt;/a&gt;&lt;/li&gt;</v>
      </c>
      <c r="W156" s="15" t="str">
        <f>_xlfn.TEXTBEFORE(_xlfn.TEXTAFTER(CantoralDB[[#This Row],[index.html]],"&gt;"),"&gt;")&amp;"&gt;"</f>
        <v>&lt;a href="canciones/nuevas/cuando_cristo_venga_en_gloria.html"&gt;</v>
      </c>
      <c r="Y156" s="1"/>
      <c r="Z156" s="1"/>
      <c r="AA156" s="1"/>
    </row>
    <row r="157" spans="1:27" x14ac:dyDescent="0.3">
      <c r="A157" s="1">
        <f>ROW(CantoralDB[[#This Row],[Título]])-1</f>
        <v>156</v>
      </c>
      <c r="B157" s="1" t="s">
        <v>2783</v>
      </c>
      <c r="C157" s="1"/>
      <c r="F157" s="1">
        <v>392</v>
      </c>
      <c r="J157" s="1"/>
      <c r="M157" s="15" t="s">
        <v>795</v>
      </c>
      <c r="N157" s="15"/>
      <c r="O157" s="15"/>
      <c r="P157" s="15" t="str" cm="1">
        <f t="array" ref="P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7" s="15" t="str" cm="1">
        <f t="array" ref="Q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canciones/nuevas/me_llaman_aleluya.html</v>
      </c>
      <c r="S157" s="1"/>
      <c r="T157" s="1"/>
      <c r="U157" s="1"/>
      <c r="V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href="canciones/nuevas/me_llaman_aleluya.html"&gt;Me llaman aleluya&lt;/a&gt;&lt;/li&gt;</v>
      </c>
      <c r="W157" s="15" t="str">
        <f>_xlfn.TEXTBEFORE(_xlfn.TEXTAFTER(CantoralDB[[#This Row],[index.html]],"&gt;"),"&gt;")&amp;"&gt;"</f>
        <v>&lt;a href="canciones/nuevas/me_llaman_aleluya.html"&gt;</v>
      </c>
      <c r="Y157" s="1"/>
      <c r="Z157" s="1"/>
      <c r="AA157" s="1"/>
    </row>
    <row r="158" spans="1:27" x14ac:dyDescent="0.3">
      <c r="A158" s="1">
        <f>ROW(CantoralDB[[#This Row],[Título]])-1</f>
        <v>157</v>
      </c>
      <c r="B158" s="1" t="s">
        <v>2784</v>
      </c>
      <c r="C158" s="1"/>
      <c r="F158" s="1">
        <v>393</v>
      </c>
      <c r="J158" s="1"/>
      <c r="M158" s="15" t="s">
        <v>795</v>
      </c>
      <c r="N158" s="15"/>
      <c r="O158" s="15"/>
      <c r="P158" s="15" t="str" cm="1">
        <f t="array" ref="P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8" s="15" t="str" cm="1">
        <f t="array" ref="Q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canciones/nuevas/y_es_que_tengo_un_fuego.html</v>
      </c>
      <c r="S158" s="1"/>
      <c r="T158" s="1"/>
      <c r="U158" s="1"/>
      <c r="V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href="canciones/nuevas/y_es_que_tengo_un_fuego.html"&gt;Y es que tengo un fuego&lt;/a&gt;&lt;/li&gt;</v>
      </c>
      <c r="W158" s="15" t="str">
        <f>_xlfn.TEXTBEFORE(_xlfn.TEXTAFTER(CantoralDB[[#This Row],[index.html]],"&gt;"),"&gt;")&amp;"&gt;"</f>
        <v>&lt;a href="canciones/nuevas/y_es_que_tengo_un_fuego.html"&gt;</v>
      </c>
      <c r="Y158" s="1"/>
      <c r="Z158" s="1"/>
      <c r="AA158" s="1"/>
    </row>
    <row r="159" spans="1:27" x14ac:dyDescent="0.3">
      <c r="A159" s="1">
        <f>ROW(CantoralDB[[#This Row],[Título]])-1</f>
        <v>158</v>
      </c>
      <c r="B159" s="1" t="s">
        <v>2789</v>
      </c>
      <c r="C159" s="1"/>
      <c r="F159" s="1">
        <v>397</v>
      </c>
      <c r="J159" s="1"/>
      <c r="M159" s="15" t="s">
        <v>795</v>
      </c>
      <c r="N159" s="15"/>
      <c r="O159" s="15"/>
      <c r="P159" s="15" t="str" cm="1">
        <f t="array" ref="P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9" s="15" t="str" cm="1">
        <f t="array" ref="Q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canciones/nuevas/siento_que_tus_ojos_me_miran.html</v>
      </c>
      <c r="S159" s="1"/>
      <c r="T159" s="1"/>
      <c r="U159" s="1"/>
      <c r="V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href="canciones/nuevas/siento_que_tus_ojos_me_miran.html"&gt;Siento que tus ojos me miran&lt;/a&gt;&lt;/li&gt;</v>
      </c>
      <c r="W159" s="15" t="str">
        <f>_xlfn.TEXTBEFORE(_xlfn.TEXTAFTER(CantoralDB[[#This Row],[index.html]],"&gt;"),"&gt;")&amp;"&gt;"</f>
        <v>&lt;a href="canciones/nuevas/siento_que_tus_ojos_me_miran.html"&gt;</v>
      </c>
      <c r="Y159" s="1"/>
      <c r="Z159" s="1"/>
      <c r="AA159" s="1"/>
    </row>
    <row r="160" spans="1:27" x14ac:dyDescent="0.3">
      <c r="A160" s="1">
        <f>ROW(CantoralDB[[#This Row],[Título]])-1</f>
        <v>159</v>
      </c>
      <c r="B160" s="1" t="s">
        <v>2791</v>
      </c>
      <c r="C160" s="1"/>
      <c r="F160" s="1">
        <v>398</v>
      </c>
      <c r="J160" s="1"/>
      <c r="M160" s="15" t="s">
        <v>795</v>
      </c>
      <c r="N160" s="15"/>
      <c r="O160" s="15"/>
      <c r="P160" s="15" t="str" cm="1">
        <f t="array" ref="P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0" s="15" t="str" cm="1">
        <f t="array" ref="Q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canciones/nuevas/señor_llevame_a_tus_atrios.html</v>
      </c>
      <c r="S160" s="1"/>
      <c r="T160" s="1"/>
      <c r="U160" s="1"/>
      <c r="V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href="canciones/nuevas/señor_llevame_a_tus_atrios.html"&gt;Señor, llévame a tus atrios&lt;/a&gt;&lt;/li&gt;</v>
      </c>
      <c r="W160" s="15" t="str">
        <f>_xlfn.TEXTBEFORE(_xlfn.TEXTAFTER(CantoralDB[[#This Row],[index.html]],"&gt;"),"&gt;")&amp;"&gt;"</f>
        <v>&lt;a href="canciones/nuevas/señor_llevame_a_tus_atrios.html"&gt;</v>
      </c>
      <c r="Y160" s="1"/>
      <c r="Z160" s="1"/>
      <c r="AA160" s="1"/>
    </row>
    <row r="161" spans="1:27" x14ac:dyDescent="0.3">
      <c r="A161" s="1">
        <f>ROW(CantoralDB[[#This Row],[Título]])-1</f>
        <v>160</v>
      </c>
      <c r="B161" s="1" t="s">
        <v>2792</v>
      </c>
      <c r="C161" s="1"/>
      <c r="F161" s="1">
        <v>399</v>
      </c>
      <c r="J161" s="1"/>
      <c r="M161" s="15" t="s">
        <v>795</v>
      </c>
      <c r="N161" s="15"/>
      <c r="O161" s="15"/>
      <c r="P161" s="15" t="str" cm="1">
        <f t="array" ref="P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1" s="15" t="str" cm="1">
        <f t="array" ref="Q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canciones/nuevas/porque_tu_eres_bueno.html</v>
      </c>
      <c r="S161" s="1"/>
      <c r="T161" s="1"/>
      <c r="U161" s="1"/>
      <c r="V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href="canciones/nuevas/porque_tu_eres_bueno.html"&gt;Porque tú eres bueno&lt;/a&gt;&lt;/li&gt;</v>
      </c>
      <c r="W161" s="15" t="str">
        <f>_xlfn.TEXTBEFORE(_xlfn.TEXTAFTER(CantoralDB[[#This Row],[index.html]],"&gt;"),"&gt;")&amp;"&gt;"</f>
        <v>&lt;a href="canciones/nuevas/porque_tu_eres_bueno.html"&gt;</v>
      </c>
      <c r="Y161" s="1"/>
      <c r="Z161" s="1"/>
      <c r="AA161" s="1"/>
    </row>
    <row r="162" spans="1:27" x14ac:dyDescent="0.3">
      <c r="A162" s="1">
        <f>ROW(CantoralDB[[#This Row],[Título]])-1</f>
        <v>161</v>
      </c>
      <c r="B162" s="1" t="s">
        <v>2793</v>
      </c>
      <c r="C162" s="1"/>
      <c r="F162" s="1">
        <v>402</v>
      </c>
      <c r="J162" s="1"/>
      <c r="M162" s="15" t="s">
        <v>795</v>
      </c>
      <c r="N162" s="15"/>
      <c r="O162" s="15"/>
      <c r="P162" s="15" t="str" cm="1">
        <f t="array" ref="P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2" s="15" t="str" cm="1">
        <f t="array" ref="Q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canciones/nuevas/yo_te_adoro_señor.html</v>
      </c>
      <c r="S162" s="1"/>
      <c r="T162" s="1"/>
      <c r="U162" s="1"/>
      <c r="V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href="canciones/nuevas/yo_te_adoro_señor.html"&gt;Yo te adoro, Señor&lt;/a&gt;&lt;/li&gt;</v>
      </c>
      <c r="W162" s="15" t="str">
        <f>_xlfn.TEXTBEFORE(_xlfn.TEXTAFTER(CantoralDB[[#This Row],[index.html]],"&gt;"),"&gt;")&amp;"&gt;"</f>
        <v>&lt;a href="canciones/nuevas/yo_te_adoro_señor.html"&gt;</v>
      </c>
      <c r="Y162" s="1"/>
      <c r="Z162" s="1"/>
      <c r="AA162" s="1"/>
    </row>
    <row r="163" spans="1:27" x14ac:dyDescent="0.3">
      <c r="A163" s="1">
        <f>ROW(CantoralDB[[#This Row],[Título]])-1</f>
        <v>162</v>
      </c>
      <c r="B163" s="1" t="s">
        <v>2794</v>
      </c>
      <c r="C163" s="1"/>
      <c r="F163" s="1">
        <v>403</v>
      </c>
      <c r="J163" s="1"/>
      <c r="M163" s="15" t="s">
        <v>795</v>
      </c>
      <c r="N163" s="15"/>
      <c r="O163" s="15"/>
      <c r="P163" s="15" t="str" cm="1">
        <f t="array" ref="P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3" s="15" t="str" cm="1">
        <f t="array" ref="Q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canciones/nuevas/la_paz_este_con_nosotros.html</v>
      </c>
      <c r="S163" s="1"/>
      <c r="T163" s="1"/>
      <c r="U163" s="1"/>
      <c r="V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href="canciones/nuevas/la_paz_este_con_nosotros.html"&gt;La paz esté con nosotros&lt;/a&gt;&lt;/li&gt;</v>
      </c>
      <c r="W163" s="15" t="str">
        <f>_xlfn.TEXTBEFORE(_xlfn.TEXTAFTER(CantoralDB[[#This Row],[index.html]],"&gt;"),"&gt;")&amp;"&gt;"</f>
        <v>&lt;a href="canciones/nuevas/la_paz_este_con_nosotros.html"&gt;</v>
      </c>
      <c r="Y163" s="1"/>
      <c r="Z163" s="1"/>
      <c r="AA163" s="1"/>
    </row>
    <row r="164" spans="1:27" x14ac:dyDescent="0.3">
      <c r="A164" s="1">
        <f>ROW(CantoralDB[[#This Row],[Título]])-1</f>
        <v>163</v>
      </c>
      <c r="B164" s="1" t="s">
        <v>2810</v>
      </c>
      <c r="C164" s="1"/>
      <c r="F164" s="1">
        <v>413</v>
      </c>
      <c r="J164" s="1"/>
      <c r="M164" s="15" t="s">
        <v>795</v>
      </c>
      <c r="N164" s="15"/>
      <c r="O164" s="15"/>
      <c r="P164" s="15" t="str" cm="1">
        <f t="array" ref="P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4" s="15" t="str" cm="1">
        <f t="array" ref="Q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canciones/nuevas/es_la_confianza.html</v>
      </c>
      <c r="S164" s="1"/>
      <c r="T164" s="1"/>
      <c r="U164" s="1"/>
      <c r="V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href="canciones/nuevas/es_la_confianza.html"&gt;Es la confianza&lt;/a&gt;&lt;/li&gt;</v>
      </c>
      <c r="W164" s="15" t="str">
        <f>_xlfn.TEXTBEFORE(_xlfn.TEXTAFTER(CantoralDB[[#This Row],[index.html]],"&gt;"),"&gt;")&amp;"&gt;"</f>
        <v>&lt;a href="canciones/nuevas/es_la_confianza.html"&gt;</v>
      </c>
      <c r="Y164" s="1"/>
      <c r="Z164" s="1"/>
      <c r="AA164" s="1"/>
    </row>
    <row r="165" spans="1:27" x14ac:dyDescent="0.3">
      <c r="A165" s="1">
        <f>ROW(CantoralDB[[#This Row],[Título]])-1</f>
        <v>164</v>
      </c>
      <c r="B165" s="1" t="s">
        <v>2816</v>
      </c>
      <c r="C165" s="1"/>
      <c r="F165" s="1">
        <v>418</v>
      </c>
      <c r="J165" s="1"/>
      <c r="M165" s="15" t="s">
        <v>795</v>
      </c>
      <c r="N165" s="15"/>
      <c r="O165" s="15"/>
      <c r="P165" s="15" t="str" cm="1">
        <f t="array" ref="P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5" s="15" t="str" cm="1">
        <f t="array" ref="Q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canciones/nuevas/ven_al_corazon.html</v>
      </c>
      <c r="S165" s="1"/>
      <c r="T165" s="1"/>
      <c r="U165" s="1"/>
      <c r="V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href="canciones/nuevas/ven_al_corazon.html"&gt;Ven al corazón&lt;/a&gt;&lt;/li&gt;</v>
      </c>
      <c r="W165" s="15" t="str">
        <f>_xlfn.TEXTBEFORE(_xlfn.TEXTAFTER(CantoralDB[[#This Row],[index.html]],"&gt;"),"&gt;")&amp;"&gt;"</f>
        <v>&lt;a href="canciones/nuevas/ven_al_corazon.html"&gt;</v>
      </c>
      <c r="Y165" s="1"/>
      <c r="Z165" s="1"/>
      <c r="AA165" s="1"/>
    </row>
    <row r="166" spans="1:27" x14ac:dyDescent="0.3">
      <c r="A166" s="1">
        <f>ROW(CantoralDB[[#This Row],[Título]])-1</f>
        <v>165</v>
      </c>
      <c r="B166" s="1" t="s">
        <v>2819</v>
      </c>
      <c r="C166" s="1"/>
      <c r="F166" s="1">
        <v>419</v>
      </c>
      <c r="J166" s="1"/>
      <c r="M166" s="15" t="s">
        <v>795</v>
      </c>
      <c r="N166" s="15"/>
      <c r="O166" s="15"/>
      <c r="P166" s="15" t="str" cm="1">
        <f t="array" ref="P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6" s="15" t="str" cm="1">
        <f t="array" ref="Q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canciones/nuevas/el_leon_de_la_tribu_de_juda.html</v>
      </c>
      <c r="S166" s="1"/>
      <c r="T166" s="1"/>
      <c r="U166" s="1"/>
      <c r="V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href="canciones/nuevas/el_leon_de_la_tribu_de_juda.html"&gt;El león de la tribu de Judá&lt;/a&gt;&lt;/li&gt;</v>
      </c>
      <c r="W166" s="15" t="str">
        <f>_xlfn.TEXTBEFORE(_xlfn.TEXTAFTER(CantoralDB[[#This Row],[index.html]],"&gt;"),"&gt;")&amp;"&gt;"</f>
        <v>&lt;a href="canciones/nuevas/el_leon_de_la_tribu_de_juda.html"&gt;</v>
      </c>
      <c r="Y166" s="1"/>
      <c r="Z166" s="1"/>
      <c r="AA166" s="1"/>
    </row>
    <row r="167" spans="1:27" x14ac:dyDescent="0.3">
      <c r="A167" s="1">
        <f>ROW(CantoralDB[[#This Row],[Título]])-1</f>
        <v>166</v>
      </c>
      <c r="B167" s="1" t="s">
        <v>2830</v>
      </c>
      <c r="C167" s="1"/>
      <c r="F167" s="1">
        <v>428</v>
      </c>
      <c r="J167" s="1"/>
      <c r="M167" s="15" t="s">
        <v>795</v>
      </c>
      <c r="N167" s="15"/>
      <c r="O167" s="15"/>
      <c r="P167" s="15" t="str" cm="1">
        <f t="array" ref="P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7" s="15" t="str" cm="1">
        <f t="array" ref="Q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canciones/nuevas/buenas_noches_maria.html</v>
      </c>
      <c r="S167" s="1"/>
      <c r="T167" s="1"/>
      <c r="U167" s="1"/>
      <c r="V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href="canciones/nuevas/buenas_noches_maria.html"&gt;Buenas noches, María&lt;/a&gt;&lt;/li&gt;</v>
      </c>
      <c r="W167" s="15" t="str">
        <f>_xlfn.TEXTBEFORE(_xlfn.TEXTAFTER(CantoralDB[[#This Row],[index.html]],"&gt;"),"&gt;")&amp;"&gt;"</f>
        <v>&lt;a href="canciones/nuevas/buenas_noches_maria.html"&gt;</v>
      </c>
      <c r="Y167" s="1"/>
      <c r="Z167" s="1"/>
      <c r="AA167" s="1"/>
    </row>
    <row r="168" spans="1:27" x14ac:dyDescent="0.3">
      <c r="A168" s="1">
        <f>ROW(CantoralDB[[#This Row],[Título]])-1</f>
        <v>167</v>
      </c>
      <c r="B168" s="1" t="s">
        <v>2845</v>
      </c>
      <c r="C168" s="1"/>
      <c r="F168" s="1">
        <v>444</v>
      </c>
      <c r="J168" s="1"/>
      <c r="M168" s="15" t="s">
        <v>795</v>
      </c>
      <c r="N168" s="15"/>
      <c r="O168" s="15"/>
      <c r="P168" s="15" t="str" cm="1">
        <f t="array" ref="P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8" s="15" t="str" cm="1">
        <f t="array" ref="Q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canciones/nuevas/hay_que_volver_a_nacer_de_nuevo.html</v>
      </c>
      <c r="S168" s="1"/>
      <c r="T168" s="1"/>
      <c r="U168" s="1"/>
      <c r="V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href="canciones/nuevas/hay_que_volver_a_nacer_de_nuevo.html"&gt;Hay que volver a nacer de nuevo&lt;/a&gt;&lt;/li&gt;</v>
      </c>
      <c r="W168" s="15" t="str">
        <f>_xlfn.TEXTBEFORE(_xlfn.TEXTAFTER(CantoralDB[[#This Row],[index.html]],"&gt;"),"&gt;")&amp;"&gt;"</f>
        <v>&lt;a href="canciones/nuevas/hay_que_volver_a_nacer_de_nuevo.html"&gt;</v>
      </c>
      <c r="Y168" s="1"/>
      <c r="Z168" s="1"/>
      <c r="AA168" s="1"/>
    </row>
    <row r="169" spans="1:27" x14ac:dyDescent="0.3">
      <c r="A169" s="1">
        <f>ROW(CantoralDB[[#This Row],[Título]])-1</f>
        <v>168</v>
      </c>
      <c r="B169" s="1" t="s">
        <v>2846</v>
      </c>
      <c r="C169" s="1"/>
      <c r="F169" s="1">
        <v>445</v>
      </c>
      <c r="J169" s="1"/>
      <c r="M169" s="15" t="s">
        <v>795</v>
      </c>
      <c r="N169" s="15"/>
      <c r="O169" s="15"/>
      <c r="P169" s="15" t="str" cm="1">
        <f t="array" ref="P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9" s="15" t="str" cm="1">
        <f t="array" ref="Q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canciones/nuevas/pa_arriba.html</v>
      </c>
      <c r="S169" s="1"/>
      <c r="T169" s="1"/>
      <c r="U169" s="1"/>
      <c r="V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href="canciones/nuevas/pa_arriba.html"&gt;Pa arriba&lt;/a&gt;&lt;/li&gt;</v>
      </c>
      <c r="W169" s="15" t="str">
        <f>_xlfn.TEXTBEFORE(_xlfn.TEXTAFTER(CantoralDB[[#This Row],[index.html]],"&gt;"),"&gt;")&amp;"&gt;"</f>
        <v>&lt;a href="canciones/nuevas/pa_arriba.html"&gt;</v>
      </c>
      <c r="Y169" s="1"/>
      <c r="Z169" s="1"/>
      <c r="AA169" s="1"/>
    </row>
    <row r="170" spans="1:27" x14ac:dyDescent="0.3">
      <c r="A170" s="1">
        <f>ROW(CantoralDB[[#This Row],[Título]])-1</f>
        <v>169</v>
      </c>
      <c r="B170" s="1" t="s">
        <v>596</v>
      </c>
      <c r="C170" s="1" t="s">
        <v>200</v>
      </c>
      <c r="D170" s="1" t="s">
        <v>1411</v>
      </c>
      <c r="G170" s="1" t="s">
        <v>595</v>
      </c>
      <c r="H170" s="1" t="s">
        <v>531</v>
      </c>
      <c r="I170" s="1" t="s">
        <v>2962</v>
      </c>
      <c r="J170" s="1" t="s">
        <v>608</v>
      </c>
      <c r="M170" s="15" t="s">
        <v>795</v>
      </c>
      <c r="N170" s="15"/>
      <c r="O170" s="15"/>
      <c r="P170" s="15" t="str" cm="1">
        <f t="array" ref="P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70" s="15" t="str" cm="1">
        <f t="array" ref="Q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canciones/nsb/dulce_muchacha_humilde_de_palestina.html</v>
      </c>
      <c r="S170" s="1"/>
      <c r="T170" s="1"/>
      <c r="U170" s="1"/>
      <c r="V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data-nnew="M03"&gt;&lt;a href="canciones/nsb/dulce_muchacha_humilde_de_palestina.html"&gt;Dulce muchacha humilde de Palestina&lt;/a&gt;&lt;/li&gt;</v>
      </c>
      <c r="W170" s="15" t="str">
        <f>_xlfn.TEXTBEFORE(_xlfn.TEXTAFTER(CantoralDB[[#This Row],[index.html]],"&gt;"),"&gt;")&amp;"&gt;"</f>
        <v>&lt;a href="canciones/nsb/dulce_muchacha_humilde_de_palestina.html"&gt;</v>
      </c>
      <c r="Y170" s="1"/>
      <c r="Z170" s="1"/>
      <c r="AA170" s="1"/>
    </row>
    <row r="171" spans="1:27" x14ac:dyDescent="0.3">
      <c r="A171" s="1">
        <f>ROW(CantoralDB[[#This Row],[Título]])-1</f>
        <v>170</v>
      </c>
      <c r="B171" s="1" t="s">
        <v>591</v>
      </c>
      <c r="C171" s="1" t="s">
        <v>211</v>
      </c>
      <c r="D171" s="1" t="s">
        <v>1437</v>
      </c>
      <c r="G171" s="1" t="s">
        <v>595</v>
      </c>
      <c r="H171" s="1" t="s">
        <v>531</v>
      </c>
      <c r="I171" s="1" t="s">
        <v>2959</v>
      </c>
      <c r="J171" s="1" t="s">
        <v>608</v>
      </c>
      <c r="M171" s="15" t="s">
        <v>795</v>
      </c>
      <c r="N171" s="15"/>
      <c r="O171" s="15"/>
      <c r="P171" s="15" t="str" cm="1">
        <f t="array" ref="P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71" s="15" t="str" cm="1">
        <f t="array" ref="Q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canciones/nsb/letanias.html</v>
      </c>
      <c r="S171" s="1"/>
      <c r="T171" s="1"/>
      <c r="U171" s="1"/>
      <c r="V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data-momento="Especiales" data-nnew="P03"&gt;&lt;a href="canciones/nsb/letanias.html"&gt;Letanías&lt;/a&gt;&lt;/li&gt;</v>
      </c>
      <c r="W171" s="15" t="str">
        <f>_xlfn.TEXTBEFORE(_xlfn.TEXTAFTER(CantoralDB[[#This Row],[index.html]],"&gt;"),"&gt;")&amp;"&gt;"</f>
        <v>&lt;a href="canciones/nsb/letanias.html"&gt;</v>
      </c>
      <c r="Y171" s="1"/>
      <c r="Z171" s="1"/>
      <c r="AA171" s="1"/>
    </row>
    <row r="172" spans="1:27" x14ac:dyDescent="0.3">
      <c r="A172" s="1">
        <f>ROW(CantoralDB[[#This Row],[Título]])-1</f>
        <v>171</v>
      </c>
      <c r="B172" s="1" t="s">
        <v>598</v>
      </c>
      <c r="C172" s="1" t="s">
        <v>200</v>
      </c>
      <c r="D172" s="1" t="s">
        <v>1053</v>
      </c>
      <c r="G172" s="1" t="s">
        <v>599</v>
      </c>
      <c r="H172" s="1" t="s">
        <v>531</v>
      </c>
      <c r="I172" s="1" t="s">
        <v>2962</v>
      </c>
      <c r="J172" s="1" t="s">
        <v>608</v>
      </c>
      <c r="M172" s="15" t="s">
        <v>795</v>
      </c>
      <c r="N172" s="15"/>
      <c r="O172" s="15"/>
      <c r="P172" s="15" t="str" cm="1">
        <f t="array" ref="P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72" s="15" t="str" cm="1">
        <f t="array" ref="Q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canciones/nsb/salve_madre.html</v>
      </c>
      <c r="S172" s="1"/>
      <c r="T172" s="1"/>
      <c r="U172" s="1"/>
      <c r="V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data-momento="María" data-nnew="M18"&gt;&lt;a href="canciones/nsb/salve_madre.html"&gt;Salve, Madre&lt;/a&gt;&lt;/li&gt;</v>
      </c>
      <c r="W172" s="15" t="str">
        <f>_xlfn.TEXTBEFORE(_xlfn.TEXTAFTER(CantoralDB[[#This Row],[index.html]],"&gt;"),"&gt;")&amp;"&gt;"</f>
        <v>&lt;a href="canciones/nsb/salve_madre.html"&gt;</v>
      </c>
      <c r="Y172" s="1"/>
      <c r="Z172" s="1"/>
      <c r="AA172" s="1"/>
    </row>
    <row r="173" spans="1:27" x14ac:dyDescent="0.3">
      <c r="A173" s="1">
        <f>ROW(CantoralDB[[#This Row],[Título]])-1</f>
        <v>172</v>
      </c>
      <c r="B173" s="1" t="s">
        <v>579</v>
      </c>
      <c r="C173" s="1" t="s">
        <v>196</v>
      </c>
      <c r="D173" s="1" t="s">
        <v>1465</v>
      </c>
      <c r="G173" s="1" t="s">
        <v>209</v>
      </c>
      <c r="H173" s="1" t="s">
        <v>531</v>
      </c>
      <c r="I173" s="1" t="s">
        <v>2962</v>
      </c>
      <c r="J173" s="1" t="s">
        <v>608</v>
      </c>
      <c r="M173" s="15" t="s">
        <v>795</v>
      </c>
      <c r="N173" s="15"/>
      <c r="O173" s="15"/>
      <c r="P173" s="15" t="str" cm="1">
        <f t="array" ref="P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73" s="15" t="str" cm="1">
        <f t="array" ref="Q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canciones/nsb/santo_(santo_domingo_de_silos).html</v>
      </c>
      <c r="S173" s="1"/>
      <c r="T173" s="1"/>
      <c r="U173" s="1"/>
      <c r="V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data-nnew="G08"&gt;&lt;a href="canciones/nsb/santo_(santo_domingo_de_silos).html"&gt;Santo (Santo Domingo de Silos)&lt;/a&gt;&lt;/li&gt;</v>
      </c>
      <c r="W173" s="15" t="str">
        <f>_xlfn.TEXTBEFORE(_xlfn.TEXTAFTER(CantoralDB[[#This Row],[index.html]],"&gt;"),"&gt;")&amp;"&gt;"</f>
        <v>&lt;a href="canciones/nsb/santo_(santo_domingo_de_silos).html"&gt;</v>
      </c>
      <c r="Y173" s="1"/>
      <c r="Z173" s="1"/>
      <c r="AA173" s="1"/>
    </row>
    <row r="174" spans="1:27" x14ac:dyDescent="0.3">
      <c r="A174" s="1">
        <f>ROW(CantoralDB[[#This Row],[Título]])-1</f>
        <v>173</v>
      </c>
      <c r="B174" s="1" t="s">
        <v>567</v>
      </c>
      <c r="C174" s="1" t="s">
        <v>196</v>
      </c>
      <c r="D174" s="1" t="s">
        <v>778</v>
      </c>
      <c r="G174" s="1" t="s">
        <v>209</v>
      </c>
      <c r="H174" s="1" t="s">
        <v>531</v>
      </c>
      <c r="I174" s="1" t="s">
        <v>2962</v>
      </c>
      <c r="J174" s="1" t="s">
        <v>608</v>
      </c>
      <c r="M174" s="15" t="s">
        <v>795</v>
      </c>
      <c r="N174" s="15"/>
      <c r="O174" s="15"/>
      <c r="P174" s="15" t="str" cm="1">
        <f t="array" ref="P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74" s="15" t="str" cm="1">
        <f t="array" ref="Q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canciones/nsb/santo_eres_señor_dios_nuestro.html</v>
      </c>
      <c r="S174" s="1"/>
      <c r="T174" s="1"/>
      <c r="U174" s="1"/>
      <c r="V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data-nnew="G11"&gt;&lt;a href="canciones/nsb/santo_eres_señor_dios_nuestro.html"&gt;Santo eres, Señor, Dios nuestro&lt;/a&gt;&lt;/li&gt;</v>
      </c>
      <c r="W174" s="15" t="str">
        <f>_xlfn.TEXTBEFORE(_xlfn.TEXTAFTER(CantoralDB[[#This Row],[index.html]],"&gt;"),"&gt;")&amp;"&gt;"</f>
        <v>&lt;a href="canciones/nsb/santo_eres_señor_dios_nuestro.html"&gt;</v>
      </c>
      <c r="Y174" s="1"/>
      <c r="Z174" s="1"/>
      <c r="AA174" s="1"/>
    </row>
    <row r="175" spans="1:27" x14ac:dyDescent="0.3">
      <c r="A175" s="1">
        <f>ROW(CantoralDB[[#This Row],[Título]])-1</f>
        <v>174</v>
      </c>
      <c r="B175" s="1" t="s">
        <v>2162</v>
      </c>
      <c r="C175" s="15"/>
      <c r="H175" s="1" t="s">
        <v>531</v>
      </c>
      <c r="J175" s="1" t="s">
        <v>608</v>
      </c>
      <c r="M175" s="15" t="s">
        <v>795</v>
      </c>
      <c r="N175" s="15"/>
      <c r="O175" s="15"/>
      <c r="P175" s="15" t="str" cm="1">
        <f t="array" ref="P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75" s="15" t="str" cm="1">
        <f t="array" ref="Q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canciones/nuevas/en_los_brazos_de_una_virgen.html</v>
      </c>
      <c r="S175" s="1"/>
      <c r="T175" s="1"/>
      <c r="U175" s="1"/>
      <c r="V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href="canciones/nuevas/en_los_brazos_de_una_virgen.html"&gt;En los brazos de una virgen&lt;/a&gt;&lt;/li&gt;</v>
      </c>
      <c r="W175" s="15" t="str">
        <f>_xlfn.TEXTBEFORE(_xlfn.TEXTAFTER(CantoralDB[[#This Row],[index.html]],"&gt;"),"&gt;")&amp;"&gt;"</f>
        <v>&lt;a href="canciones/nuevas/en_los_brazos_de_una_virgen.html"&gt;</v>
      </c>
      <c r="Y175" s="1"/>
      <c r="Z175" s="1"/>
      <c r="AA175" s="1"/>
    </row>
    <row r="176" spans="1:27" x14ac:dyDescent="0.3">
      <c r="A176" s="1">
        <f>ROW(CantoralDB[[#This Row],[Título]])-1</f>
        <v>175</v>
      </c>
      <c r="B176" s="1" t="s">
        <v>2165</v>
      </c>
      <c r="C176" s="15"/>
      <c r="H176" s="1" t="s">
        <v>531</v>
      </c>
      <c r="J176" s="1" t="s">
        <v>608</v>
      </c>
      <c r="M176" s="15" t="s">
        <v>795</v>
      </c>
      <c r="N176" s="15"/>
      <c r="O176" s="15"/>
      <c r="P176" s="15" t="str" cm="1">
        <f t="array" ref="P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76" s="15" t="str" cm="1">
        <f t="array" ref="Q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canciones/nuevas/es_maria_la_blanca_paloma.html</v>
      </c>
      <c r="S176" s="1"/>
      <c r="T176" s="1"/>
      <c r="U176" s="14" t="s">
        <v>3009</v>
      </c>
      <c r="V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href="canciones/nuevas/es_maria_la_blanca_paloma.html"&gt;Es María la blanca paloma&lt;/a&gt;&lt;/li&gt;</v>
      </c>
      <c r="W176" s="15" t="str">
        <f>_xlfn.TEXTBEFORE(_xlfn.TEXTAFTER(CantoralDB[[#This Row],[index.html]],"&gt;"),"&gt;")&amp;"&gt;"</f>
        <v>&lt;a href="canciones/nuevas/es_maria_la_blanca_paloma.html"&gt;</v>
      </c>
      <c r="Y176" s="1"/>
      <c r="Z176" s="1"/>
      <c r="AA176" s="1"/>
    </row>
    <row r="177" spans="1:27" x14ac:dyDescent="0.3">
      <c r="A177" s="1">
        <f>ROW(CantoralDB[[#This Row],[Título]])-1</f>
        <v>176</v>
      </c>
      <c r="B177" s="1" t="s">
        <v>217</v>
      </c>
      <c r="C177" s="1" t="s">
        <v>219</v>
      </c>
      <c r="D177" s="1" t="s">
        <v>1475</v>
      </c>
      <c r="G177" s="1" t="s">
        <v>209</v>
      </c>
      <c r="H177" s="1" t="s">
        <v>1028</v>
      </c>
      <c r="J177" s="1" t="s">
        <v>608</v>
      </c>
      <c r="M177" s="15" t="s">
        <v>795</v>
      </c>
      <c r="N177" s="15"/>
      <c r="O177" s="15"/>
      <c r="P177" s="15" t="str" cm="1">
        <f t="array" ref="P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77" s="15" t="str" cm="1">
        <f t="array" ref="Q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canciones/nsb/ven_espiritu_de_dios_(esprit_createur).html</v>
      </c>
      <c r="S177" s="1"/>
      <c r="T177" s="1" t="s">
        <v>2127</v>
      </c>
      <c r="U177" s="1"/>
      <c r="V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data-momento="Espíritu" data-nnew="N04"&gt;&lt;a href="canciones/nsb/ven_espiritu_de_dios_(esprit_createur).html"&gt;Ven, Espíritu de Dios (Esprit createur)&lt;/a&gt;&lt;/li&gt;</v>
      </c>
      <c r="W177" s="15" t="str">
        <f>_xlfn.TEXTBEFORE(_xlfn.TEXTAFTER(CantoralDB[[#This Row],[index.html]],"&gt;"),"&gt;")&amp;"&gt;"</f>
        <v>&lt;a href="canciones/nsb/ven_espiritu_de_dios_(esprit_createur).html"&gt;</v>
      </c>
      <c r="Y177" s="1"/>
      <c r="Z177" s="1"/>
      <c r="AA177" s="1"/>
    </row>
    <row r="178" spans="1:27" x14ac:dyDescent="0.3">
      <c r="A178" s="1">
        <f>ROW(CantoralDB[[#This Row],[Título]])-1</f>
        <v>177</v>
      </c>
      <c r="B178" s="1" t="s">
        <v>782</v>
      </c>
      <c r="C178" s="1" t="s">
        <v>202</v>
      </c>
      <c r="D178" s="1" t="s">
        <v>1401</v>
      </c>
      <c r="G178" s="1" t="s">
        <v>533</v>
      </c>
      <c r="H178" s="1" t="s">
        <v>473</v>
      </c>
      <c r="J178" s="1" t="s">
        <v>608</v>
      </c>
      <c r="M178" s="15" t="s">
        <v>795</v>
      </c>
      <c r="N178" s="15"/>
      <c r="O178" s="15"/>
      <c r="P178" s="15" t="str" cm="1">
        <f t="array" ref="P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78" s="15" t="str" cm="1">
        <f t="array" ref="Q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canciones/nsb/cordero_de_dios_(algete).html</v>
      </c>
      <c r="S178" s="1"/>
      <c r="T178" s="1"/>
      <c r="U178" s="1"/>
      <c r="V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data-momento="Cordero de Dios" data-nnew="J01"&gt;&lt;a href="canciones/nsb/cordero_de_dios_(algete).html"&gt;Cordero de Dios (Algete)&lt;/a&gt;&lt;/li&gt;</v>
      </c>
      <c r="W178" s="15" t="str">
        <f>_xlfn.TEXTBEFORE(_xlfn.TEXTAFTER(CantoralDB[[#This Row],[index.html]],"&gt;"),"&gt;")&amp;"&gt;"</f>
        <v>&lt;a href="canciones/nsb/cordero_de_dios_(algete).html"&gt;</v>
      </c>
      <c r="Y178" s="1"/>
      <c r="Z178" s="1"/>
      <c r="AA178" s="1"/>
    </row>
    <row r="179" spans="1:27" x14ac:dyDescent="0.3">
      <c r="A179" s="1">
        <f>ROW(CantoralDB[[#This Row],[Título]])-1</f>
        <v>178</v>
      </c>
      <c r="B179" s="1" t="s">
        <v>233</v>
      </c>
      <c r="C179" s="1" t="s">
        <v>198</v>
      </c>
      <c r="D179" s="1" t="s">
        <v>1435</v>
      </c>
      <c r="G179" s="1" t="s">
        <v>213</v>
      </c>
      <c r="H179" s="1" t="s">
        <v>473</v>
      </c>
      <c r="I179" s="1" t="s">
        <v>2962</v>
      </c>
      <c r="J179" s="1" t="s">
        <v>608</v>
      </c>
      <c r="M179" s="15" t="s">
        <v>795</v>
      </c>
      <c r="N179" s="15"/>
      <c r="O179" s="15"/>
      <c r="P179" s="15" t="str" cm="1">
        <f t="array" ref="P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79" s="15" t="str" cm="1">
        <f t="array" ref="Q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canciones/nsb/la_paz_te_doy.html</v>
      </c>
      <c r="S179" s="1"/>
      <c r="T179" s="1"/>
      <c r="U179" s="1"/>
      <c r="V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data-nnew="I02"&gt;&lt;a href="canciones/nsb/la_paz_te_doy.html"&gt;La paz te doy&lt;/a&gt;&lt;/li&gt;</v>
      </c>
      <c r="W179" s="15" t="str">
        <f>_xlfn.TEXTBEFORE(_xlfn.TEXTAFTER(CantoralDB[[#This Row],[index.html]],"&gt;"),"&gt;")&amp;"&gt;"</f>
        <v>&lt;a href="canciones/nsb/la_paz_te_doy.html"&gt;</v>
      </c>
      <c r="Y179" s="1"/>
      <c r="Z179" s="1"/>
      <c r="AA179" s="1"/>
    </row>
    <row r="180" spans="1:27" x14ac:dyDescent="0.3">
      <c r="A180" s="1">
        <f>ROW(CantoralDB[[#This Row],[Título]])-1</f>
        <v>179</v>
      </c>
      <c r="B180" s="1" t="s">
        <v>234</v>
      </c>
      <c r="C180" s="1" t="s">
        <v>198</v>
      </c>
      <c r="D180" s="1" t="s">
        <v>1438</v>
      </c>
      <c r="G180" s="1" t="s">
        <v>213</v>
      </c>
      <c r="H180" s="1" t="s">
        <v>473</v>
      </c>
      <c r="I180" s="1" t="s">
        <v>2962</v>
      </c>
      <c r="J180" s="1" t="s">
        <v>608</v>
      </c>
      <c r="M180" s="15" t="s">
        <v>795</v>
      </c>
      <c r="N180" s="15"/>
      <c r="O180" s="15"/>
      <c r="P180" s="15" t="str" cm="1">
        <f t="array" ref="P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80" s="15" t="str" cm="1">
        <f t="array" ref="Q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canciones/nsb/llevad_la_buena_noticia.html</v>
      </c>
      <c r="S180" s="1"/>
      <c r="T180" s="1"/>
      <c r="U180" s="1"/>
      <c r="V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data-momento="Paz" data-nnew="I03"&gt;&lt;a href="canciones/nsb/llevad_la_buena_noticia.html"&gt;Llevad la buena noticia&lt;/a&gt;&lt;/li&gt;</v>
      </c>
      <c r="W180" s="15" t="str">
        <f>_xlfn.TEXTBEFORE(_xlfn.TEXTAFTER(CantoralDB[[#This Row],[index.html]],"&gt;"),"&gt;")&amp;"&gt;"</f>
        <v>&lt;a href="canciones/nsb/llevad_la_buena_noticia.html"&gt;</v>
      </c>
      <c r="Y180" s="1"/>
      <c r="Z180" s="1"/>
      <c r="AA180" s="1"/>
    </row>
    <row r="181" spans="1:27" x14ac:dyDescent="0.3">
      <c r="A181" s="1">
        <f>ROW(CantoralDB[[#This Row],[Título]])-1</f>
        <v>180</v>
      </c>
      <c r="B181" s="1" t="s">
        <v>187</v>
      </c>
      <c r="C181" s="1" t="s">
        <v>192</v>
      </c>
      <c r="D181" s="1" t="s">
        <v>1471</v>
      </c>
      <c r="G181" s="1" t="s">
        <v>209</v>
      </c>
      <c r="H181" s="1" t="s">
        <v>531</v>
      </c>
      <c r="J181" s="1" t="s">
        <v>608</v>
      </c>
      <c r="M181" s="15" t="s">
        <v>795</v>
      </c>
      <c r="N181" s="15"/>
      <c r="O181" s="15"/>
      <c r="P181" s="15" t="str" cm="1">
        <f t="array" ref="P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81" s="15" t="str" cm="1">
        <f t="array" ref="Q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canciones/nsb/ten_piedad_de_mi_señor.html</v>
      </c>
      <c r="S181" s="1"/>
      <c r="T181" s="1"/>
      <c r="U181" s="1"/>
      <c r="V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data-nnew="B08"&gt;&lt;a href="canciones/nsb/ten_piedad_de_mi_señor.html"&gt;Ten piedad de mi, Señor&lt;/a&gt;&lt;/li&gt;</v>
      </c>
      <c r="W181" s="15" t="str">
        <f>_xlfn.TEXTBEFORE(_xlfn.TEXTAFTER(CantoralDB[[#This Row],[index.html]],"&gt;"),"&gt;")&amp;"&gt;"</f>
        <v>&lt;a href="canciones/nsb/ten_piedad_de_mi_señor.html"&gt;</v>
      </c>
      <c r="Y181" s="1"/>
      <c r="Z181" s="1"/>
      <c r="AA181" s="1"/>
    </row>
    <row r="182" spans="1:27" x14ac:dyDescent="0.3">
      <c r="A182" s="1">
        <f>ROW(CantoralDB[[#This Row],[Título]])-1</f>
        <v>181</v>
      </c>
      <c r="B182" s="1" t="s">
        <v>989</v>
      </c>
      <c r="C182" s="1" t="s">
        <v>194</v>
      </c>
      <c r="D182" s="1" t="s">
        <v>1375</v>
      </c>
      <c r="G182" s="1" t="s">
        <v>991</v>
      </c>
      <c r="H182" s="1" t="s">
        <v>1029</v>
      </c>
      <c r="J182" s="1" t="s">
        <v>608</v>
      </c>
      <c r="M182" s="15" t="s">
        <v>795</v>
      </c>
      <c r="N182" s="15"/>
      <c r="O182" s="15"/>
      <c r="P182" s="15" t="str" cm="1">
        <f t="array" ref="P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82" s="15" t="str" cm="1">
        <f t="array" ref="Q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canciones/nsb/aleluya_de_adviento.html</v>
      </c>
      <c r="S182" s="1"/>
      <c r="T182" s="1"/>
      <c r="U182" s="1"/>
      <c r="V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data-momento="Aleluya" data-nnew="E09"&gt;&lt;a href="canciones/nsb/aleluya_de_adviento.html"&gt;Aleluya de Adviento&lt;/a&gt;&lt;/li&gt;</v>
      </c>
      <c r="W182" s="15" t="str">
        <f>_xlfn.TEXTBEFORE(_xlfn.TEXTAFTER(CantoralDB[[#This Row],[index.html]],"&gt;"),"&gt;")&amp;"&gt;"</f>
        <v>&lt;a href="canciones/nsb/aleluya_de_adviento.html"&gt;</v>
      </c>
      <c r="Y182" s="1"/>
      <c r="Z182" s="1"/>
      <c r="AA182" s="1"/>
    </row>
    <row r="183" spans="1:27" x14ac:dyDescent="0.3">
      <c r="A183" s="1">
        <f>ROW(CantoralDB[[#This Row],[Título]])-1</f>
        <v>182</v>
      </c>
      <c r="B183" s="1" t="s">
        <v>1041</v>
      </c>
      <c r="C183" s="1" t="s">
        <v>993</v>
      </c>
      <c r="D183" s="1" t="s">
        <v>1042</v>
      </c>
      <c r="H183" s="1" t="s">
        <v>1029</v>
      </c>
      <c r="J183" s="1" t="s">
        <v>608</v>
      </c>
      <c r="M183" s="15" t="s">
        <v>795</v>
      </c>
      <c r="N183" s="15"/>
      <c r="O183" s="15"/>
      <c r="P183" s="15" t="str" cm="1">
        <f t="array" ref="P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83" s="15" t="str" cm="1">
        <f t="array" ref="Q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canciones/nsb/siempre_en_ti.html</v>
      </c>
      <c r="S183" s="1"/>
      <c r="T183" s="1"/>
      <c r="U183" s="1"/>
      <c r="V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data-momento="Comunión" data-nnew="K83"&gt;&lt;a href="canciones/nsb/siempre_en_ti.html"&gt;Siempre en ti&lt;/a&gt;&lt;/li&gt;</v>
      </c>
      <c r="W183" s="15" t="str">
        <f>_xlfn.TEXTBEFORE(_xlfn.TEXTAFTER(CantoralDB[[#This Row],[index.html]],"&gt;"),"&gt;")&amp;"&gt;"</f>
        <v>&lt;a href="canciones/nsb/siempre_en_ti.html"&gt;</v>
      </c>
      <c r="Y183" s="1"/>
      <c r="Z183" s="1"/>
      <c r="AA183" s="1"/>
    </row>
    <row r="184" spans="1:27" x14ac:dyDescent="0.3">
      <c r="A184" s="1">
        <f>ROW(CantoralDB[[#This Row],[Título]])-1</f>
        <v>183</v>
      </c>
      <c r="B184" s="1" t="s">
        <v>560</v>
      </c>
      <c r="C184" s="1" t="s">
        <v>196</v>
      </c>
      <c r="D184" s="1" t="s">
        <v>779</v>
      </c>
      <c r="G184" s="1" t="s">
        <v>553</v>
      </c>
      <c r="H184" s="1" t="s">
        <v>1027</v>
      </c>
      <c r="J184" s="1" t="s">
        <v>608</v>
      </c>
      <c r="M184" s="15" t="s">
        <v>795</v>
      </c>
      <c r="N184" s="15"/>
      <c r="O184" s="15"/>
      <c r="P184" s="15" t="str" cm="1">
        <f t="array" ref="P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84" s="15" t="str" cm="1">
        <f t="array" ref="Q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canciones/nsb/santo_es_el_señor.html</v>
      </c>
      <c r="S184" s="1"/>
      <c r="T184" s="1"/>
      <c r="U184" s="1"/>
      <c r="V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data-momento="Santo" data-nnew="G12"&gt;&lt;a href="canciones/nsb/santo_es_el_señor.html"&gt;Santo es el Señor&lt;/a&gt;&lt;/li&gt;</v>
      </c>
      <c r="W184" s="15" t="str">
        <f>_xlfn.TEXTBEFORE(_xlfn.TEXTAFTER(CantoralDB[[#This Row],[index.html]],"&gt;"),"&gt;")&amp;"&gt;"</f>
        <v>&lt;a href="canciones/nsb/santo_es_el_señor.html"&gt;</v>
      </c>
      <c r="Y184" s="1"/>
      <c r="Z184" s="1"/>
      <c r="AA184" s="1"/>
    </row>
    <row r="185" spans="1:27" x14ac:dyDescent="0.3">
      <c r="A185" s="1">
        <f>ROW(CantoralDB[[#This Row],[Título]])-1</f>
        <v>184</v>
      </c>
      <c r="B185" s="1" t="s">
        <v>561</v>
      </c>
      <c r="C185" s="1" t="s">
        <v>192</v>
      </c>
      <c r="D185" s="1" t="s">
        <v>1469</v>
      </c>
      <c r="G185" s="1" t="s">
        <v>553</v>
      </c>
      <c r="H185" s="1" t="s">
        <v>1027</v>
      </c>
      <c r="J185" s="1" t="s">
        <v>608</v>
      </c>
      <c r="M185" s="15" t="s">
        <v>795</v>
      </c>
      <c r="N185" s="15"/>
      <c r="O185" s="15"/>
      <c r="P185" s="15" t="str" cm="1">
        <f t="array" ref="P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85" s="15" t="str" cm="1">
        <f t="array" ref="Q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canciones/nsb/señor_ten_piedad_de_nosotros.html</v>
      </c>
      <c r="S185" s="1"/>
      <c r="T185" s="1"/>
      <c r="U185" s="1"/>
      <c r="V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data-momento="Perdón - Agua" data-nnew="B07"&gt;&lt;a href="canciones/nsb/señor_ten_piedad_de_nosotros.html"&gt;Señor, ten piedad de nosotros&lt;/a&gt;&lt;/li&gt;</v>
      </c>
      <c r="W185" s="15" t="str">
        <f>_xlfn.TEXTBEFORE(_xlfn.TEXTAFTER(CantoralDB[[#This Row],[index.html]],"&gt;"),"&gt;")&amp;"&gt;"</f>
        <v>&lt;a href="canciones/nsb/señor_ten_piedad_de_nosotros.html"&gt;</v>
      </c>
      <c r="Y185" s="1"/>
      <c r="Z185" s="1"/>
      <c r="AA185" s="1"/>
    </row>
    <row r="186" spans="1:27" x14ac:dyDescent="0.3">
      <c r="A186" s="1">
        <f>ROW(CantoralDB[[#This Row],[Título]])-1</f>
        <v>185</v>
      </c>
      <c r="B186" s="1" t="s">
        <v>2159</v>
      </c>
      <c r="C186" s="15"/>
      <c r="H186" s="1" t="s">
        <v>1027</v>
      </c>
      <c r="J186" s="1" t="s">
        <v>608</v>
      </c>
      <c r="M186" s="15" t="s">
        <v>795</v>
      </c>
      <c r="N186" s="15"/>
      <c r="O186" s="15"/>
      <c r="P186" s="15" t="str" cm="1">
        <f t="array" ref="P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86" s="15" t="str" cm="1">
        <f t="array" ref="Q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canciones/nuevas/alma_de_cristo.html</v>
      </c>
      <c r="S186" s="1"/>
      <c r="T186" s="1"/>
      <c r="U186" s="14" t="s">
        <v>3005</v>
      </c>
      <c r="V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href="canciones/nuevas/alma_de_cristo.html"&gt;Alma de Cristo&lt;/a&gt;&lt;/li&gt;</v>
      </c>
      <c r="W186" s="15" t="str">
        <f>_xlfn.TEXTBEFORE(_xlfn.TEXTAFTER(CantoralDB[[#This Row],[index.html]],"&gt;"),"&gt;")&amp;"&gt;"</f>
        <v>&lt;a href="canciones/nuevas/alma_de_cristo.html"&gt;</v>
      </c>
      <c r="Y186" s="1"/>
      <c r="Z186" s="1"/>
      <c r="AA186" s="1"/>
    </row>
    <row r="187" spans="1:27" x14ac:dyDescent="0.3">
      <c r="A187" s="1">
        <f>ROW(CantoralDB[[#This Row],[Título]])-1</f>
        <v>186</v>
      </c>
      <c r="B187" s="1" t="s">
        <v>2174</v>
      </c>
      <c r="C187" s="15"/>
      <c r="H187" s="1" t="s">
        <v>1027</v>
      </c>
      <c r="J187" s="1" t="s">
        <v>608</v>
      </c>
      <c r="M187" s="15" t="s">
        <v>795</v>
      </c>
      <c r="N187" s="15"/>
      <c r="O187" s="15"/>
      <c r="P187" s="15" t="str" cm="1">
        <f t="array" ref="P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87" s="15" t="str" cm="1">
        <f t="array" ref="Q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canciones/nuevas/vamos_amigos.html</v>
      </c>
      <c r="S187" s="1"/>
      <c r="T187" s="1"/>
      <c r="U187" s="1"/>
      <c r="V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href="canciones/nuevas/vamos_amigos.html"&gt;Vamos, amigos&lt;/a&gt;&lt;/li&gt;</v>
      </c>
      <c r="W187" s="15" t="str">
        <f>_xlfn.TEXTBEFORE(_xlfn.TEXTAFTER(CantoralDB[[#This Row],[index.html]],"&gt;"),"&gt;")&amp;"&gt;"</f>
        <v>&lt;a href="canciones/nuevas/vamos_amigos.html"&gt;</v>
      </c>
      <c r="Y187" s="1"/>
      <c r="Z187" s="1"/>
      <c r="AA187" s="1"/>
    </row>
    <row r="188" spans="1:27" x14ac:dyDescent="0.3">
      <c r="A188" s="1">
        <f>ROW(CantoralDB[[#This Row],[Título]])-1</f>
        <v>187</v>
      </c>
      <c r="B188" s="1" t="s">
        <v>555</v>
      </c>
      <c r="C188" s="1" t="s">
        <v>201</v>
      </c>
      <c r="D188" s="1" t="s">
        <v>666</v>
      </c>
      <c r="G188" s="1" t="s">
        <v>553</v>
      </c>
      <c r="H188" s="1" t="s">
        <v>1030</v>
      </c>
      <c r="J188" s="1" t="s">
        <v>608</v>
      </c>
      <c r="M188" s="15" t="s">
        <v>795</v>
      </c>
      <c r="N188" s="15"/>
      <c r="O188" s="15"/>
      <c r="P188" s="15" t="str" cm="1">
        <f t="array" ref="P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88" s="15" t="str" cm="1">
        <f t="array" ref="Q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canciones/nsb/no_quiero_alejarme_de_ti.html</v>
      </c>
      <c r="S188" s="1" t="s">
        <v>848</v>
      </c>
      <c r="T188" s="1"/>
      <c r="U188" s="1"/>
      <c r="V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data-momento="Antífonas" data-nnew="D28"&gt;&lt;a href="canciones/nsb/no_quiero_alejarme_de_ti.html"&gt;No quiero alejarme de ti&lt;/a&gt;&lt;/li&gt;</v>
      </c>
      <c r="W188" s="15" t="str">
        <f>_xlfn.TEXTBEFORE(_xlfn.TEXTAFTER(CantoralDB[[#This Row],[index.html]],"&gt;"),"&gt;")&amp;"&gt;"</f>
        <v>&lt;a href="canciones/nsb/no_quiero_alejarme_de_ti.html"&gt;</v>
      </c>
      <c r="Y188" s="1"/>
      <c r="Z188" s="1"/>
      <c r="AA188" s="1"/>
    </row>
    <row r="189" spans="1:27" x14ac:dyDescent="0.3">
      <c r="A189" s="1">
        <f>ROW(CantoralDB[[#This Row],[Título]])-1</f>
        <v>188</v>
      </c>
      <c r="B189" s="1" t="s">
        <v>2167</v>
      </c>
      <c r="C189" s="15"/>
      <c r="J189" s="1" t="s">
        <v>608</v>
      </c>
      <c r="L189" s="1" t="s">
        <v>2969</v>
      </c>
      <c r="M189" s="15" t="s">
        <v>795</v>
      </c>
      <c r="N189" s="15"/>
      <c r="O189" s="15"/>
      <c r="P189" s="15" t="str" cm="1">
        <f t="array" ref="P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89" s="15" t="str" cm="1">
        <f t="array" ref="Q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canciones/nuevas/evenu_shalom_alejem.html</v>
      </c>
      <c r="S189" s="1"/>
      <c r="T189" s="1"/>
      <c r="U189" s="14" t="s">
        <v>3010</v>
      </c>
      <c r="V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&lt;li&gt;&lt;a href="canciones/nuevas/evenu_shalom_alejem.html"&gt;Evenu shalom alejem&lt;/a&gt;&lt;/li&gt;</v>
      </c>
      <c r="W189" s="15" t="str">
        <f>_xlfn.TEXTBEFORE(_xlfn.TEXTAFTER(CantoralDB[[#This Row],[index.html]],"&gt;"),"&gt;")&amp;"&gt;"</f>
        <v>&lt;a href="canciones/nuevas/evenu_shalom_alejem.html"&gt;</v>
      </c>
      <c r="Y189" s="1"/>
      <c r="Z189" s="1"/>
      <c r="AA189" s="1"/>
    </row>
    <row r="190" spans="1:27" x14ac:dyDescent="0.3">
      <c r="A190" s="1">
        <f>ROW(CantoralDB[[#This Row],[Título]])-1</f>
        <v>189</v>
      </c>
      <c r="B190" s="1" t="s">
        <v>607</v>
      </c>
      <c r="C190" s="1" t="s">
        <v>211</v>
      </c>
      <c r="D190" s="1" t="s">
        <v>1467</v>
      </c>
      <c r="G190" s="1" t="s">
        <v>602</v>
      </c>
      <c r="H190" s="1" t="s">
        <v>1027</v>
      </c>
      <c r="J190" s="1" t="s">
        <v>608</v>
      </c>
      <c r="M190" s="15" t="s">
        <v>635</v>
      </c>
      <c r="N190" s="15"/>
      <c r="O190" s="15"/>
      <c r="P190" s="15" t="str" cm="1">
        <f t="array" ref="P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90" s="15" t="str" cm="1">
        <f t="array" ref="Q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canciones/nsb/secuencia_de_pascua.html</v>
      </c>
      <c r="S190" s="1"/>
      <c r="T190" s="1"/>
      <c r="U190" s="1"/>
      <c r="V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data-author="A. B. Celada Alonso" data-momento="Especiales" data-nnew="P05"&gt;&lt;a href="canciones/nsb/secuencia_de_pascua.html"&gt;Secuencia de Pascua&lt;/a&gt;&lt;/li&gt;</v>
      </c>
      <c r="W190" s="15" t="str">
        <f>_xlfn.TEXTBEFORE(_xlfn.TEXTAFTER(CantoralDB[[#This Row],[index.html]],"&gt;"),"&gt;")&amp;"&gt;"</f>
        <v>&lt;a href="canciones/nsb/secuencia_de_pascua.html"&gt;</v>
      </c>
      <c r="Y190" s="1"/>
      <c r="Z190" s="1"/>
      <c r="AA190" s="1"/>
    </row>
    <row r="191" spans="1:27" x14ac:dyDescent="0.3">
      <c r="A191" s="1">
        <f>ROW(CantoralDB[[#This Row],[Título]])-1</f>
        <v>190</v>
      </c>
      <c r="B191" s="1" t="s">
        <v>1786</v>
      </c>
      <c r="C191" s="1"/>
      <c r="H191" s="1" t="s">
        <v>1027</v>
      </c>
      <c r="J191" s="1" t="s">
        <v>608</v>
      </c>
      <c r="M191" s="15" t="s">
        <v>501</v>
      </c>
      <c r="N191" s="15" t="s">
        <v>1509</v>
      </c>
      <c r="O191" s="15">
        <v>1</v>
      </c>
      <c r="P191" s="15" t="str" cm="1">
        <f t="array" ref="P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91" s="15" t="str" cm="1">
        <f t="array" ref="Q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canciones/ain_karem/yo_soy_el_que_vive.html</v>
      </c>
      <c r="S191" s="1"/>
      <c r="T191" s="1"/>
      <c r="U191" s="1"/>
      <c r="V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href="canciones/ain_karem/yo_soy_el_que_vive.html"&gt;Yo soy el que vive&lt;/a&gt;&lt;/li&gt;</v>
      </c>
      <c r="W191" s="15" t="str">
        <f>_xlfn.TEXTBEFORE(_xlfn.TEXTAFTER(CantoralDB[[#This Row],[index.html]],"&gt;"),"&gt;")&amp;"&gt;"</f>
        <v>&lt;a href="canciones/ain_karem/yo_soy_el_que_vive.html"&gt;</v>
      </c>
      <c r="Y191" s="1"/>
      <c r="Z191" s="1"/>
      <c r="AA191" s="1"/>
    </row>
    <row r="192" spans="1:27" x14ac:dyDescent="0.3">
      <c r="A192" s="1">
        <f>ROW(CantoralDB[[#This Row],[Título]])-1</f>
        <v>191</v>
      </c>
      <c r="B192" s="1" t="s">
        <v>1787</v>
      </c>
      <c r="C192" s="1"/>
      <c r="H192" s="1" t="s">
        <v>473</v>
      </c>
      <c r="I192" s="1" t="s">
        <v>2959</v>
      </c>
      <c r="J192" s="1" t="s">
        <v>608</v>
      </c>
      <c r="M192" s="15" t="s">
        <v>501</v>
      </c>
      <c r="N192" s="15" t="s">
        <v>1509</v>
      </c>
      <c r="O192" s="15">
        <v>2</v>
      </c>
      <c r="P192" s="15" t="str" cm="1">
        <f t="array" ref="P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92" s="15" t="str" cm="1">
        <f t="array" ref="Q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canciones/ain_karem/que_se_alegren_tus_entrañas.html</v>
      </c>
      <c r="S192" s="1"/>
      <c r="T192" s="1"/>
      <c r="U192" s="1"/>
      <c r="V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href="canciones/ain_karem/que_se_alegren_tus_entrañas.html"&gt;Que se alegren tus entrañas&lt;/a&gt;&lt;/li&gt;</v>
      </c>
      <c r="W192" s="15" t="str">
        <f>_xlfn.TEXTBEFORE(_xlfn.TEXTAFTER(CantoralDB[[#This Row],[index.html]],"&gt;"),"&gt;")&amp;"&gt;"</f>
        <v>&lt;a href="canciones/ain_karem/que_se_alegren_tus_entrañas.html"&gt;</v>
      </c>
      <c r="Y192" s="1"/>
      <c r="Z192" s="1"/>
      <c r="AA192" s="1"/>
    </row>
    <row r="193" spans="1:27" x14ac:dyDescent="0.3">
      <c r="A193" s="1">
        <f>ROW(CantoralDB[[#This Row],[Título]])-1</f>
        <v>192</v>
      </c>
      <c r="B193" s="1" t="s">
        <v>1788</v>
      </c>
      <c r="C193" s="1"/>
      <c r="H193" s="1" t="s">
        <v>531</v>
      </c>
      <c r="I193" s="1" t="s">
        <v>2960</v>
      </c>
      <c r="J193" s="1" t="s">
        <v>608</v>
      </c>
      <c r="M193" s="15" t="s">
        <v>501</v>
      </c>
      <c r="N193" s="15" t="s">
        <v>1509</v>
      </c>
      <c r="O193" s="15">
        <v>3</v>
      </c>
      <c r="P193" s="15" t="str" cm="1">
        <f t="array" ref="P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93" s="15" t="str" cm="1">
        <f t="array" ref="Q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canciones/ain_karem/palabra.html</v>
      </c>
      <c r="S193" s="1"/>
      <c r="T193" s="1"/>
      <c r="U193" s="1"/>
      <c r="V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href="canciones/ain_karem/palabra.html"&gt;Palabra&lt;/a&gt;&lt;/li&gt;</v>
      </c>
      <c r="W193" s="15" t="str">
        <f>_xlfn.TEXTBEFORE(_xlfn.TEXTAFTER(CantoralDB[[#This Row],[index.html]],"&gt;"),"&gt;")&amp;"&gt;"</f>
        <v>&lt;a href="canciones/ain_karem/palabra.html"&gt;</v>
      </c>
      <c r="Y193" s="1"/>
      <c r="Z193" s="1"/>
      <c r="AA193" s="1"/>
    </row>
    <row r="194" spans="1:27" x14ac:dyDescent="0.3">
      <c r="A194" s="1">
        <f>ROW(CantoralDB[[#This Row],[Título]])-1</f>
        <v>193</v>
      </c>
      <c r="B194" s="1" t="s">
        <v>1789</v>
      </c>
      <c r="C194" s="1"/>
      <c r="H194" s="1" t="s">
        <v>1027</v>
      </c>
      <c r="I194" s="1" t="s">
        <v>2961</v>
      </c>
      <c r="J194" s="1" t="s">
        <v>608</v>
      </c>
      <c r="M194" s="15" t="s">
        <v>501</v>
      </c>
      <c r="N194" s="15" t="s">
        <v>1509</v>
      </c>
      <c r="O194" s="15">
        <v>4</v>
      </c>
      <c r="P194" s="15" t="str" cm="1">
        <f t="array" ref="P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94" s="15" t="str" cm="1">
        <f t="array" ref="Q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canciones/ain_karem/atraviesas.html</v>
      </c>
      <c r="S194" s="1"/>
      <c r="T194" s="1"/>
      <c r="U194" s="1"/>
      <c r="V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href="canciones/ain_karem/atraviesas.html"&gt;Atraviesas&lt;/a&gt;&lt;/li&gt;</v>
      </c>
      <c r="W194" s="15" t="str">
        <f>_xlfn.TEXTBEFORE(_xlfn.TEXTAFTER(CantoralDB[[#This Row],[index.html]],"&gt;"),"&gt;")&amp;"&gt;"</f>
        <v>&lt;a href="canciones/ain_karem/atraviesas.html"&gt;</v>
      </c>
      <c r="Y194" s="1"/>
      <c r="Z194" s="1"/>
      <c r="AA194" s="1"/>
    </row>
    <row r="195" spans="1:27" x14ac:dyDescent="0.3">
      <c r="A195" s="1">
        <f>ROW(CantoralDB[[#This Row],[Título]])-1</f>
        <v>194</v>
      </c>
      <c r="B195" s="1" t="s">
        <v>1838</v>
      </c>
      <c r="C195" s="1"/>
      <c r="H195" s="1" t="s">
        <v>531</v>
      </c>
      <c r="I195" s="1" t="s">
        <v>2961</v>
      </c>
      <c r="J195" s="1" t="s">
        <v>608</v>
      </c>
      <c r="M195" s="15" t="s">
        <v>501</v>
      </c>
      <c r="N195" s="15" t="s">
        <v>1509</v>
      </c>
      <c r="O195" s="15">
        <v>5</v>
      </c>
      <c r="P195" s="15" t="str" cm="1">
        <f t="array" ref="P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95" s="15" t="str" cm="1">
        <f t="array" ref="Q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canciones/ain_karem/los_incontables.html</v>
      </c>
      <c r="S195" s="1"/>
      <c r="T195" s="1"/>
      <c r="U195" s="1"/>
      <c r="V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href="canciones/ain_karem/los_incontables.html"&gt;Los incontables&lt;/a&gt;&lt;/li&gt;</v>
      </c>
      <c r="W195" s="15" t="str">
        <f>_xlfn.TEXTBEFORE(_xlfn.TEXTAFTER(CantoralDB[[#This Row],[index.html]],"&gt;"),"&gt;")&amp;"&gt;"</f>
        <v>&lt;a href="canciones/ain_karem/los_incontables.html"&gt;</v>
      </c>
      <c r="Y195" s="1"/>
      <c r="Z195" s="1"/>
      <c r="AA195" s="1"/>
    </row>
    <row r="196" spans="1:27" x14ac:dyDescent="0.3">
      <c r="A196" s="1">
        <f>ROW(CantoralDB[[#This Row],[Título]])-1</f>
        <v>195</v>
      </c>
      <c r="B196" s="1" t="s">
        <v>182</v>
      </c>
      <c r="C196" s="1" t="s">
        <v>201</v>
      </c>
      <c r="D196" s="1" t="s">
        <v>658</v>
      </c>
      <c r="G196" s="1" t="s">
        <v>209</v>
      </c>
      <c r="H196" s="1" t="s">
        <v>1030</v>
      </c>
      <c r="I196" s="1" t="s">
        <v>2962</v>
      </c>
      <c r="J196" s="1" t="s">
        <v>608</v>
      </c>
      <c r="M196" s="15" t="s">
        <v>501</v>
      </c>
      <c r="N196" s="15" t="s">
        <v>1509</v>
      </c>
      <c r="O196" s="15">
        <v>6</v>
      </c>
      <c r="P196" s="15" t="str" cm="1">
        <f t="array" ref="P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96" s="15" t="str" cm="1">
        <f t="array" ref="Q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canciones/ain_karem/he_venido_a_servir.html</v>
      </c>
      <c r="S196" s="1" t="s">
        <v>837</v>
      </c>
      <c r="T196" s="1"/>
      <c r="U196" s="1"/>
      <c r="V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 data-momento="Antífonas" data-nnew="D20"&gt;&lt;a href="canciones/ain_karem/he_venido_a_servir.html"&gt;He venido a servir&lt;/a&gt;&lt;/li&gt;</v>
      </c>
      <c r="W196" s="15" t="str">
        <f>_xlfn.TEXTBEFORE(_xlfn.TEXTAFTER(CantoralDB[[#This Row],[index.html]],"&gt;"),"&gt;")&amp;"&gt;"</f>
        <v>&lt;a href="canciones/ain_karem/he_venido_a_servir.html"&gt;</v>
      </c>
      <c r="Y196" s="1"/>
      <c r="Z196" s="1"/>
      <c r="AA196" s="1"/>
    </row>
    <row r="197" spans="1:27" x14ac:dyDescent="0.3">
      <c r="A197" s="1">
        <f>ROW(CantoralDB[[#This Row],[Título]])-1</f>
        <v>196</v>
      </c>
      <c r="B197" s="1" t="s">
        <v>1790</v>
      </c>
      <c r="C197" s="1"/>
      <c r="H197" s="1" t="s">
        <v>473</v>
      </c>
      <c r="I197" s="1" t="s">
        <v>2962</v>
      </c>
      <c r="J197" s="1" t="s">
        <v>608</v>
      </c>
      <c r="M197" s="15" t="s">
        <v>501</v>
      </c>
      <c r="N197" s="15" t="s">
        <v>1509</v>
      </c>
      <c r="O197" s="15">
        <v>7</v>
      </c>
      <c r="P197" s="15" t="str" cm="1">
        <f t="array" ref="P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97" s="15" t="str" cm="1">
        <f t="array" ref="Q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canciones/ain_karem/palabra_encarnada.html</v>
      </c>
      <c r="S197" s="1"/>
      <c r="T197" s="1"/>
      <c r="U197" s="1"/>
      <c r="V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href="canciones/ain_karem/palabra_encarnada.html"&gt;Palabra encarnada&lt;/a&gt;&lt;/li&gt;</v>
      </c>
      <c r="W197" s="15" t="str">
        <f>_xlfn.TEXTBEFORE(_xlfn.TEXTAFTER(CantoralDB[[#This Row],[index.html]],"&gt;"),"&gt;")&amp;"&gt;"</f>
        <v>&lt;a href="canciones/ain_karem/palabra_encarnada.html"&gt;</v>
      </c>
      <c r="Y197" s="1"/>
      <c r="Z197" s="1"/>
      <c r="AA197" s="1"/>
    </row>
    <row r="198" spans="1:27" x14ac:dyDescent="0.3">
      <c r="A198" s="1">
        <f>ROW(CantoralDB[[#This Row],[Título]])-1</f>
        <v>197</v>
      </c>
      <c r="B198" s="1" t="s">
        <v>1791</v>
      </c>
      <c r="C198" s="1"/>
      <c r="H198" s="1" t="s">
        <v>1027</v>
      </c>
      <c r="J198" s="1"/>
      <c r="M198" s="15" t="s">
        <v>501</v>
      </c>
      <c r="N198" s="15" t="s">
        <v>1509</v>
      </c>
      <c r="O198" s="15">
        <v>8</v>
      </c>
      <c r="P198" s="15" t="str" cm="1">
        <f t="array" ref="P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98" s="15" t="str" cm="1">
        <f t="array" ref="Q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canciones/ain_karem/kolokoso.html</v>
      </c>
      <c r="S198" s="1"/>
      <c r="T198" s="1"/>
      <c r="U198" s="1"/>
      <c r="V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href="canciones/ain_karem/kolokoso.html"&gt;Kolokoso&lt;/a&gt;&lt;/li&gt;</v>
      </c>
      <c r="W198" s="15" t="str">
        <f>_xlfn.TEXTBEFORE(_xlfn.TEXTAFTER(CantoralDB[[#This Row],[index.html]],"&gt;"),"&gt;")&amp;"&gt;"</f>
        <v>&lt;a href="canciones/ain_karem/kolokoso.html"&gt;</v>
      </c>
      <c r="Y198" s="1"/>
      <c r="Z198" s="1"/>
      <c r="AA198" s="1"/>
    </row>
    <row r="199" spans="1:27" x14ac:dyDescent="0.3">
      <c r="A199" s="1">
        <f>ROW(CantoralDB[[#This Row],[Título]])-1</f>
        <v>198</v>
      </c>
      <c r="B199" s="1" t="s">
        <v>1792</v>
      </c>
      <c r="C199" s="1"/>
      <c r="H199" s="1" t="s">
        <v>1030</v>
      </c>
      <c r="I199" s="1" t="s">
        <v>2960</v>
      </c>
      <c r="J199" s="1" t="s">
        <v>608</v>
      </c>
      <c r="M199" s="15" t="s">
        <v>501</v>
      </c>
      <c r="N199" s="15" t="s">
        <v>1509</v>
      </c>
      <c r="O199" s="15">
        <v>9</v>
      </c>
      <c r="P199" s="15" t="str" cm="1">
        <f t="array" ref="P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199" s="15" t="str" cm="1">
        <f t="array" ref="Q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canciones/ain_karem/la_mujer_cananea.html</v>
      </c>
      <c r="S199" s="1"/>
      <c r="T199" s="1"/>
      <c r="U199" s="1"/>
      <c r="V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href="canciones/ain_karem/la_mujer_cananea.html"&gt;La mujer cananea&lt;/a&gt;&lt;/li&gt;</v>
      </c>
      <c r="W199" s="15" t="str">
        <f>_xlfn.TEXTBEFORE(_xlfn.TEXTAFTER(CantoralDB[[#This Row],[index.html]],"&gt;"),"&gt;")&amp;"&gt;"</f>
        <v>&lt;a href="canciones/ain_karem/la_mujer_cananea.html"&gt;</v>
      </c>
      <c r="Y199" s="1"/>
      <c r="Z199" s="1"/>
      <c r="AA199" s="1"/>
    </row>
    <row r="200" spans="1:27" x14ac:dyDescent="0.3">
      <c r="A200" s="1">
        <f>ROW(CantoralDB[[#This Row],[Título]])-1</f>
        <v>199</v>
      </c>
      <c r="B200" s="1" t="s">
        <v>1793</v>
      </c>
      <c r="C200" s="1"/>
      <c r="H200" s="1" t="s">
        <v>1028</v>
      </c>
      <c r="J200" s="1" t="s">
        <v>608</v>
      </c>
      <c r="M200" s="15" t="s">
        <v>501</v>
      </c>
      <c r="N200" s="15" t="s">
        <v>1509</v>
      </c>
      <c r="O200" s="15">
        <v>10</v>
      </c>
      <c r="P200" s="15" t="str" cm="1">
        <f t="array" ref="P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00" s="15" t="str" cm="1">
        <f t="array" ref="Q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canciones/ain_karem/el_siervo.html</v>
      </c>
      <c r="S200" s="1"/>
      <c r="T200" s="1"/>
      <c r="U200" s="1"/>
      <c r="V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href="canciones/ain_karem/el_siervo.html"&gt;El siervo&lt;/a&gt;&lt;/li&gt;</v>
      </c>
      <c r="W200" s="15" t="str">
        <f>_xlfn.TEXTBEFORE(_xlfn.TEXTAFTER(CantoralDB[[#This Row],[index.html]],"&gt;"),"&gt;")&amp;"&gt;"</f>
        <v>&lt;a href="canciones/ain_karem/el_siervo.html"&gt;</v>
      </c>
      <c r="Y200" s="1"/>
      <c r="Z200" s="1"/>
      <c r="AA200" s="1"/>
    </row>
    <row r="201" spans="1:27" x14ac:dyDescent="0.3">
      <c r="A201" s="1">
        <f>ROW(CantoralDB[[#This Row],[Título]])-1</f>
        <v>200</v>
      </c>
      <c r="B201" s="1" t="s">
        <v>1794</v>
      </c>
      <c r="C201" s="1"/>
      <c r="H201" s="1" t="s">
        <v>1027</v>
      </c>
      <c r="J201" s="1" t="s">
        <v>608</v>
      </c>
      <c r="M201" s="15" t="s">
        <v>501</v>
      </c>
      <c r="N201" s="15" t="s">
        <v>1509</v>
      </c>
      <c r="O201" s="15">
        <v>11</v>
      </c>
      <c r="P201" s="15" t="str" cm="1">
        <f t="array" ref="P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01" s="15" t="str" cm="1">
        <f t="array" ref="Q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canciones/ain_karem/la_moneda_perdida.html</v>
      </c>
      <c r="S201" s="1"/>
      <c r="T201" s="1"/>
      <c r="U201" s="1"/>
      <c r="V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href="canciones/ain_karem/la_moneda_perdida.html"&gt;La moneda perdida&lt;/a&gt;&lt;/li&gt;</v>
      </c>
      <c r="W201" s="15" t="str">
        <f>_xlfn.TEXTBEFORE(_xlfn.TEXTAFTER(CantoralDB[[#This Row],[index.html]],"&gt;"),"&gt;")&amp;"&gt;"</f>
        <v>&lt;a href="canciones/ain_karem/la_moneda_perdida.html"&gt;</v>
      </c>
      <c r="Y201" s="1"/>
      <c r="Z201" s="1"/>
      <c r="AA201" s="1"/>
    </row>
    <row r="202" spans="1:27" x14ac:dyDescent="0.3">
      <c r="A202" s="1">
        <f>ROW(CantoralDB[[#This Row],[Título]])-1</f>
        <v>201</v>
      </c>
      <c r="B202" s="1" t="s">
        <v>1795</v>
      </c>
      <c r="C202" s="1"/>
      <c r="H202" s="1" t="s">
        <v>1030</v>
      </c>
      <c r="I202" s="1" t="s">
        <v>2960</v>
      </c>
      <c r="J202" s="1" t="s">
        <v>608</v>
      </c>
      <c r="M202" s="15" t="s">
        <v>501</v>
      </c>
      <c r="N202" s="15" t="s">
        <v>1509</v>
      </c>
      <c r="O202" s="15">
        <v>12</v>
      </c>
      <c r="P202" s="15" t="str" cm="1">
        <f t="array" ref="P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02" s="15" t="str" cm="1">
        <f t="array" ref="Q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canciones/ain_karem/señor_mio_y_dios_mio.html</v>
      </c>
      <c r="S202" s="1"/>
      <c r="T202" s="1"/>
      <c r="U202" s="1"/>
      <c r="V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href="canciones/ain_karem/señor_mio_y_dios_mio.html"&gt;Señor mío y Dios mío&lt;/a&gt;&lt;/li&gt;</v>
      </c>
      <c r="W202" s="15" t="str">
        <f>_xlfn.TEXTBEFORE(_xlfn.TEXTAFTER(CantoralDB[[#This Row],[index.html]],"&gt;"),"&gt;")&amp;"&gt;"</f>
        <v>&lt;a href="canciones/ain_karem/señor_mio_y_dios_mio.html"&gt;</v>
      </c>
      <c r="Y202" s="1"/>
      <c r="Z202" s="1"/>
      <c r="AA202" s="1"/>
    </row>
    <row r="203" spans="1:27" x14ac:dyDescent="0.3">
      <c r="A203" s="1">
        <f>ROW(CantoralDB[[#This Row],[Título]])-1</f>
        <v>202</v>
      </c>
      <c r="B203" s="1" t="s">
        <v>1796</v>
      </c>
      <c r="C203" s="1"/>
      <c r="H203" s="1" t="s">
        <v>531</v>
      </c>
      <c r="J203" s="1" t="s">
        <v>608</v>
      </c>
      <c r="M203" s="15" t="s">
        <v>501</v>
      </c>
      <c r="N203" s="15" t="s">
        <v>1509</v>
      </c>
      <c r="O203" s="15">
        <v>13</v>
      </c>
      <c r="P203" s="15" t="str" cm="1">
        <f t="array" ref="P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03" s="15" t="str" cm="1">
        <f t="array" ref="Q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canciones/ain_karem/dame_una_palabra.html</v>
      </c>
      <c r="S203" s="1"/>
      <c r="T203" s="1"/>
      <c r="U203" s="1"/>
      <c r="V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href="canciones/ain_karem/dame_una_palabra.html"&gt;Dame una palabra&lt;/a&gt;&lt;/li&gt;</v>
      </c>
      <c r="W203" s="15" t="str">
        <f>_xlfn.TEXTBEFORE(_xlfn.TEXTAFTER(CantoralDB[[#This Row],[index.html]],"&gt;"),"&gt;")&amp;"&gt;"</f>
        <v>&lt;a href="canciones/ain_karem/dame_una_palabra.html"&gt;</v>
      </c>
      <c r="Y203" s="1"/>
      <c r="Z203" s="1"/>
      <c r="AA203" s="1"/>
    </row>
    <row r="204" spans="1:27" x14ac:dyDescent="0.3">
      <c r="A204" s="1">
        <f>ROW(CantoralDB[[#This Row],[Título]])-1</f>
        <v>203</v>
      </c>
      <c r="B204" s="1" t="s">
        <v>1797</v>
      </c>
      <c r="C204" s="1"/>
      <c r="H204" s="1" t="s">
        <v>1027</v>
      </c>
      <c r="I204" s="1" t="s">
        <v>2962</v>
      </c>
      <c r="J204" s="1" t="s">
        <v>608</v>
      </c>
      <c r="M204" s="15" t="s">
        <v>501</v>
      </c>
      <c r="N204" s="15" t="s">
        <v>1509</v>
      </c>
      <c r="O204" s="15">
        <v>14</v>
      </c>
      <c r="P204" s="15" t="str" cm="1">
        <f t="array" ref="P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04" s="15" t="str" cm="1">
        <f t="array" ref="Q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canciones/ain_karem/somos_del_señor.html</v>
      </c>
      <c r="S204" s="1"/>
      <c r="T204" s="1"/>
      <c r="U204" s="1"/>
      <c r="V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href="canciones/ain_karem/somos_del_señor.html"&gt;Somos del Señor&lt;/a&gt;&lt;/li&gt;</v>
      </c>
      <c r="W204" s="15" t="str">
        <f>_xlfn.TEXTBEFORE(_xlfn.TEXTAFTER(CantoralDB[[#This Row],[index.html]],"&gt;"),"&gt;")&amp;"&gt;"</f>
        <v>&lt;a href="canciones/ain_karem/somos_del_señor.html"&gt;</v>
      </c>
      <c r="Y204" s="1"/>
      <c r="Z204" s="1"/>
      <c r="AA204" s="1"/>
    </row>
    <row r="205" spans="1:27" x14ac:dyDescent="0.3">
      <c r="A205" s="1">
        <f>ROW(CantoralDB[[#This Row],[Título]])-1</f>
        <v>204</v>
      </c>
      <c r="B205" s="1" t="s">
        <v>1798</v>
      </c>
      <c r="C205" s="1"/>
      <c r="H205" s="1" t="s">
        <v>473</v>
      </c>
      <c r="I205" s="1" t="s">
        <v>2962</v>
      </c>
      <c r="J205" s="1" t="s">
        <v>608</v>
      </c>
      <c r="M205" s="15" t="s">
        <v>501</v>
      </c>
      <c r="N205" s="15" t="s">
        <v>1509</v>
      </c>
      <c r="O205" s="15">
        <v>15</v>
      </c>
      <c r="P205" s="15" t="str" cm="1">
        <f t="array" ref="P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05" s="15" t="str" cm="1">
        <f t="array" ref="Q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canciones/ain_karem/fuertes_humildes_y_diligentes.html</v>
      </c>
      <c r="S205" s="1"/>
      <c r="T205" s="1"/>
      <c r="U205" s="1"/>
      <c r="V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href="canciones/ain_karem/fuertes_humildes_y_diligentes.html"&gt;Fuertes, humildes y diligentes&lt;/a&gt;&lt;/li&gt;</v>
      </c>
      <c r="W205" s="15" t="str">
        <f>_xlfn.TEXTBEFORE(_xlfn.TEXTAFTER(CantoralDB[[#This Row],[index.html]],"&gt;"),"&gt;")&amp;"&gt;"</f>
        <v>&lt;a href="canciones/ain_karem/fuertes_humildes_y_diligentes.html"&gt;</v>
      </c>
      <c r="Y205" s="1"/>
      <c r="Z205" s="1"/>
      <c r="AA205" s="1"/>
    </row>
    <row r="206" spans="1:27" x14ac:dyDescent="0.3">
      <c r="A206" s="1">
        <f>ROW(CantoralDB[[#This Row],[Título]])-1</f>
        <v>205</v>
      </c>
      <c r="B206" s="1" t="s">
        <v>501</v>
      </c>
      <c r="C206" s="1"/>
      <c r="H206" s="1" t="s">
        <v>1030</v>
      </c>
      <c r="I206" s="1" t="s">
        <v>2962</v>
      </c>
      <c r="J206" s="1" t="s">
        <v>608</v>
      </c>
      <c r="M206" s="15" t="s">
        <v>501</v>
      </c>
      <c r="N206" s="15" t="s">
        <v>1506</v>
      </c>
      <c r="O206" s="15">
        <v>1</v>
      </c>
      <c r="P206" s="15" t="str" cm="1">
        <f t="array" ref="P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06" s="15" t="str" cm="1">
        <f t="array" ref="Q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canciones/ain_karem/ain_karem.html</v>
      </c>
      <c r="S206" s="1"/>
      <c r="T206" s="1"/>
      <c r="U206" s="1"/>
      <c r="V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href="canciones/ain_karem/ain_karem.html"&gt;Ain Karem&lt;/a&gt;&lt;/li&gt;</v>
      </c>
      <c r="W206" s="15" t="str">
        <f>_xlfn.TEXTBEFORE(_xlfn.TEXTAFTER(CantoralDB[[#This Row],[index.html]],"&gt;"),"&gt;")&amp;"&gt;"</f>
        <v>&lt;a href="canciones/ain_karem/ain_karem.html"&gt;</v>
      </c>
      <c r="Y206" s="1"/>
      <c r="Z206" s="1"/>
      <c r="AA206" s="1"/>
    </row>
    <row r="207" spans="1:27" x14ac:dyDescent="0.3">
      <c r="A207" s="1">
        <f>ROW(CantoralDB[[#This Row],[Título]])-1</f>
        <v>206</v>
      </c>
      <c r="B207" s="1" t="s">
        <v>1753</v>
      </c>
      <c r="C207" s="1"/>
      <c r="H207" s="1" t="s">
        <v>531</v>
      </c>
      <c r="I207" s="1" t="s">
        <v>2962</v>
      </c>
      <c r="J207" s="1" t="s">
        <v>608</v>
      </c>
      <c r="M207" s="15" t="s">
        <v>501</v>
      </c>
      <c r="N207" s="15" t="s">
        <v>1506</v>
      </c>
      <c r="O207" s="15">
        <v>2</v>
      </c>
      <c r="P207" s="15" t="str" cm="1">
        <f t="array" ref="P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07" s="15" t="str" cm="1">
        <f t="array" ref="Q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canciones/ain_karem/te_basta_mi_gracia.html</v>
      </c>
      <c r="S207" s="1"/>
      <c r="T207" s="1"/>
      <c r="U207" s="1"/>
      <c r="V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href="canciones/ain_karem/te_basta_mi_gracia.html"&gt;Te basta mi gracia&lt;/a&gt;&lt;/li&gt;</v>
      </c>
      <c r="W207" s="15" t="str">
        <f>_xlfn.TEXTBEFORE(_xlfn.TEXTAFTER(CantoralDB[[#This Row],[index.html]],"&gt;"),"&gt;")&amp;"&gt;"</f>
        <v>&lt;a href="canciones/ain_karem/te_basta_mi_gracia.html"&gt;</v>
      </c>
      <c r="Y207" s="1"/>
      <c r="Z207" s="1"/>
      <c r="AA207" s="1"/>
    </row>
    <row r="208" spans="1:27" x14ac:dyDescent="0.3">
      <c r="A208" s="1">
        <f>ROW(CantoralDB[[#This Row],[Título]])-1</f>
        <v>207</v>
      </c>
      <c r="B208" s="1" t="s">
        <v>2894</v>
      </c>
      <c r="C208" s="1"/>
      <c r="H208" s="1" t="s">
        <v>531</v>
      </c>
      <c r="I208" s="1" t="s">
        <v>2961</v>
      </c>
      <c r="J208" s="1" t="s">
        <v>608</v>
      </c>
      <c r="M208" s="15" t="s">
        <v>501</v>
      </c>
      <c r="N208" s="15" t="s">
        <v>1506</v>
      </c>
      <c r="O208" s="15">
        <v>3</v>
      </c>
      <c r="P208" s="15" t="str" cm="1">
        <f t="array" ref="P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08" s="15" t="str" cm="1">
        <f t="array" ref="Q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canciones/ain_karem/poneos_en_pie.html</v>
      </c>
      <c r="S208" s="1"/>
      <c r="T208" s="1"/>
      <c r="U208" s="1"/>
      <c r="V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href="canciones/ain_karem/poneos_en_pie.html"&gt;Poneos en pie&lt;/a&gt;&lt;/li&gt;</v>
      </c>
      <c r="W208" s="15" t="str">
        <f>_xlfn.TEXTBEFORE(_xlfn.TEXTAFTER(CantoralDB[[#This Row],[index.html]],"&gt;"),"&gt;")&amp;"&gt;"</f>
        <v>&lt;a href="canciones/ain_karem/poneos_en_pie.html"&gt;</v>
      </c>
      <c r="Y208" s="1"/>
      <c r="Z208" s="1"/>
      <c r="AA208" s="1"/>
    </row>
    <row r="209" spans="1:27" x14ac:dyDescent="0.3">
      <c r="A209" s="1">
        <f>ROW(CantoralDB[[#This Row],[Título]])-1</f>
        <v>208</v>
      </c>
      <c r="B209" s="1" t="s">
        <v>1754</v>
      </c>
      <c r="C209" s="1"/>
      <c r="H209" s="1" t="s">
        <v>1030</v>
      </c>
      <c r="I209" s="1" t="s">
        <v>2961</v>
      </c>
      <c r="J209" s="1" t="s">
        <v>608</v>
      </c>
      <c r="M209" s="15" t="s">
        <v>501</v>
      </c>
      <c r="N209" s="15" t="s">
        <v>1506</v>
      </c>
      <c r="O209" s="15">
        <v>4</v>
      </c>
      <c r="P209" s="15" t="str" cm="1">
        <f t="array" ref="P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09" s="15" t="str" cm="1">
        <f t="array" ref="Q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canciones/ain_karem/se_mi_luz.html</v>
      </c>
      <c r="S209" s="1"/>
      <c r="T209" s="1"/>
      <c r="U209" s="1"/>
      <c r="V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href="canciones/ain_karem/se_mi_luz.html"&gt;Sé mi luz&lt;/a&gt;&lt;/li&gt;</v>
      </c>
      <c r="W209" s="15" t="str">
        <f>_xlfn.TEXTBEFORE(_xlfn.TEXTAFTER(CantoralDB[[#This Row],[index.html]],"&gt;"),"&gt;")&amp;"&gt;"</f>
        <v>&lt;a href="canciones/ain_karem/se_mi_luz.html"&gt;</v>
      </c>
      <c r="Y209" s="1"/>
      <c r="Z209" s="1"/>
      <c r="AA209" s="1"/>
    </row>
    <row r="210" spans="1:27" x14ac:dyDescent="0.3">
      <c r="A210" s="1">
        <f>ROW(CantoralDB[[#This Row],[Título]])-1</f>
        <v>209</v>
      </c>
      <c r="B210" s="1" t="s">
        <v>1843</v>
      </c>
      <c r="C210" s="1"/>
      <c r="H210" s="1" t="s">
        <v>531</v>
      </c>
      <c r="I210" s="1" t="s">
        <v>2962</v>
      </c>
      <c r="J210" s="1" t="s">
        <v>608</v>
      </c>
      <c r="M210" s="15" t="s">
        <v>501</v>
      </c>
      <c r="N210" s="15" t="s">
        <v>1506</v>
      </c>
      <c r="O210" s="15">
        <v>5</v>
      </c>
      <c r="P210" s="15" t="str" cm="1">
        <f t="array" ref="P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10" s="15" t="str" cm="1">
        <f t="array" ref="Q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canciones/ain_karem/como_podre_pagarte.html</v>
      </c>
      <c r="S210" s="1"/>
      <c r="T210" s="1"/>
      <c r="U210" s="1"/>
      <c r="V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href="canciones/ain_karem/como_podre_pagarte.html"&gt;Cómo podré pagarte&lt;/a&gt;&lt;/li&gt;</v>
      </c>
      <c r="W210" s="15" t="str">
        <f>_xlfn.TEXTBEFORE(_xlfn.TEXTAFTER(CantoralDB[[#This Row],[index.html]],"&gt;"),"&gt;")&amp;"&gt;"</f>
        <v>&lt;a href="canciones/ain_karem/como_podre_pagarte.html"&gt;</v>
      </c>
      <c r="Y210" s="1"/>
      <c r="Z210" s="1"/>
      <c r="AA210" s="1"/>
    </row>
    <row r="211" spans="1:27" x14ac:dyDescent="0.3">
      <c r="A211" s="1">
        <f>ROW(CantoralDB[[#This Row],[Título]])-1</f>
        <v>210</v>
      </c>
      <c r="B211" s="1" t="s">
        <v>1755</v>
      </c>
      <c r="C211" s="1"/>
      <c r="H211" s="1" t="s">
        <v>531</v>
      </c>
      <c r="I211" s="1" t="s">
        <v>2959</v>
      </c>
      <c r="J211" s="1" t="s">
        <v>608</v>
      </c>
      <c r="M211" s="15" t="s">
        <v>501</v>
      </c>
      <c r="N211" s="15" t="s">
        <v>1506</v>
      </c>
      <c r="O211" s="15">
        <v>6</v>
      </c>
      <c r="P211" s="15" t="str" cm="1">
        <f t="array" ref="P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11" s="15" t="str" cm="1">
        <f t="array" ref="Q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canciones/ain_karem/palabras_de_vida.html</v>
      </c>
      <c r="S211" s="1"/>
      <c r="T211" s="1"/>
      <c r="U211" s="1"/>
      <c r="V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href="canciones/ain_karem/palabras_de_vida.html"&gt;Palabras de vida&lt;/a&gt;&lt;/li&gt;</v>
      </c>
      <c r="W211" s="15" t="str">
        <f>_xlfn.TEXTBEFORE(_xlfn.TEXTAFTER(CantoralDB[[#This Row],[index.html]],"&gt;"),"&gt;")&amp;"&gt;"</f>
        <v>&lt;a href="canciones/ain_karem/palabras_de_vida.html"&gt;</v>
      </c>
      <c r="Y211" s="1"/>
      <c r="Z211" s="1"/>
      <c r="AA211" s="1"/>
    </row>
    <row r="212" spans="1:27" x14ac:dyDescent="0.3">
      <c r="A212" s="1">
        <f>ROW(CantoralDB[[#This Row],[Título]])-1</f>
        <v>211</v>
      </c>
      <c r="B212" s="1" t="s">
        <v>1756</v>
      </c>
      <c r="C212" s="1"/>
      <c r="H212" s="1" t="s">
        <v>531</v>
      </c>
      <c r="I212" s="1" t="s">
        <v>2961</v>
      </c>
      <c r="J212" s="1" t="s">
        <v>608</v>
      </c>
      <c r="M212" s="15" t="s">
        <v>501</v>
      </c>
      <c r="N212" s="15" t="s">
        <v>1506</v>
      </c>
      <c r="O212" s="15">
        <v>7</v>
      </c>
      <c r="P212" s="15" t="str" cm="1">
        <f t="array" ref="P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12" s="15" t="str" cm="1">
        <f t="array" ref="Q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canciones/ain_karem/seducida.html</v>
      </c>
      <c r="S212" s="1"/>
      <c r="T212" s="1"/>
      <c r="U212" s="1"/>
      <c r="V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href="canciones/ain_karem/seducida.html"&gt;Seducida&lt;/a&gt;&lt;/li&gt;</v>
      </c>
      <c r="W212" s="15" t="str">
        <f>_xlfn.TEXTBEFORE(_xlfn.TEXTAFTER(CantoralDB[[#This Row],[index.html]],"&gt;"),"&gt;")&amp;"&gt;"</f>
        <v>&lt;a href="canciones/ain_karem/seducida.html"&gt;</v>
      </c>
      <c r="Y212" s="1"/>
      <c r="Z212" s="1"/>
      <c r="AA212" s="1"/>
    </row>
    <row r="213" spans="1:27" x14ac:dyDescent="0.3">
      <c r="A213" s="1">
        <f>ROW(CantoralDB[[#This Row],[Título]])-1</f>
        <v>212</v>
      </c>
      <c r="B213" s="1" t="s">
        <v>1757</v>
      </c>
      <c r="C213" s="1"/>
      <c r="H213" s="1" t="s">
        <v>531</v>
      </c>
      <c r="I213" s="1" t="s">
        <v>2960</v>
      </c>
      <c r="J213" s="1" t="s">
        <v>608</v>
      </c>
      <c r="M213" s="15" t="s">
        <v>501</v>
      </c>
      <c r="N213" s="15" t="s">
        <v>1506</v>
      </c>
      <c r="O213" s="15">
        <v>8</v>
      </c>
      <c r="P213" s="15" t="str" cm="1">
        <f t="array" ref="P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13" s="15" t="str" cm="1">
        <f t="array" ref="Q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canciones/ain_karem/escucha.html</v>
      </c>
      <c r="S213" s="1"/>
      <c r="T213" s="1"/>
      <c r="U213" s="1"/>
      <c r="V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href="canciones/ain_karem/escucha.html"&gt;Escucha&lt;/a&gt;&lt;/li&gt;</v>
      </c>
      <c r="W213" s="15" t="str">
        <f>_xlfn.TEXTBEFORE(_xlfn.TEXTAFTER(CantoralDB[[#This Row],[index.html]],"&gt;"),"&gt;")&amp;"&gt;"</f>
        <v>&lt;a href="canciones/ain_karem/escucha.html"&gt;</v>
      </c>
      <c r="Y213" s="1"/>
      <c r="Z213" s="1"/>
      <c r="AA213" s="1"/>
    </row>
    <row r="214" spans="1:27" x14ac:dyDescent="0.3">
      <c r="A214" s="1">
        <f>ROW(CantoralDB[[#This Row],[Título]])-1</f>
        <v>213</v>
      </c>
      <c r="B214" s="1" t="s">
        <v>1758</v>
      </c>
      <c r="C214" s="1"/>
      <c r="H214" s="1" t="s">
        <v>531</v>
      </c>
      <c r="J214" s="1" t="s">
        <v>608</v>
      </c>
      <c r="M214" s="15" t="s">
        <v>501</v>
      </c>
      <c r="N214" s="15" t="s">
        <v>1506</v>
      </c>
      <c r="O214" s="15">
        <v>9</v>
      </c>
      <c r="P214" s="15" t="str" cm="1">
        <f t="array" ref="P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14" s="15" t="str" cm="1">
        <f t="array" ref="Q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canciones/ain_karem/ruah.html</v>
      </c>
      <c r="S214" s="1"/>
      <c r="T214" s="1"/>
      <c r="U214" s="1"/>
      <c r="V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href="canciones/ain_karem/ruah.html"&gt;Ruah&lt;/a&gt;&lt;/li&gt;</v>
      </c>
      <c r="W214" s="15" t="str">
        <f>_xlfn.TEXTBEFORE(_xlfn.TEXTAFTER(CantoralDB[[#This Row],[index.html]],"&gt;"),"&gt;")&amp;"&gt;"</f>
        <v>&lt;a href="canciones/ain_karem/ruah.html"&gt;</v>
      </c>
      <c r="Y214" s="1"/>
      <c r="Z214" s="1"/>
      <c r="AA214" s="1"/>
    </row>
    <row r="215" spans="1:27" x14ac:dyDescent="0.3">
      <c r="A215" s="1">
        <f>ROW(CantoralDB[[#This Row],[Título]])-1</f>
        <v>214</v>
      </c>
      <c r="B215" s="1" t="s">
        <v>1759</v>
      </c>
      <c r="C215" s="1"/>
      <c r="H215" s="1" t="s">
        <v>531</v>
      </c>
      <c r="I215" s="1" t="s">
        <v>2959</v>
      </c>
      <c r="J215" s="1" t="s">
        <v>608</v>
      </c>
      <c r="M215" s="15" t="s">
        <v>501</v>
      </c>
      <c r="N215" s="15" t="s">
        <v>1506</v>
      </c>
      <c r="O215" s="15">
        <v>10</v>
      </c>
      <c r="P215" s="15" t="str" cm="1">
        <f t="array" ref="P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15" s="15" t="str" cm="1">
        <f t="array" ref="Q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canciones/ain_karem/no_guardes_tu_vida.html</v>
      </c>
      <c r="S215" s="1"/>
      <c r="T215" s="1"/>
      <c r="U215" s="1"/>
      <c r="V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href="canciones/ain_karem/no_guardes_tu_vida.html"&gt;No guardes tu vida&lt;/a&gt;&lt;/li&gt;</v>
      </c>
      <c r="W215" s="15" t="str">
        <f>_xlfn.TEXTBEFORE(_xlfn.TEXTAFTER(CantoralDB[[#This Row],[index.html]],"&gt;"),"&gt;")&amp;"&gt;"</f>
        <v>&lt;a href="canciones/ain_karem/no_guardes_tu_vida.html"&gt;</v>
      </c>
      <c r="Y215" s="1"/>
      <c r="Z215" s="1"/>
      <c r="AA215" s="1"/>
    </row>
    <row r="216" spans="1:27" x14ac:dyDescent="0.3">
      <c r="A216" s="1">
        <f>ROW(CantoralDB[[#This Row],[Título]])-1</f>
        <v>215</v>
      </c>
      <c r="B216" s="1" t="s">
        <v>1760</v>
      </c>
      <c r="C216" s="1"/>
      <c r="H216" s="1" t="s">
        <v>1030</v>
      </c>
      <c r="I216" s="1" t="s">
        <v>2960</v>
      </c>
      <c r="J216" s="1" t="s">
        <v>608</v>
      </c>
      <c r="M216" s="15" t="s">
        <v>501</v>
      </c>
      <c r="N216" s="15" t="s">
        <v>1506</v>
      </c>
      <c r="O216" s="15">
        <v>11</v>
      </c>
      <c r="P216" s="15" t="str" cm="1">
        <f t="array" ref="P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16" s="15" t="str" cm="1">
        <f t="array" ref="Q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canciones/ain_karem/atraeme.html</v>
      </c>
      <c r="S216" s="1"/>
      <c r="T216" s="1"/>
      <c r="U216" s="1"/>
      <c r="V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href="canciones/ain_karem/atraeme.html"&gt;Atráeme&lt;/a&gt;&lt;/li&gt;</v>
      </c>
      <c r="W216" s="15" t="str">
        <f>_xlfn.TEXTBEFORE(_xlfn.TEXTAFTER(CantoralDB[[#This Row],[index.html]],"&gt;"),"&gt;")&amp;"&gt;"</f>
        <v>&lt;a href="canciones/ain_karem/atraeme.html"&gt;</v>
      </c>
      <c r="Y216" s="1"/>
      <c r="Z216" s="1"/>
      <c r="AA216" s="1"/>
    </row>
    <row r="217" spans="1:27" x14ac:dyDescent="0.3">
      <c r="A217" s="1">
        <f>ROW(CantoralDB[[#This Row],[Título]])-1</f>
        <v>216</v>
      </c>
      <c r="B217" s="1" t="s">
        <v>1761</v>
      </c>
      <c r="C217" s="1"/>
      <c r="H217" s="1" t="s">
        <v>531</v>
      </c>
      <c r="I217" s="1" t="s">
        <v>2962</v>
      </c>
      <c r="J217" s="1" t="s">
        <v>608</v>
      </c>
      <c r="M217" s="15" t="s">
        <v>501</v>
      </c>
      <c r="N217" s="15" t="s">
        <v>1506</v>
      </c>
      <c r="O217" s="15">
        <v>12</v>
      </c>
      <c r="P217" s="15" t="str" cm="1">
        <f t="array" ref="P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17" s="15" t="str" cm="1">
        <f t="array" ref="Q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canciones/ain_karem/dios_de_la_historia_bendice.html</v>
      </c>
      <c r="S217" s="1"/>
      <c r="T217" s="1"/>
      <c r="U217" s="1"/>
      <c r="V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href="canciones/ain_karem/dios_de_la_historia_bendice.html"&gt;Dios de la historia, bendice&lt;/a&gt;&lt;/li&gt;</v>
      </c>
      <c r="W217" s="15" t="str">
        <f>_xlfn.TEXTBEFORE(_xlfn.TEXTAFTER(CantoralDB[[#This Row],[index.html]],"&gt;"),"&gt;")&amp;"&gt;"</f>
        <v>&lt;a href="canciones/ain_karem/dios_de_la_historia_bendice.html"&gt;</v>
      </c>
      <c r="Y217" s="1"/>
      <c r="Z217" s="1"/>
      <c r="AA217" s="1"/>
    </row>
    <row r="218" spans="1:27" x14ac:dyDescent="0.3">
      <c r="A218" s="1">
        <f>ROW(CantoralDB[[#This Row],[Título]])-1</f>
        <v>217</v>
      </c>
      <c r="B218" s="1" t="s">
        <v>1762</v>
      </c>
      <c r="C218" s="1"/>
      <c r="H218" s="1" t="s">
        <v>1030</v>
      </c>
      <c r="I218" s="1" t="s">
        <v>2963</v>
      </c>
      <c r="J218" s="1" t="s">
        <v>608</v>
      </c>
      <c r="M218" s="15" t="s">
        <v>501</v>
      </c>
      <c r="N218" s="15" t="s">
        <v>1506</v>
      </c>
      <c r="O218" s="15">
        <v>13</v>
      </c>
      <c r="P218" s="15" t="str" cm="1">
        <f t="array" ref="P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18" s="15" t="str" cm="1">
        <f t="array" ref="Q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canciones/ain_karem/levantad_las_piedras.html</v>
      </c>
      <c r="S218" s="1"/>
      <c r="T218" s="1"/>
      <c r="U218" s="1"/>
      <c r="V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href="canciones/ain_karem/levantad_las_piedras.html"&gt;Levantad las piedras&lt;/a&gt;&lt;/li&gt;</v>
      </c>
      <c r="W218" s="15" t="str">
        <f>_xlfn.TEXTBEFORE(_xlfn.TEXTAFTER(CantoralDB[[#This Row],[index.html]],"&gt;"),"&gt;")&amp;"&gt;"</f>
        <v>&lt;a href="canciones/ain_karem/levantad_las_piedras.html"&gt;</v>
      </c>
      <c r="Y218" s="1"/>
      <c r="Z218" s="1"/>
      <c r="AA218" s="1"/>
    </row>
    <row r="219" spans="1:27" x14ac:dyDescent="0.3">
      <c r="A219" s="1">
        <f>ROW(CantoralDB[[#This Row],[Título]])-1</f>
        <v>218</v>
      </c>
      <c r="B219" s="1" t="s">
        <v>194</v>
      </c>
      <c r="C219" s="1"/>
      <c r="H219" s="1" t="s">
        <v>531</v>
      </c>
      <c r="I219" s="1" t="s">
        <v>2963</v>
      </c>
      <c r="J219" s="1" t="s">
        <v>608</v>
      </c>
      <c r="M219" s="15" t="s">
        <v>501</v>
      </c>
      <c r="N219" s="15" t="s">
        <v>1510</v>
      </c>
      <c r="O219" s="15">
        <v>1</v>
      </c>
      <c r="P219" s="15" t="str" cm="1">
        <f t="array" ref="P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19" s="15" t="str" cm="1">
        <f t="array" ref="Q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canciones/ain_karem/aleluya.html</v>
      </c>
      <c r="S219" s="1"/>
      <c r="T219" s="1"/>
      <c r="U219" s="1"/>
      <c r="V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href="canciones/ain_karem/aleluya.html"&gt;Aleluya&lt;/a&gt;&lt;/li&gt;</v>
      </c>
      <c r="W219" s="15" t="str">
        <f>_xlfn.TEXTBEFORE(_xlfn.TEXTAFTER(CantoralDB[[#This Row],[index.html]],"&gt;"),"&gt;")&amp;"&gt;"</f>
        <v>&lt;a href="canciones/ain_karem/aleluya.html"&gt;</v>
      </c>
      <c r="Y219" s="1"/>
      <c r="Z219" s="1"/>
      <c r="AA219" s="1"/>
    </row>
    <row r="220" spans="1:27" x14ac:dyDescent="0.3">
      <c r="A220" s="1">
        <f>ROW(CantoralDB[[#This Row],[Título]])-1</f>
        <v>219</v>
      </c>
      <c r="B220" s="1" t="s">
        <v>1799</v>
      </c>
      <c r="C220" s="1"/>
      <c r="H220" s="1" t="s">
        <v>1030</v>
      </c>
      <c r="I220" s="1" t="s">
        <v>2959</v>
      </c>
      <c r="J220" s="1" t="s">
        <v>608</v>
      </c>
      <c r="M220" s="15" t="s">
        <v>501</v>
      </c>
      <c r="N220" s="15" t="s">
        <v>1510</v>
      </c>
      <c r="O220" s="15">
        <v>2</v>
      </c>
      <c r="P220" s="15" t="str" cm="1">
        <f t="array" ref="P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20" s="15" t="str" cm="1">
        <f t="array" ref="Q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canciones/ain_karem/tu_eres_mi_bien.html</v>
      </c>
      <c r="S220" s="1"/>
      <c r="T220" s="1"/>
      <c r="U220" s="1"/>
      <c r="V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href="canciones/ain_karem/tu_eres_mi_bien.html"&gt;Tú eres mi bien&lt;/a&gt;&lt;/li&gt;</v>
      </c>
      <c r="W220" s="15" t="str">
        <f>_xlfn.TEXTBEFORE(_xlfn.TEXTAFTER(CantoralDB[[#This Row],[index.html]],"&gt;"),"&gt;")&amp;"&gt;"</f>
        <v>&lt;a href="canciones/ain_karem/tu_eres_mi_bien.html"&gt;</v>
      </c>
      <c r="Y220" s="1"/>
      <c r="Z220" s="1"/>
      <c r="AA220" s="1"/>
    </row>
    <row r="221" spans="1:27" x14ac:dyDescent="0.3">
      <c r="A221" s="1">
        <f>ROW(CantoralDB[[#This Row],[Título]])-1</f>
        <v>220</v>
      </c>
      <c r="B221" s="1" t="s">
        <v>1800</v>
      </c>
      <c r="C221" s="1"/>
      <c r="H221" s="1" t="s">
        <v>1030</v>
      </c>
      <c r="I221" s="1" t="s">
        <v>2959</v>
      </c>
      <c r="J221" s="1" t="s">
        <v>608</v>
      </c>
      <c r="M221" s="15" t="s">
        <v>501</v>
      </c>
      <c r="N221" s="15" t="s">
        <v>1510</v>
      </c>
      <c r="O221" s="15">
        <v>3</v>
      </c>
      <c r="P221" s="15" t="str" cm="1">
        <f t="array" ref="P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21" s="15" t="str" cm="1">
        <f t="array" ref="Q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canciones/ain_karem/desde_abajo.html</v>
      </c>
      <c r="S221" s="1"/>
      <c r="T221" s="1"/>
      <c r="U221" s="1"/>
      <c r="V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href="canciones/ain_karem/desde_abajo.html"&gt;Desde abajo&lt;/a&gt;&lt;/li&gt;</v>
      </c>
      <c r="W221" s="15" t="str">
        <f>_xlfn.TEXTBEFORE(_xlfn.TEXTAFTER(CantoralDB[[#This Row],[index.html]],"&gt;"),"&gt;")&amp;"&gt;"</f>
        <v>&lt;a href="canciones/ain_karem/desde_abajo.html"&gt;</v>
      </c>
      <c r="Y221" s="1"/>
      <c r="Z221" s="1"/>
      <c r="AA221" s="1"/>
    </row>
    <row r="222" spans="1:27" x14ac:dyDescent="0.3">
      <c r="A222" s="1">
        <f>ROW(CantoralDB[[#This Row],[Título]])-1</f>
        <v>221</v>
      </c>
      <c r="B222" s="1" t="s">
        <v>1801</v>
      </c>
      <c r="C222" s="1"/>
      <c r="H222" s="1" t="s">
        <v>1030</v>
      </c>
      <c r="I222" s="1" t="s">
        <v>2963</v>
      </c>
      <c r="J222" s="1" t="s">
        <v>608</v>
      </c>
      <c r="M222" s="15" t="s">
        <v>501</v>
      </c>
      <c r="N222" s="15" t="s">
        <v>1510</v>
      </c>
      <c r="O222" s="15">
        <v>4</v>
      </c>
      <c r="P222" s="15" t="str" cm="1">
        <f t="array" ref="P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22" s="15" t="str" cm="1">
        <f t="array" ref="Q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canciones/ain_karem/como_la_cierva.html</v>
      </c>
      <c r="S222" s="1"/>
      <c r="T222" s="1"/>
      <c r="U222" s="1"/>
      <c r="V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href="canciones/ain_karem/como_la_cierva.html"&gt;Como la cierva&lt;/a&gt;&lt;/li&gt;</v>
      </c>
      <c r="W222" s="15" t="str">
        <f>_xlfn.TEXTBEFORE(_xlfn.TEXTAFTER(CantoralDB[[#This Row],[index.html]],"&gt;"),"&gt;")&amp;"&gt;"</f>
        <v>&lt;a href="canciones/ain_karem/como_la_cierva.html"&gt;</v>
      </c>
      <c r="Y222" s="1"/>
      <c r="Z222" s="1"/>
      <c r="AA222" s="1"/>
    </row>
    <row r="223" spans="1:27" x14ac:dyDescent="0.3">
      <c r="A223" s="1">
        <f>ROW(CantoralDB[[#This Row],[Título]])-1</f>
        <v>222</v>
      </c>
      <c r="B223" s="1" t="s">
        <v>1802</v>
      </c>
      <c r="C223" s="1"/>
      <c r="H223" s="1" t="s">
        <v>531</v>
      </c>
      <c r="I223" s="1" t="s">
        <v>2960</v>
      </c>
      <c r="J223" s="1" t="s">
        <v>608</v>
      </c>
      <c r="M223" s="15" t="s">
        <v>501</v>
      </c>
      <c r="N223" s="15" t="s">
        <v>1510</v>
      </c>
      <c r="O223" s="15">
        <v>5</v>
      </c>
      <c r="P223" s="15" t="str" cm="1">
        <f t="array" ref="P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23" s="15" t="str" cm="1">
        <f t="array" ref="Q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canciones/ain_karem/solo_tu.html</v>
      </c>
      <c r="S223" s="1"/>
      <c r="T223" s="1"/>
      <c r="U223" s="1"/>
      <c r="V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href="canciones/ain_karem/solo_tu.html"&gt;Sólo Tú&lt;/a&gt;&lt;/li&gt;</v>
      </c>
      <c r="W223" s="15" t="str">
        <f>_xlfn.TEXTBEFORE(_xlfn.TEXTAFTER(CantoralDB[[#This Row],[index.html]],"&gt;"),"&gt;")&amp;"&gt;"</f>
        <v>&lt;a href="canciones/ain_karem/solo_tu.html"&gt;</v>
      </c>
      <c r="Y223" s="1"/>
      <c r="Z223" s="1"/>
      <c r="AA223" s="1"/>
    </row>
    <row r="224" spans="1:27" x14ac:dyDescent="0.3">
      <c r="A224" s="1">
        <f>ROW(CantoralDB[[#This Row],[Título]])-1</f>
        <v>223</v>
      </c>
      <c r="B224" s="1" t="s">
        <v>1803</v>
      </c>
      <c r="C224" s="1"/>
      <c r="H224" s="1" t="s">
        <v>1027</v>
      </c>
      <c r="J224" s="1" t="s">
        <v>608</v>
      </c>
      <c r="M224" s="15" t="s">
        <v>501</v>
      </c>
      <c r="N224" s="15" t="s">
        <v>1510</v>
      </c>
      <c r="O224" s="15">
        <v>6</v>
      </c>
      <c r="P224" s="15" t="str" cm="1">
        <f t="array" ref="P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24" s="15" t="str" cm="1">
        <f t="array" ref="Q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canciones/ain_karem/sed_felices.html</v>
      </c>
      <c r="S224" s="1"/>
      <c r="T224" s="1"/>
      <c r="U224" s="1"/>
      <c r="V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href="canciones/ain_karem/sed_felices.html"&gt;Sed felices&lt;/a&gt;&lt;/li&gt;</v>
      </c>
      <c r="W224" s="15" t="str">
        <f>_xlfn.TEXTBEFORE(_xlfn.TEXTAFTER(CantoralDB[[#This Row],[index.html]],"&gt;"),"&gt;")&amp;"&gt;"</f>
        <v>&lt;a href="canciones/ain_karem/sed_felices.html"&gt;</v>
      </c>
      <c r="Y224" s="1"/>
      <c r="Z224" s="1"/>
      <c r="AA224" s="1"/>
    </row>
    <row r="225" spans="1:27" x14ac:dyDescent="0.3">
      <c r="A225" s="1">
        <f>ROW(CantoralDB[[#This Row],[Título]])-1</f>
        <v>224</v>
      </c>
      <c r="B225" s="1" t="s">
        <v>1582</v>
      </c>
      <c r="C225" s="1"/>
      <c r="H225" s="1" t="s">
        <v>1030</v>
      </c>
      <c r="I225" s="1" t="s">
        <v>2963</v>
      </c>
      <c r="J225" s="1" t="s">
        <v>608</v>
      </c>
      <c r="M225" s="15" t="s">
        <v>501</v>
      </c>
      <c r="N225" s="15" t="s">
        <v>1510</v>
      </c>
      <c r="O225" s="15">
        <v>7</v>
      </c>
      <c r="P225" s="15" t="str" cm="1">
        <f t="array" ref="P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25" s="15" t="str" cm="1">
        <f t="array" ref="Q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canciones/ain_karem/ten_piedad.html</v>
      </c>
      <c r="S225" s="1"/>
      <c r="T225" s="1"/>
      <c r="U225" s="1"/>
      <c r="V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href="canciones/ain_karem/ten_piedad.html"&gt;Ten piedad&lt;/a&gt;&lt;/li&gt;</v>
      </c>
      <c r="W225" s="15" t="str">
        <f>_xlfn.TEXTBEFORE(_xlfn.TEXTAFTER(CantoralDB[[#This Row],[index.html]],"&gt;"),"&gt;")&amp;"&gt;"</f>
        <v>&lt;a href="canciones/ain_karem/ten_piedad.html"&gt;</v>
      </c>
      <c r="Y225" s="1"/>
      <c r="Z225" s="1"/>
      <c r="AA225" s="1"/>
    </row>
    <row r="226" spans="1:27" x14ac:dyDescent="0.3">
      <c r="A226" s="1">
        <f>ROW(CantoralDB[[#This Row],[Título]])-1</f>
        <v>225</v>
      </c>
      <c r="B226" s="1" t="s">
        <v>1510</v>
      </c>
      <c r="C226" s="1"/>
      <c r="H226" s="1" t="s">
        <v>1030</v>
      </c>
      <c r="J226" s="1" t="s">
        <v>608</v>
      </c>
      <c r="M226" s="15" t="s">
        <v>501</v>
      </c>
      <c r="N226" s="15" t="s">
        <v>1510</v>
      </c>
      <c r="O226" s="15">
        <v>8</v>
      </c>
      <c r="P226" s="15" t="str" cm="1">
        <f t="array" ref="P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26" s="15" t="str" cm="1">
        <f t="array" ref="Q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canciones/ain_karem/busca_mi_rostro.html</v>
      </c>
      <c r="S226" s="1"/>
      <c r="T226" s="1"/>
      <c r="U226" s="1"/>
      <c r="V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href="canciones/ain_karem/busca_mi_rostro.html"&gt;Busca mi rostro&lt;/a&gt;&lt;/li&gt;</v>
      </c>
      <c r="W226" s="15" t="str">
        <f>_xlfn.TEXTBEFORE(_xlfn.TEXTAFTER(CantoralDB[[#This Row],[index.html]],"&gt;"),"&gt;")&amp;"&gt;"</f>
        <v>&lt;a href="canciones/ain_karem/busca_mi_rostro.html"&gt;</v>
      </c>
      <c r="Y226" s="1"/>
      <c r="Z226" s="1"/>
      <c r="AA226" s="1"/>
    </row>
    <row r="227" spans="1:27" x14ac:dyDescent="0.3">
      <c r="A227" s="1">
        <f>ROW(CantoralDB[[#This Row],[Título]])-1</f>
        <v>226</v>
      </c>
      <c r="B227" s="1" t="s">
        <v>1804</v>
      </c>
      <c r="C227" s="1"/>
      <c r="H227" s="1" t="s">
        <v>473</v>
      </c>
      <c r="J227" s="1" t="s">
        <v>608</v>
      </c>
      <c r="M227" s="15" t="s">
        <v>501</v>
      </c>
      <c r="N227" s="15" t="s">
        <v>1510</v>
      </c>
      <c r="O227" s="15">
        <v>9</v>
      </c>
      <c r="P227" s="15" t="str" cm="1">
        <f t="array" ref="P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27" s="15" t="str" cm="1">
        <f t="array" ref="Q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canciones/ain_karem/señor_de_la_sabiduria.html</v>
      </c>
      <c r="S227" s="1"/>
      <c r="T227" s="1"/>
      <c r="U227" s="1"/>
      <c r="V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href="canciones/ain_karem/señor_de_la_sabiduria.html"&gt;Señor de la sabiduría&lt;/a&gt;&lt;/li&gt;</v>
      </c>
      <c r="W227" s="15" t="str">
        <f>_xlfn.TEXTBEFORE(_xlfn.TEXTAFTER(CantoralDB[[#This Row],[index.html]],"&gt;"),"&gt;")&amp;"&gt;"</f>
        <v>&lt;a href="canciones/ain_karem/señor_de_la_sabiduria.html"&gt;</v>
      </c>
      <c r="Y227" s="1"/>
      <c r="Z227" s="1"/>
      <c r="AA227" s="1"/>
    </row>
    <row r="228" spans="1:27" x14ac:dyDescent="0.3">
      <c r="A228" s="1">
        <f>ROW(CantoralDB[[#This Row],[Título]])-1</f>
        <v>227</v>
      </c>
      <c r="B228" s="1" t="s">
        <v>1805</v>
      </c>
      <c r="C228" s="1"/>
      <c r="H228" s="1" t="s">
        <v>1029</v>
      </c>
      <c r="I228" s="1" t="s">
        <v>2961</v>
      </c>
      <c r="J228" s="1" t="s">
        <v>608</v>
      </c>
      <c r="M228" s="15" t="s">
        <v>501</v>
      </c>
      <c r="N228" s="15" t="s">
        <v>1510</v>
      </c>
      <c r="O228" s="15">
        <v>10</v>
      </c>
      <c r="P228" s="15" t="str" cm="1">
        <f t="array" ref="P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28" s="15" t="str" cm="1">
        <f t="array" ref="Q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canciones/ain_karem/descansa_en_ti_su_mirada.html</v>
      </c>
      <c r="S228" s="1"/>
      <c r="T228" s="1"/>
      <c r="U228" s="1"/>
      <c r="V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href="canciones/ain_karem/descansa_en_ti_su_mirada.html"&gt;Descansa en ti su mirada&lt;/a&gt;&lt;/li&gt;</v>
      </c>
      <c r="W228" s="15" t="str">
        <f>_xlfn.TEXTBEFORE(_xlfn.TEXTAFTER(CantoralDB[[#This Row],[index.html]],"&gt;"),"&gt;")&amp;"&gt;"</f>
        <v>&lt;a href="canciones/ain_karem/descansa_en_ti_su_mirada.html"&gt;</v>
      </c>
      <c r="Y228" s="1"/>
      <c r="Z228" s="1"/>
      <c r="AA228" s="1"/>
    </row>
    <row r="229" spans="1:27" x14ac:dyDescent="0.3">
      <c r="A229" s="1">
        <f>ROW(CantoralDB[[#This Row],[Título]])-1</f>
        <v>228</v>
      </c>
      <c r="B229" s="1" t="s">
        <v>1806</v>
      </c>
      <c r="C229" s="1"/>
      <c r="H229" s="1" t="s">
        <v>1030</v>
      </c>
      <c r="J229" s="1" t="s">
        <v>608</v>
      </c>
      <c r="M229" s="15" t="s">
        <v>501</v>
      </c>
      <c r="N229" s="15" t="s">
        <v>1510</v>
      </c>
      <c r="O229" s="15">
        <v>11</v>
      </c>
      <c r="P229" s="15" t="str" cm="1">
        <f t="array" ref="P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29" s="15" t="str" cm="1">
        <f t="array" ref="Q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canciones/ain_karem/el_amor.html</v>
      </c>
      <c r="S229" s="1"/>
      <c r="T229" s="1"/>
      <c r="U229" s="1"/>
      <c r="V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href="canciones/ain_karem/el_amor.html"&gt;El amor&lt;/a&gt;&lt;/li&gt;</v>
      </c>
      <c r="W229" s="15" t="str">
        <f>_xlfn.TEXTBEFORE(_xlfn.TEXTAFTER(CantoralDB[[#This Row],[index.html]],"&gt;"),"&gt;")&amp;"&gt;"</f>
        <v>&lt;a href="canciones/ain_karem/el_amor.html"&gt;</v>
      </c>
      <c r="Y229" s="1"/>
      <c r="Z229" s="1"/>
      <c r="AA229" s="1"/>
    </row>
    <row r="230" spans="1:27" x14ac:dyDescent="0.3">
      <c r="A230" s="1">
        <f>ROW(CantoralDB[[#This Row],[Título]])-1</f>
        <v>229</v>
      </c>
      <c r="B230" s="1" t="s">
        <v>534</v>
      </c>
      <c r="C230" s="1"/>
      <c r="H230" s="1" t="s">
        <v>1030</v>
      </c>
      <c r="I230" s="1" t="s">
        <v>2961</v>
      </c>
      <c r="J230" s="1" t="s">
        <v>608</v>
      </c>
      <c r="M230" s="15" t="s">
        <v>501</v>
      </c>
      <c r="N230" s="15" t="s">
        <v>1510</v>
      </c>
      <c r="O230" s="15">
        <v>12</v>
      </c>
      <c r="P230" s="15" t="str" cm="1">
        <f t="array" ref="P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30" s="15" t="str" cm="1">
        <f t="array" ref="Q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canciones/ain_karem/maria_de_nazaret.html</v>
      </c>
      <c r="S230" s="1"/>
      <c r="T230" s="1"/>
      <c r="U230" s="1"/>
      <c r="V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href="canciones/ain_karem/maria_de_nazaret.html"&gt;María de Nazaret&lt;/a&gt;&lt;/li&gt;</v>
      </c>
      <c r="W230" s="15" t="str">
        <f>_xlfn.TEXTBEFORE(_xlfn.TEXTAFTER(CantoralDB[[#This Row],[index.html]],"&gt;"),"&gt;")&amp;"&gt;"</f>
        <v>&lt;a href="canciones/ain_karem/maria_de_nazaret.html"&gt;</v>
      </c>
      <c r="Y230" s="1"/>
      <c r="Z230" s="1"/>
      <c r="AA230" s="1"/>
    </row>
    <row r="231" spans="1:27" x14ac:dyDescent="0.3">
      <c r="A231" s="1">
        <f>ROW(CantoralDB[[#This Row],[Título]])-1</f>
        <v>230</v>
      </c>
      <c r="B231" s="1" t="s">
        <v>1807</v>
      </c>
      <c r="C231" s="1"/>
      <c r="H231" s="1" t="s">
        <v>1030</v>
      </c>
      <c r="I231" s="1" t="s">
        <v>2962</v>
      </c>
      <c r="J231" s="1" t="s">
        <v>608</v>
      </c>
      <c r="M231" s="15" t="s">
        <v>501</v>
      </c>
      <c r="N231" s="15" t="s">
        <v>1510</v>
      </c>
      <c r="O231" s="15">
        <v>13</v>
      </c>
      <c r="P231" s="15" t="str" cm="1">
        <f t="array" ref="P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31" s="15" t="str" cm="1">
        <f t="array" ref="Q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canciones/ain_karem/miradle.html</v>
      </c>
      <c r="S231" s="1"/>
      <c r="T231" s="1"/>
      <c r="U231" s="1"/>
      <c r="V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href="canciones/ain_karem/miradle.html"&gt;Miradle&lt;/a&gt;&lt;/li&gt;</v>
      </c>
      <c r="W231" s="15" t="str">
        <f>_xlfn.TEXTBEFORE(_xlfn.TEXTAFTER(CantoralDB[[#This Row],[index.html]],"&gt;"),"&gt;")&amp;"&gt;"</f>
        <v>&lt;a href="canciones/ain_karem/miradle.html"&gt;</v>
      </c>
      <c r="Y231" s="1"/>
      <c r="Z231" s="1"/>
      <c r="AA231" s="1"/>
    </row>
    <row r="232" spans="1:27" x14ac:dyDescent="0.3">
      <c r="A232" s="1">
        <f>ROW(CantoralDB[[#This Row],[Título]])-1</f>
        <v>231</v>
      </c>
      <c r="B232" s="1" t="s">
        <v>1808</v>
      </c>
      <c r="C232" s="1"/>
      <c r="H232" s="1" t="s">
        <v>1027</v>
      </c>
      <c r="J232" s="1" t="s">
        <v>608</v>
      </c>
      <c r="M232" s="15" t="s">
        <v>501</v>
      </c>
      <c r="N232" s="15" t="s">
        <v>1510</v>
      </c>
      <c r="O232" s="15">
        <v>14</v>
      </c>
      <c r="P232" s="15" t="str" cm="1">
        <f t="array" ref="P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32" s="15" t="str" cm="1">
        <f t="array" ref="Q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canciones/ain_karem/venid_conmigo.html</v>
      </c>
      <c r="S232" s="1"/>
      <c r="T232" s="1"/>
      <c r="U232" s="1"/>
      <c r="V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href="canciones/ain_karem/venid_conmigo.html"&gt;Venid conmigo&lt;/a&gt;&lt;/li&gt;</v>
      </c>
      <c r="W232" s="15" t="str">
        <f>_xlfn.TEXTBEFORE(_xlfn.TEXTAFTER(CantoralDB[[#This Row],[index.html]],"&gt;"),"&gt;")&amp;"&gt;"</f>
        <v>&lt;a href="canciones/ain_karem/venid_conmigo.html"&gt;</v>
      </c>
      <c r="Y232" s="1"/>
      <c r="Z232" s="1"/>
      <c r="AA232" s="1"/>
    </row>
    <row r="233" spans="1:27" x14ac:dyDescent="0.3">
      <c r="A233" s="1">
        <f>ROW(CantoralDB[[#This Row],[Título]])-1</f>
        <v>232</v>
      </c>
      <c r="B233" s="1" t="s">
        <v>1809</v>
      </c>
      <c r="C233" s="1"/>
      <c r="H233" s="1" t="s">
        <v>1030</v>
      </c>
      <c r="J233" s="1"/>
      <c r="M233" s="15" t="s">
        <v>501</v>
      </c>
      <c r="N233" s="15" t="s">
        <v>1510</v>
      </c>
      <c r="O233" s="15">
        <v>15</v>
      </c>
      <c r="P233" s="15" t="str" cm="1">
        <f t="array" ref="P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33" s="15" t="str" cm="1">
        <f t="array" ref="Q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canciones/ain_karem/somos_vedruna.html</v>
      </c>
      <c r="S233" s="1"/>
      <c r="T233" s="1"/>
      <c r="U233" s="1"/>
      <c r="V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href="canciones/ain_karem/somos_vedruna.html"&gt;Somos vedruna&lt;/a&gt;&lt;/li&gt;</v>
      </c>
      <c r="W233" s="15" t="str">
        <f>_xlfn.TEXTBEFORE(_xlfn.TEXTAFTER(CantoralDB[[#This Row],[index.html]],"&gt;"),"&gt;")&amp;"&gt;"</f>
        <v>&lt;a href="canciones/ain_karem/somos_vedruna.html"&gt;</v>
      </c>
      <c r="Y233" s="1"/>
      <c r="Z233" s="1"/>
      <c r="AA233" s="1"/>
    </row>
    <row r="234" spans="1:27" x14ac:dyDescent="0.3">
      <c r="A234" s="1">
        <f>ROW(CantoralDB[[#This Row],[Título]])-1</f>
        <v>233</v>
      </c>
      <c r="B234" s="1" t="s">
        <v>1763</v>
      </c>
      <c r="C234" s="1"/>
      <c r="H234" s="1" t="s">
        <v>531</v>
      </c>
      <c r="J234" s="1" t="s">
        <v>608</v>
      </c>
      <c r="M234" s="15" t="s">
        <v>501</v>
      </c>
      <c r="N234" s="15" t="s">
        <v>1507</v>
      </c>
      <c r="O234" s="15">
        <v>1</v>
      </c>
      <c r="P234" s="15" t="str" cm="1">
        <f t="array" ref="P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34" s="15" t="str" cm="1">
        <f t="array" ref="Q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canciones/ain_karem/dios_fiel.html</v>
      </c>
      <c r="S234" s="1"/>
      <c r="T234" s="1"/>
      <c r="U234" s="1"/>
      <c r="V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href="canciones/ain_karem/dios_fiel.html"&gt;Dios fiel&lt;/a&gt;&lt;/li&gt;</v>
      </c>
      <c r="W234" s="15" t="str">
        <f>_xlfn.TEXTBEFORE(_xlfn.TEXTAFTER(CantoralDB[[#This Row],[index.html]],"&gt;"),"&gt;")&amp;"&gt;"</f>
        <v>&lt;a href="canciones/ain_karem/dios_fiel.html"&gt;</v>
      </c>
      <c r="Y234" s="1"/>
      <c r="Z234" s="1"/>
      <c r="AA234" s="1"/>
    </row>
    <row r="235" spans="1:27" x14ac:dyDescent="0.3">
      <c r="A235" s="1">
        <f>ROW(CantoralDB[[#This Row],[Título]])-1</f>
        <v>234</v>
      </c>
      <c r="B235" s="1" t="s">
        <v>1764</v>
      </c>
      <c r="C235" s="1"/>
      <c r="H235" s="1" t="s">
        <v>473</v>
      </c>
      <c r="I235" s="1" t="s">
        <v>2959</v>
      </c>
      <c r="J235" s="1" t="s">
        <v>608</v>
      </c>
      <c r="M235" s="15" t="s">
        <v>501</v>
      </c>
      <c r="N235" s="15" t="s">
        <v>1507</v>
      </c>
      <c r="O235" s="15">
        <v>2</v>
      </c>
      <c r="P235" s="15" t="str" cm="1">
        <f t="array" ref="P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35" s="15" t="str" cm="1">
        <f t="array" ref="Q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canciones/ain_karem/hambre_y_sed_de_ti.html</v>
      </c>
      <c r="S235" s="1"/>
      <c r="T235" s="1"/>
      <c r="U235" s="1"/>
      <c r="V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href="canciones/ain_karem/hambre_y_sed_de_ti.html"&gt;Hambre y sed de Ti&lt;/a&gt;&lt;/li&gt;</v>
      </c>
      <c r="W235" s="15" t="str">
        <f>_xlfn.TEXTBEFORE(_xlfn.TEXTAFTER(CantoralDB[[#This Row],[index.html]],"&gt;"),"&gt;")&amp;"&gt;"</f>
        <v>&lt;a href="canciones/ain_karem/hambre_y_sed_de_ti.html"&gt;</v>
      </c>
      <c r="Y235" s="1"/>
      <c r="Z235" s="1"/>
      <c r="AA235" s="1"/>
    </row>
    <row r="236" spans="1:27" x14ac:dyDescent="0.3">
      <c r="A236" s="1">
        <f>ROW(CantoralDB[[#This Row],[Título]])-1</f>
        <v>235</v>
      </c>
      <c r="B236" s="1" t="s">
        <v>1765</v>
      </c>
      <c r="C236" s="1"/>
      <c r="H236" s="1" t="s">
        <v>1027</v>
      </c>
      <c r="J236" s="1" t="s">
        <v>608</v>
      </c>
      <c r="M236" s="15" t="s">
        <v>501</v>
      </c>
      <c r="N236" s="15" t="s">
        <v>1507</v>
      </c>
      <c r="O236" s="15">
        <v>3</v>
      </c>
      <c r="P236" s="15" t="str" cm="1">
        <f t="array" ref="P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36" s="15" t="str" cm="1">
        <f t="array" ref="Q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canciones/ain_karem/confianza.html</v>
      </c>
      <c r="S236" s="1"/>
      <c r="T236" s="1"/>
      <c r="U236" s="1"/>
      <c r="V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href="canciones/ain_karem/confianza.html"&gt;Confianza&lt;/a&gt;&lt;/li&gt;</v>
      </c>
      <c r="W236" s="15" t="str">
        <f>_xlfn.TEXTBEFORE(_xlfn.TEXTAFTER(CantoralDB[[#This Row],[index.html]],"&gt;"),"&gt;")&amp;"&gt;"</f>
        <v>&lt;a href="canciones/ain_karem/confianza.html"&gt;</v>
      </c>
      <c r="Y236" s="1"/>
      <c r="Z236" s="1"/>
      <c r="AA236" s="1"/>
    </row>
    <row r="237" spans="1:27" x14ac:dyDescent="0.3">
      <c r="A237" s="1">
        <f>ROW(CantoralDB[[#This Row],[Título]])-1</f>
        <v>236</v>
      </c>
      <c r="B237" s="1" t="s">
        <v>1766</v>
      </c>
      <c r="C237" s="1"/>
      <c r="H237" s="1" t="s">
        <v>1027</v>
      </c>
      <c r="J237" s="1"/>
      <c r="M237" s="15" t="s">
        <v>501</v>
      </c>
      <c r="N237" s="15" t="s">
        <v>1507</v>
      </c>
      <c r="O237" s="15">
        <v>4</v>
      </c>
      <c r="P237" s="15" t="str" cm="1">
        <f t="array" ref="P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37" s="15" t="str" cm="1">
        <f t="array" ref="Q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canciones/ain_karem/talita_kum.html</v>
      </c>
      <c r="S237" s="1"/>
      <c r="T237" s="1"/>
      <c r="U237" s="1"/>
      <c r="V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href="canciones/ain_karem/talita_kum.html"&gt;Talita kum&lt;/a&gt;&lt;/li&gt;</v>
      </c>
      <c r="W237" s="15" t="str">
        <f>_xlfn.TEXTBEFORE(_xlfn.TEXTAFTER(CantoralDB[[#This Row],[index.html]],"&gt;"),"&gt;")&amp;"&gt;"</f>
        <v>&lt;a href="canciones/ain_karem/talita_kum.html"&gt;</v>
      </c>
      <c r="Y237" s="1"/>
      <c r="Z237" s="1"/>
      <c r="AA237" s="1"/>
    </row>
    <row r="238" spans="1:27" x14ac:dyDescent="0.3">
      <c r="A238" s="1">
        <f>ROW(CantoralDB[[#This Row],[Título]])-1</f>
        <v>237</v>
      </c>
      <c r="B238" s="1" t="s">
        <v>1767</v>
      </c>
      <c r="C238" s="1"/>
      <c r="H238" s="1" t="s">
        <v>531</v>
      </c>
      <c r="I238" s="1" t="s">
        <v>2962</v>
      </c>
      <c r="J238" s="1" t="s">
        <v>608</v>
      </c>
      <c r="M238" s="15" t="s">
        <v>501</v>
      </c>
      <c r="N238" s="15" t="s">
        <v>1507</v>
      </c>
      <c r="O238" s="15">
        <v>5</v>
      </c>
      <c r="P238" s="15" t="str" cm="1">
        <f t="array" ref="P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38" s="15" t="str" cm="1">
        <f t="array" ref="Q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canciones/ain_karem/pan_compartido.html</v>
      </c>
      <c r="S238" s="1"/>
      <c r="T238" s="1"/>
      <c r="U238" s="1"/>
      <c r="V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href="canciones/ain_karem/pan_compartido.html"&gt;Pan compartido&lt;/a&gt;&lt;/li&gt;</v>
      </c>
      <c r="W238" s="15" t="str">
        <f>_xlfn.TEXTBEFORE(_xlfn.TEXTAFTER(CantoralDB[[#This Row],[index.html]],"&gt;"),"&gt;")&amp;"&gt;"</f>
        <v>&lt;a href="canciones/ain_karem/pan_compartido.html"&gt;</v>
      </c>
      <c r="Y238" s="1"/>
      <c r="Z238" s="1"/>
      <c r="AA238" s="1"/>
    </row>
    <row r="239" spans="1:27" x14ac:dyDescent="0.3">
      <c r="A239" s="1">
        <f>ROW(CantoralDB[[#This Row],[Título]])-1</f>
        <v>238</v>
      </c>
      <c r="B239" s="1" t="s">
        <v>1768</v>
      </c>
      <c r="C239" s="1"/>
      <c r="H239" s="1" t="s">
        <v>531</v>
      </c>
      <c r="J239" s="1" t="s">
        <v>608</v>
      </c>
      <c r="M239" s="15" t="s">
        <v>501</v>
      </c>
      <c r="N239" s="15" t="s">
        <v>1507</v>
      </c>
      <c r="O239" s="15">
        <v>6</v>
      </c>
      <c r="P239" s="15" t="str" cm="1">
        <f t="array" ref="P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39" s="15" t="str" cm="1">
        <f t="array" ref="Q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canciones/ain_karem/gloria_trinitario.html</v>
      </c>
      <c r="S239" s="1"/>
      <c r="T239" s="1"/>
      <c r="U239" s="1"/>
      <c r="V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href="canciones/ain_karem/gloria_trinitario.html"&gt;Gloria Trinitario&lt;/a&gt;&lt;/li&gt;</v>
      </c>
      <c r="W239" s="15" t="str">
        <f>_xlfn.TEXTBEFORE(_xlfn.TEXTAFTER(CantoralDB[[#This Row],[index.html]],"&gt;"),"&gt;")&amp;"&gt;"</f>
        <v>&lt;a href="canciones/ain_karem/gloria_trinitario.html"&gt;</v>
      </c>
      <c r="Y239" s="1"/>
      <c r="Z239" s="1"/>
      <c r="AA239" s="1"/>
    </row>
    <row r="240" spans="1:27" x14ac:dyDescent="0.3">
      <c r="A240" s="1">
        <f>ROW(CantoralDB[[#This Row],[Título]])-1</f>
        <v>239</v>
      </c>
      <c r="B240" s="1" t="s">
        <v>1769</v>
      </c>
      <c r="C240" s="1"/>
      <c r="H240" s="1" t="s">
        <v>1030</v>
      </c>
      <c r="J240" s="1" t="s">
        <v>608</v>
      </c>
      <c r="M240" s="15" t="s">
        <v>501</v>
      </c>
      <c r="N240" s="15" t="s">
        <v>1507</v>
      </c>
      <c r="O240" s="15">
        <v>7</v>
      </c>
      <c r="P240" s="15" t="str" cm="1">
        <f t="array" ref="P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40" s="15" t="str" cm="1">
        <f t="array" ref="Q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canciones/ain_karem/a_ti.html</v>
      </c>
      <c r="S240" s="1"/>
      <c r="T240" s="1"/>
      <c r="U240" s="1"/>
      <c r="V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href="canciones/ain_karem/a_ti.html"&gt;A Ti&lt;/a&gt;&lt;/li&gt;</v>
      </c>
      <c r="W240" s="15" t="str">
        <f>_xlfn.TEXTBEFORE(_xlfn.TEXTAFTER(CantoralDB[[#This Row],[index.html]],"&gt;"),"&gt;")&amp;"&gt;"</f>
        <v>&lt;a href="canciones/ain_karem/a_ti.html"&gt;</v>
      </c>
      <c r="Y240" s="1"/>
      <c r="Z240" s="1"/>
      <c r="AA240" s="1"/>
    </row>
    <row r="241" spans="1:27" x14ac:dyDescent="0.3">
      <c r="A241" s="1">
        <f>ROW(CantoralDB[[#This Row],[Título]])-1</f>
        <v>240</v>
      </c>
      <c r="B241" s="1" t="s">
        <v>1770</v>
      </c>
      <c r="C241" s="1"/>
      <c r="H241" s="1" t="s">
        <v>473</v>
      </c>
      <c r="J241" s="1" t="s">
        <v>608</v>
      </c>
      <c r="M241" s="15" t="s">
        <v>501</v>
      </c>
      <c r="N241" s="15" t="s">
        <v>1507</v>
      </c>
      <c r="O241" s="15">
        <v>8</v>
      </c>
      <c r="P241" s="15" t="str" cm="1">
        <f t="array" ref="P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41" s="15" t="str" cm="1">
        <f t="array" ref="Q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canciones/ain_karem/tu_lo_sabes.html</v>
      </c>
      <c r="S241" s="1"/>
      <c r="T241" s="1"/>
      <c r="U241" s="1"/>
      <c r="V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href="canciones/ain_karem/tu_lo_sabes.html"&gt;Tú lo sabes&lt;/a&gt;&lt;/li&gt;</v>
      </c>
      <c r="W241" s="15" t="str">
        <f>_xlfn.TEXTBEFORE(_xlfn.TEXTAFTER(CantoralDB[[#This Row],[index.html]],"&gt;"),"&gt;")&amp;"&gt;"</f>
        <v>&lt;a href="canciones/ain_karem/tu_lo_sabes.html"&gt;</v>
      </c>
      <c r="Y241" s="1"/>
      <c r="Z241" s="1"/>
      <c r="AA241" s="1"/>
    </row>
    <row r="242" spans="1:27" x14ac:dyDescent="0.3">
      <c r="A242" s="1">
        <f>ROW(CantoralDB[[#This Row],[Título]])-1</f>
        <v>241</v>
      </c>
      <c r="B242" s="1" t="s">
        <v>1771</v>
      </c>
      <c r="C242" s="1"/>
      <c r="H242" s="1" t="s">
        <v>1029</v>
      </c>
      <c r="I242" s="1" t="s">
        <v>2959</v>
      </c>
      <c r="J242" s="1" t="s">
        <v>608</v>
      </c>
      <c r="M242" s="15" t="s">
        <v>501</v>
      </c>
      <c r="N242" s="15" t="s">
        <v>1507</v>
      </c>
      <c r="O242" s="15">
        <v>9</v>
      </c>
      <c r="P242" s="15" t="str" cm="1">
        <f t="array" ref="P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42" s="15" t="str" cm="1">
        <f t="array" ref="Q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canciones/ain_karem/cana.html</v>
      </c>
      <c r="S242" s="1"/>
      <c r="T242" s="1"/>
      <c r="U242" s="1"/>
      <c r="V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href="canciones/ain_karem/cana.html"&gt;Caná&lt;/a&gt;&lt;/li&gt;</v>
      </c>
      <c r="W242" s="15" t="str">
        <f>_xlfn.TEXTBEFORE(_xlfn.TEXTAFTER(CantoralDB[[#This Row],[index.html]],"&gt;"),"&gt;")&amp;"&gt;"</f>
        <v>&lt;a href="canciones/ain_karem/cana.html"&gt;</v>
      </c>
      <c r="Y242" s="1"/>
      <c r="Z242" s="1"/>
      <c r="AA242" s="1"/>
    </row>
    <row r="243" spans="1:27" x14ac:dyDescent="0.3">
      <c r="A243" s="1">
        <f>ROW(CantoralDB[[#This Row],[Título]])-1</f>
        <v>242</v>
      </c>
      <c r="B243" s="1" t="s">
        <v>1840</v>
      </c>
      <c r="C243" s="1"/>
      <c r="H243" s="1" t="s">
        <v>531</v>
      </c>
      <c r="J243" s="1" t="s">
        <v>608</v>
      </c>
      <c r="M243" s="15" t="s">
        <v>501</v>
      </c>
      <c r="N243" s="15" t="s">
        <v>1507</v>
      </c>
      <c r="O243" s="15">
        <v>10</v>
      </c>
      <c r="P243" s="15" t="str" cm="1">
        <f t="array" ref="P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43" s="15" t="str" cm="1">
        <f t="array" ref="Q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canciones/ain_karem/animo_soy_yo.html</v>
      </c>
      <c r="S243" s="1"/>
      <c r="T243" s="1"/>
      <c r="U243" s="1"/>
      <c r="V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href="canciones/ain_karem/animo_soy_yo.html"&gt;Ánimo, soy yo&lt;/a&gt;&lt;/li&gt;</v>
      </c>
      <c r="W243" s="15" t="str">
        <f>_xlfn.TEXTBEFORE(_xlfn.TEXTAFTER(CantoralDB[[#This Row],[index.html]],"&gt;"),"&gt;")&amp;"&gt;"</f>
        <v>&lt;a href="canciones/ain_karem/animo_soy_yo.html"&gt;</v>
      </c>
      <c r="Y243" s="1"/>
      <c r="Z243" s="1"/>
      <c r="AA243" s="1"/>
    </row>
    <row r="244" spans="1:27" x14ac:dyDescent="0.3">
      <c r="A244" s="1">
        <f>ROW(CantoralDB[[#This Row],[Título]])-1</f>
        <v>243</v>
      </c>
      <c r="B244" s="1" t="s">
        <v>196</v>
      </c>
      <c r="C244" s="1"/>
      <c r="H244" s="1" t="s">
        <v>531</v>
      </c>
      <c r="J244" s="1" t="s">
        <v>608</v>
      </c>
      <c r="M244" s="15" t="s">
        <v>501</v>
      </c>
      <c r="N244" s="15" t="s">
        <v>1507</v>
      </c>
      <c r="O244" s="15">
        <v>11</v>
      </c>
      <c r="P244" s="15" t="str" cm="1">
        <f t="array" ref="P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44" s="15" t="str" cm="1">
        <f t="array" ref="Q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canciones/ain_karem/santo.html</v>
      </c>
      <c r="S244" s="1"/>
      <c r="T244" s="1"/>
      <c r="U244" s="1"/>
      <c r="V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href="canciones/ain_karem/santo.html"&gt;Santo&lt;/a&gt;&lt;/li&gt;</v>
      </c>
      <c r="W244" s="15" t="str">
        <f>_xlfn.TEXTBEFORE(_xlfn.TEXTAFTER(CantoralDB[[#This Row],[index.html]],"&gt;"),"&gt;")&amp;"&gt;"</f>
        <v>&lt;a href="canciones/ain_karem/santo.html"&gt;</v>
      </c>
      <c r="Y244" s="1"/>
      <c r="Z244" s="1"/>
      <c r="AA244" s="1"/>
    </row>
    <row r="245" spans="1:27" x14ac:dyDescent="0.3">
      <c r="A245" s="1">
        <f>ROW(CantoralDB[[#This Row],[Título]])-1</f>
        <v>244</v>
      </c>
      <c r="B245" s="1" t="s">
        <v>1772</v>
      </c>
      <c r="C245" s="1"/>
      <c r="H245" s="1" t="s">
        <v>1029</v>
      </c>
      <c r="J245" s="1" t="s">
        <v>608</v>
      </c>
      <c r="M245" s="15" t="s">
        <v>501</v>
      </c>
      <c r="N245" s="15" t="s">
        <v>1507</v>
      </c>
      <c r="O245" s="15">
        <v>12</v>
      </c>
      <c r="P245" s="15" t="str" cm="1">
        <f t="array" ref="P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45" s="15" t="str" cm="1">
        <f t="array" ref="Q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canciones/ain_karem/la_mujer_del_perfume.html</v>
      </c>
      <c r="S245" s="1"/>
      <c r="T245" s="1"/>
      <c r="U245" s="1"/>
      <c r="V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href="canciones/ain_karem/la_mujer_del_perfume.html"&gt;La mujer del perfume&lt;/a&gt;&lt;/li&gt;</v>
      </c>
      <c r="W245" s="15" t="str">
        <f>_xlfn.TEXTBEFORE(_xlfn.TEXTAFTER(CantoralDB[[#This Row],[index.html]],"&gt;"),"&gt;")&amp;"&gt;"</f>
        <v>&lt;a href="canciones/ain_karem/la_mujer_del_perfume.html"&gt;</v>
      </c>
      <c r="Y245" s="1"/>
      <c r="Z245" s="1"/>
      <c r="AA245" s="1"/>
    </row>
    <row r="246" spans="1:27" x14ac:dyDescent="0.3">
      <c r="A246" s="1">
        <f>ROW(CantoralDB[[#This Row],[Título]])-1</f>
        <v>245</v>
      </c>
      <c r="B246" s="1" t="s">
        <v>1773</v>
      </c>
      <c r="C246" s="1"/>
      <c r="H246" s="1" t="s">
        <v>473</v>
      </c>
      <c r="I246" s="1" t="s">
        <v>2963</v>
      </c>
      <c r="J246" s="1" t="s">
        <v>608</v>
      </c>
      <c r="M246" s="15" t="s">
        <v>501</v>
      </c>
      <c r="N246" s="15" t="s">
        <v>1507</v>
      </c>
      <c r="O246" s="15">
        <v>13</v>
      </c>
      <c r="P246" s="15" t="str" cm="1">
        <f t="array" ref="P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46" s="15" t="str" cm="1">
        <f t="array" ref="Q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canciones/ain_karem/para_estar_contigo.html</v>
      </c>
      <c r="S246" s="1"/>
      <c r="T246" s="1"/>
      <c r="U246" s="1"/>
      <c r="V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href="canciones/ain_karem/para_estar_contigo.html"&gt;Para estar contigo&lt;/a&gt;&lt;/li&gt;</v>
      </c>
      <c r="W246" s="15" t="str">
        <f>_xlfn.TEXTBEFORE(_xlfn.TEXTAFTER(CantoralDB[[#This Row],[index.html]],"&gt;"),"&gt;")&amp;"&gt;"</f>
        <v>&lt;a href="canciones/ain_karem/para_estar_contigo.html"&gt;</v>
      </c>
      <c r="Y246" s="1"/>
      <c r="Z246" s="1"/>
      <c r="AA246" s="1"/>
    </row>
    <row r="247" spans="1:27" x14ac:dyDescent="0.3">
      <c r="A247" s="1">
        <f>ROW(CantoralDB[[#This Row],[Título]])-1</f>
        <v>246</v>
      </c>
      <c r="B247" s="1" t="s">
        <v>1774</v>
      </c>
      <c r="C247" s="1"/>
      <c r="H247" s="1" t="s">
        <v>473</v>
      </c>
      <c r="I247" s="1" t="s">
        <v>2962</v>
      </c>
      <c r="J247" s="1" t="s">
        <v>608</v>
      </c>
      <c r="M247" s="15" t="s">
        <v>501</v>
      </c>
      <c r="N247" s="15" t="s">
        <v>1507</v>
      </c>
      <c r="O247" s="15">
        <v>14</v>
      </c>
      <c r="P247" s="15" t="str" cm="1">
        <f t="array" ref="P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47" s="15" t="str" cm="1">
        <f t="array" ref="Q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canciones/ain_karem/samaritano.html</v>
      </c>
      <c r="S247" s="1"/>
      <c r="T247" s="1"/>
      <c r="U247" s="1"/>
      <c r="V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href="canciones/ain_karem/samaritano.html"&gt;Samaritano&lt;/a&gt;&lt;/li&gt;</v>
      </c>
      <c r="W247" s="15" t="str">
        <f>_xlfn.TEXTBEFORE(_xlfn.TEXTAFTER(CantoralDB[[#This Row],[index.html]],"&gt;"),"&gt;")&amp;"&gt;"</f>
        <v>&lt;a href="canciones/ain_karem/samaritano.html"&gt;</v>
      </c>
      <c r="Y247" s="1"/>
      <c r="Z247" s="1"/>
      <c r="AA247" s="1"/>
    </row>
    <row r="248" spans="1:27" x14ac:dyDescent="0.3">
      <c r="A248" s="1">
        <f>ROW(CantoralDB[[#This Row],[Título]])-1</f>
        <v>247</v>
      </c>
      <c r="B248" s="1" t="s">
        <v>1775</v>
      </c>
      <c r="C248" s="1"/>
      <c r="H248" s="1" t="s">
        <v>1030</v>
      </c>
      <c r="I248" s="1" t="s">
        <v>2959</v>
      </c>
      <c r="J248" s="1" t="s">
        <v>608</v>
      </c>
      <c r="M248" s="15" t="s">
        <v>501</v>
      </c>
      <c r="N248" s="15" t="s">
        <v>1507</v>
      </c>
      <c r="O248" s="15">
        <v>15</v>
      </c>
      <c r="P248" s="15" t="str" cm="1">
        <f t="array" ref="P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48" s="15" t="str" cm="1">
        <f t="array" ref="Q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canciones/ain_karem/no_hay_fronteras.html</v>
      </c>
      <c r="S248" s="1"/>
      <c r="T248" s="1"/>
      <c r="U248" s="1"/>
      <c r="V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href="canciones/ain_karem/no_hay_fronteras.html"&gt;No hay fronteras&lt;/a&gt;&lt;/li&gt;</v>
      </c>
      <c r="W248" s="15" t="str">
        <f>_xlfn.TEXTBEFORE(_xlfn.TEXTAFTER(CantoralDB[[#This Row],[index.html]],"&gt;"),"&gt;")&amp;"&gt;"</f>
        <v>&lt;a href="canciones/ain_karem/no_hay_fronteras.html"&gt;</v>
      </c>
      <c r="Y248" s="1"/>
      <c r="Z248" s="1"/>
      <c r="AA248" s="1"/>
    </row>
    <row r="249" spans="1:27" x14ac:dyDescent="0.3">
      <c r="A249" s="1">
        <f>ROW(CantoralDB[[#This Row],[Título]])-1</f>
        <v>248</v>
      </c>
      <c r="B249" s="1" t="s">
        <v>1505</v>
      </c>
      <c r="C249" s="1"/>
      <c r="H249" s="1" t="s">
        <v>531</v>
      </c>
      <c r="I249" s="1" t="s">
        <v>2963</v>
      </c>
      <c r="J249" s="1" t="s">
        <v>608</v>
      </c>
      <c r="M249" s="15" t="s">
        <v>501</v>
      </c>
      <c r="N249" s="15" t="s">
        <v>1505</v>
      </c>
      <c r="O249" s="15">
        <v>1</v>
      </c>
      <c r="P249" s="15" t="str" cm="1">
        <f t="array" ref="P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49" s="15" t="str" cm="1">
        <f t="array" ref="Q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canciones/ain_karem/descalzate.html</v>
      </c>
      <c r="S249" s="1"/>
      <c r="T249" s="1"/>
      <c r="U249" s="1"/>
      <c r="V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href="canciones/ain_karem/descalzate.html"&gt;Descálzate&lt;/a&gt;&lt;/li&gt;</v>
      </c>
      <c r="W249" s="15" t="str">
        <f>_xlfn.TEXTBEFORE(_xlfn.TEXTAFTER(CantoralDB[[#This Row],[index.html]],"&gt;"),"&gt;")&amp;"&gt;"</f>
        <v>&lt;a href="canciones/ain_karem/descalzate.html"&gt;</v>
      </c>
      <c r="Y249" s="1"/>
      <c r="Z249" s="1"/>
      <c r="AA249" s="1"/>
    </row>
    <row r="250" spans="1:27" x14ac:dyDescent="0.3">
      <c r="A250" s="1">
        <f>ROW(CantoralDB[[#This Row],[Título]])-1</f>
        <v>249</v>
      </c>
      <c r="B250" s="1" t="s">
        <v>2896</v>
      </c>
      <c r="C250" s="1"/>
      <c r="H250" s="1" t="s">
        <v>473</v>
      </c>
      <c r="I250" s="1" t="s">
        <v>2962</v>
      </c>
      <c r="J250" s="1" t="s">
        <v>608</v>
      </c>
      <c r="M250" s="15" t="s">
        <v>501</v>
      </c>
      <c r="N250" s="15" t="s">
        <v>1505</v>
      </c>
      <c r="O250" s="15">
        <v>2</v>
      </c>
      <c r="P250" s="15" t="str" cm="1">
        <f t="array" ref="P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50" s="15" t="str" cm="1">
        <f t="array" ref="Q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canciones/ain_karem/la_vid_verdadera.html</v>
      </c>
      <c r="S250" s="1"/>
      <c r="T250" s="1"/>
      <c r="U250" s="1"/>
      <c r="V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href="canciones/ain_karem/la_vid_verdadera.html"&gt;La vid verdadera&lt;/a&gt;&lt;/li&gt;</v>
      </c>
      <c r="W250" s="15" t="str">
        <f>_xlfn.TEXTBEFORE(_xlfn.TEXTAFTER(CantoralDB[[#This Row],[index.html]],"&gt;"),"&gt;")&amp;"&gt;"</f>
        <v>&lt;a href="canciones/ain_karem/la_vid_verdadera.html"&gt;</v>
      </c>
      <c r="Y250" s="1"/>
      <c r="Z250" s="1"/>
      <c r="AA250" s="1"/>
    </row>
    <row r="251" spans="1:27" x14ac:dyDescent="0.3">
      <c r="A251" s="1">
        <f>ROW(CantoralDB[[#This Row],[Título]])-1</f>
        <v>250</v>
      </c>
      <c r="B251" s="1" t="s">
        <v>941</v>
      </c>
      <c r="C251" s="1"/>
      <c r="H251" s="1" t="s">
        <v>531</v>
      </c>
      <c r="I251" s="1" t="s">
        <v>2962</v>
      </c>
      <c r="J251" s="1" t="s">
        <v>608</v>
      </c>
      <c r="M251" s="15" t="s">
        <v>501</v>
      </c>
      <c r="N251" s="15" t="s">
        <v>1505</v>
      </c>
      <c r="O251" s="15">
        <v>3</v>
      </c>
      <c r="P251" s="15" t="str" cm="1">
        <f t="array" ref="P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51" s="15" t="str" cm="1">
        <f t="array" ref="Q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canciones/ain_karem/ven_espiritu_de_dios.html</v>
      </c>
      <c r="S251" s="1"/>
      <c r="T251" s="1"/>
      <c r="U251" s="1"/>
      <c r="V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href="canciones/ain_karem/ven_espiritu_de_dios.html"&gt;Ven, Espíritu de Dios&lt;/a&gt;&lt;/li&gt;</v>
      </c>
      <c r="W251" s="15" t="str">
        <f>_xlfn.TEXTBEFORE(_xlfn.TEXTAFTER(CantoralDB[[#This Row],[index.html]],"&gt;"),"&gt;")&amp;"&gt;"</f>
        <v>&lt;a href="canciones/ain_karem/ven_espiritu_de_dios.html"&gt;</v>
      </c>
      <c r="Y251" s="1"/>
      <c r="Z251" s="1"/>
      <c r="AA251" s="1"/>
    </row>
    <row r="252" spans="1:27" x14ac:dyDescent="0.3">
      <c r="A252" s="1">
        <f>ROW(CantoralDB[[#This Row],[Título]])-1</f>
        <v>251</v>
      </c>
      <c r="B252" s="1" t="s">
        <v>1745</v>
      </c>
      <c r="C252" s="1"/>
      <c r="H252" s="1" t="s">
        <v>1030</v>
      </c>
      <c r="I252" s="1" t="s">
        <v>2962</v>
      </c>
      <c r="J252" s="1" t="s">
        <v>608</v>
      </c>
      <c r="M252" s="15" t="s">
        <v>501</v>
      </c>
      <c r="N252" s="15" t="s">
        <v>1505</v>
      </c>
      <c r="O252" s="15">
        <v>4</v>
      </c>
      <c r="P252" s="15" t="str" cm="1">
        <f t="array" ref="P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52" s="15" t="str" cm="1">
        <f t="array" ref="Q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canciones/ain_karem/realidad.html</v>
      </c>
      <c r="S252" s="1"/>
      <c r="T252" s="1"/>
      <c r="U252" s="1"/>
      <c r="V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href="canciones/ain_karem/realidad.html"&gt;Realidad&lt;/a&gt;&lt;/li&gt;</v>
      </c>
      <c r="W252" s="15" t="str">
        <f>_xlfn.TEXTBEFORE(_xlfn.TEXTAFTER(CantoralDB[[#This Row],[index.html]],"&gt;"),"&gt;")&amp;"&gt;"</f>
        <v>&lt;a href="canciones/ain_karem/realidad.html"&gt;</v>
      </c>
      <c r="Y252" s="1"/>
      <c r="Z252" s="1"/>
      <c r="AA252" s="1"/>
    </row>
    <row r="253" spans="1:27" x14ac:dyDescent="0.3">
      <c r="A253" s="1">
        <f>ROW(CantoralDB[[#This Row],[Título]])-1</f>
        <v>252</v>
      </c>
      <c r="B253" s="1" t="s">
        <v>1746</v>
      </c>
      <c r="C253" s="1"/>
      <c r="H253" s="1" t="s">
        <v>473</v>
      </c>
      <c r="I253" s="1" t="s">
        <v>2962</v>
      </c>
      <c r="J253" s="1" t="s">
        <v>608</v>
      </c>
      <c r="M253" s="15" t="s">
        <v>501</v>
      </c>
      <c r="N253" s="15" t="s">
        <v>1505</v>
      </c>
      <c r="O253" s="15">
        <v>5</v>
      </c>
      <c r="P253" s="15" t="str" cm="1">
        <f t="array" ref="P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53" s="15" t="str" cm="1">
        <f t="array" ref="Q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canciones/ain_karem/boga_mar_adentro.html</v>
      </c>
      <c r="S253" s="1"/>
      <c r="T253" s="1"/>
      <c r="U253" s="1"/>
      <c r="V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href="canciones/ain_karem/boga_mar_adentro.html"&gt;Boga mar adentro&lt;/a&gt;&lt;/li&gt;</v>
      </c>
      <c r="W253" s="15" t="str">
        <f>_xlfn.TEXTBEFORE(_xlfn.TEXTAFTER(CantoralDB[[#This Row],[index.html]],"&gt;"),"&gt;")&amp;"&gt;"</f>
        <v>&lt;a href="canciones/ain_karem/boga_mar_adentro.html"&gt;</v>
      </c>
      <c r="Y253" s="1"/>
      <c r="Z253" s="1"/>
      <c r="AA253" s="1"/>
    </row>
    <row r="254" spans="1:27" x14ac:dyDescent="0.3">
      <c r="A254" s="1">
        <f>ROW(CantoralDB[[#This Row],[Título]])-1</f>
        <v>253</v>
      </c>
      <c r="B254" s="1" t="s">
        <v>1747</v>
      </c>
      <c r="C254" s="1"/>
      <c r="H254" s="1" t="s">
        <v>1030</v>
      </c>
      <c r="J254" s="1" t="s">
        <v>608</v>
      </c>
      <c r="M254" s="15" t="s">
        <v>501</v>
      </c>
      <c r="N254" s="15" t="s">
        <v>1505</v>
      </c>
      <c r="O254" s="15">
        <v>6</v>
      </c>
      <c r="P254" s="15" t="str" cm="1">
        <f t="array" ref="P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54" s="15" t="str" cm="1">
        <f t="array" ref="Q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canciones/ain_karem/no_tengas_miedo.html</v>
      </c>
      <c r="S254" s="1"/>
      <c r="T254" s="1"/>
      <c r="U254" s="1"/>
      <c r="V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href="canciones/ain_karem/no_tengas_miedo.html"&gt;No tengas miedo&lt;/a&gt;&lt;/li&gt;</v>
      </c>
      <c r="W254" s="15" t="str">
        <f>_xlfn.TEXTBEFORE(_xlfn.TEXTAFTER(CantoralDB[[#This Row],[index.html]],"&gt;"),"&gt;")&amp;"&gt;"</f>
        <v>&lt;a href="canciones/ain_karem/no_tengas_miedo.html"&gt;</v>
      </c>
      <c r="Y254" s="1"/>
      <c r="Z254" s="1"/>
      <c r="AA254" s="1"/>
    </row>
    <row r="255" spans="1:27" x14ac:dyDescent="0.3">
      <c r="A255" s="1">
        <f>ROW(CantoralDB[[#This Row],[Título]])-1</f>
        <v>254</v>
      </c>
      <c r="B255" s="1" t="s">
        <v>1544</v>
      </c>
      <c r="C255" s="1"/>
      <c r="H255" s="1" t="s">
        <v>473</v>
      </c>
      <c r="I255" s="1" t="s">
        <v>2962</v>
      </c>
      <c r="J255" s="1" t="s">
        <v>608</v>
      </c>
      <c r="M255" s="15" t="s">
        <v>501</v>
      </c>
      <c r="N255" s="15" t="s">
        <v>1505</v>
      </c>
      <c r="O255" s="15">
        <v>7</v>
      </c>
      <c r="P255" s="15" t="str" cm="1">
        <f t="array" ref="P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55" s="15" t="str" cm="1">
        <f t="array" ref="Q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canciones/ain_karem/magnificat.html</v>
      </c>
      <c r="S255" s="1"/>
      <c r="T255" s="1"/>
      <c r="U255" s="1"/>
      <c r="V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href="canciones/ain_karem/magnificat.html"&gt;Magnificat&lt;/a&gt;&lt;/li&gt;</v>
      </c>
      <c r="W255" s="15" t="str">
        <f>_xlfn.TEXTBEFORE(_xlfn.TEXTAFTER(CantoralDB[[#This Row],[index.html]],"&gt;"),"&gt;")&amp;"&gt;"</f>
        <v>&lt;a href="canciones/ain_karem/magnificat.html"&gt;</v>
      </c>
      <c r="Y255" s="1"/>
      <c r="Z255" s="1"/>
      <c r="AA255" s="1"/>
    </row>
    <row r="256" spans="1:27" x14ac:dyDescent="0.3">
      <c r="A256" s="1">
        <f>ROW(CantoralDB[[#This Row],[Título]])-1</f>
        <v>255</v>
      </c>
      <c r="B256" s="1" t="s">
        <v>1748</v>
      </c>
      <c r="C256" s="1"/>
      <c r="H256" s="1" t="s">
        <v>1027</v>
      </c>
      <c r="I256" s="1" t="s">
        <v>2962</v>
      </c>
      <c r="J256" s="1" t="s">
        <v>608</v>
      </c>
      <c r="M256" s="15" t="s">
        <v>501</v>
      </c>
      <c r="N256" s="15" t="s">
        <v>1505</v>
      </c>
      <c r="O256" s="15">
        <v>8</v>
      </c>
      <c r="P256" s="15" t="str" cm="1">
        <f t="array" ref="P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56" s="15" t="str" cm="1">
        <f t="array" ref="Q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canciones/ain_karem/ardo_en_celo.html</v>
      </c>
      <c r="S256" s="1"/>
      <c r="T256" s="1"/>
      <c r="U256" s="1"/>
      <c r="V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href="canciones/ain_karem/ardo_en_celo.html"&gt;Ardo en celo&lt;/a&gt;&lt;/li&gt;</v>
      </c>
      <c r="W256" s="15" t="str">
        <f>_xlfn.TEXTBEFORE(_xlfn.TEXTAFTER(CantoralDB[[#This Row],[index.html]],"&gt;"),"&gt;")&amp;"&gt;"</f>
        <v>&lt;a href="canciones/ain_karem/ardo_en_celo.html"&gt;</v>
      </c>
      <c r="Y256" s="1"/>
      <c r="Z256" s="1"/>
      <c r="AA256" s="1"/>
    </row>
    <row r="257" spans="1:27" x14ac:dyDescent="0.3">
      <c r="A257" s="1">
        <f>ROW(CantoralDB[[#This Row],[Título]])-1</f>
        <v>256</v>
      </c>
      <c r="B257" s="1" t="s">
        <v>1909</v>
      </c>
      <c r="C257" s="1"/>
      <c r="H257" s="1" t="s">
        <v>1028</v>
      </c>
      <c r="I257" s="1" t="s">
        <v>2963</v>
      </c>
      <c r="J257" s="1" t="s">
        <v>608</v>
      </c>
      <c r="M257" s="15" t="s">
        <v>501</v>
      </c>
      <c r="N257" s="15" t="s">
        <v>1505</v>
      </c>
      <c r="O257" s="15">
        <v>9</v>
      </c>
      <c r="P257" s="15" t="str" cm="1">
        <f t="array" ref="P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57" s="15" t="str" cm="1">
        <f t="array" ref="Q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canciones/ain_karem/el_amor_no_dice_basta.html</v>
      </c>
      <c r="S257" s="1"/>
      <c r="T257" s="1"/>
      <c r="U257" s="1"/>
      <c r="V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href="canciones/ain_karem/el_amor_no_dice_basta.html"&gt;El amor no dice basta&lt;/a&gt;&lt;/li&gt;</v>
      </c>
      <c r="W257" s="15" t="str">
        <f>_xlfn.TEXTBEFORE(_xlfn.TEXTAFTER(CantoralDB[[#This Row],[index.html]],"&gt;"),"&gt;")&amp;"&gt;"</f>
        <v>&lt;a href="canciones/ain_karem/el_amor_no_dice_basta.html"&gt;</v>
      </c>
      <c r="Y257" s="1"/>
      <c r="Z257" s="1"/>
      <c r="AA257" s="1"/>
    </row>
    <row r="258" spans="1:27" x14ac:dyDescent="0.3">
      <c r="A258" s="1">
        <f>ROW(CantoralDB[[#This Row],[Título]])-1</f>
        <v>257</v>
      </c>
      <c r="B258" s="1" t="s">
        <v>1749</v>
      </c>
      <c r="C258" s="1"/>
      <c r="H258" s="1" t="s">
        <v>531</v>
      </c>
      <c r="J258" s="1" t="s">
        <v>608</v>
      </c>
      <c r="M258" s="15" t="s">
        <v>501</v>
      </c>
      <c r="N258" s="15" t="s">
        <v>1505</v>
      </c>
      <c r="O258" s="15">
        <v>10</v>
      </c>
      <c r="P258" s="15" t="str" cm="1">
        <f t="array" ref="P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58" s="15" t="str" cm="1">
        <f t="array" ref="Q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canciones/ain_karem/rut_y_noemi.html</v>
      </c>
      <c r="S258" s="1"/>
      <c r="T258" s="1"/>
      <c r="U258" s="1"/>
      <c r="V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href="canciones/ain_karem/rut_y_noemi.html"&gt;Rut y Noemí&lt;/a&gt;&lt;/li&gt;</v>
      </c>
      <c r="W258" s="15" t="str">
        <f>_xlfn.TEXTBEFORE(_xlfn.TEXTAFTER(CantoralDB[[#This Row],[index.html]],"&gt;"),"&gt;")&amp;"&gt;"</f>
        <v>&lt;a href="canciones/ain_karem/rut_y_noemi.html"&gt;</v>
      </c>
      <c r="Y258" s="1"/>
      <c r="Z258" s="1"/>
      <c r="AA258" s="1"/>
    </row>
    <row r="259" spans="1:27" x14ac:dyDescent="0.3">
      <c r="A259" s="1">
        <f>ROW(CantoralDB[[#This Row],[Título]])-1</f>
        <v>258</v>
      </c>
      <c r="B259" s="1" t="s">
        <v>1750</v>
      </c>
      <c r="C259" s="1"/>
      <c r="H259" s="1" t="s">
        <v>531</v>
      </c>
      <c r="I259" s="1" t="s">
        <v>2962</v>
      </c>
      <c r="J259" s="1" t="s">
        <v>608</v>
      </c>
      <c r="M259" s="15" t="s">
        <v>501</v>
      </c>
      <c r="N259" s="15" t="s">
        <v>1505</v>
      </c>
      <c r="O259" s="15">
        <v>11</v>
      </c>
      <c r="P259" s="15" t="str" cm="1">
        <f t="array" ref="P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59" s="15" t="str" cm="1">
        <f t="array" ref="Q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canciones/ain_karem/ven_espiritu.html</v>
      </c>
      <c r="S259" s="1"/>
      <c r="T259" s="1"/>
      <c r="U259" s="1"/>
      <c r="V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href="canciones/ain_karem/ven_espiritu.html"&gt;Ven, Espíritu&lt;/a&gt;&lt;/li&gt;</v>
      </c>
      <c r="W259" s="15" t="str">
        <f>_xlfn.TEXTBEFORE(_xlfn.TEXTAFTER(CantoralDB[[#This Row],[index.html]],"&gt;"),"&gt;")&amp;"&gt;"</f>
        <v>&lt;a href="canciones/ain_karem/ven_espiritu.html"&gt;</v>
      </c>
      <c r="Y259" s="1"/>
      <c r="Z259" s="1"/>
      <c r="AA259" s="1"/>
    </row>
    <row r="260" spans="1:27" x14ac:dyDescent="0.3">
      <c r="A260" s="1">
        <f>ROW(CantoralDB[[#This Row],[Título]])-1</f>
        <v>259</v>
      </c>
      <c r="B260" s="1" t="s">
        <v>1751</v>
      </c>
      <c r="C260" s="1"/>
      <c r="H260" s="1" t="s">
        <v>531</v>
      </c>
      <c r="I260" s="1" t="s">
        <v>2962</v>
      </c>
      <c r="J260" s="1" t="s">
        <v>608</v>
      </c>
      <c r="M260" s="15" t="s">
        <v>501</v>
      </c>
      <c r="N260" s="15" t="s">
        <v>1505</v>
      </c>
      <c r="O260" s="15">
        <v>12</v>
      </c>
      <c r="P260" s="15" t="str" cm="1">
        <f t="array" ref="P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60" s="15" t="str" cm="1">
        <f t="array" ref="Q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canciones/ain_karem/maria_magdalena.html</v>
      </c>
      <c r="S260" s="1"/>
      <c r="T260" s="1"/>
      <c r="U260" s="1"/>
      <c r="V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href="canciones/ain_karem/maria_magdalena.html"&gt;María Magdalena&lt;/a&gt;&lt;/li&gt;</v>
      </c>
      <c r="W260" s="15" t="str">
        <f>_xlfn.TEXTBEFORE(_xlfn.TEXTAFTER(CantoralDB[[#This Row],[index.html]],"&gt;"),"&gt;")&amp;"&gt;"</f>
        <v>&lt;a href="canciones/ain_karem/maria_magdalena.html"&gt;</v>
      </c>
      <c r="Y260" s="1"/>
      <c r="Z260" s="1"/>
      <c r="AA260" s="1"/>
    </row>
    <row r="261" spans="1:27" x14ac:dyDescent="0.3">
      <c r="A261" s="1">
        <f>ROW(CantoralDB[[#This Row],[Título]])-1</f>
        <v>260</v>
      </c>
      <c r="B261" s="1" t="s">
        <v>1752</v>
      </c>
      <c r="C261" s="1"/>
      <c r="H261" s="1" t="s">
        <v>1030</v>
      </c>
      <c r="J261" s="1"/>
      <c r="M261" s="15" t="s">
        <v>501</v>
      </c>
      <c r="N261" s="15" t="s">
        <v>1505</v>
      </c>
      <c r="O261" s="15">
        <v>13</v>
      </c>
      <c r="P261" s="15" t="str" cm="1">
        <f t="array" ref="P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61" s="15" t="str" cm="1">
        <f t="array" ref="Q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canciones/ain_karem/joaquina_emigrante.html</v>
      </c>
      <c r="S261" s="1"/>
      <c r="T261" s="1"/>
      <c r="U261" s="1"/>
      <c r="V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href="canciones/ain_karem/joaquina_emigrante.html"&gt;Joaquina emigrante&lt;/a&gt;&lt;/li&gt;</v>
      </c>
      <c r="W261" s="15" t="str">
        <f>_xlfn.TEXTBEFORE(_xlfn.TEXTAFTER(CantoralDB[[#This Row],[index.html]],"&gt;"),"&gt;")&amp;"&gt;"</f>
        <v>&lt;a href="canciones/ain_karem/joaquina_emigrante.html"&gt;</v>
      </c>
      <c r="Y261" s="1"/>
      <c r="Z261" s="1"/>
      <c r="AA261" s="1"/>
    </row>
    <row r="262" spans="1:27" x14ac:dyDescent="0.3">
      <c r="A262" s="1">
        <f>ROW(CantoralDB[[#This Row],[Título]])-1</f>
        <v>261</v>
      </c>
      <c r="B262" s="1" t="s">
        <v>1826</v>
      </c>
      <c r="C262" s="1"/>
      <c r="H262" s="1" t="s">
        <v>531</v>
      </c>
      <c r="I262" s="1" t="s">
        <v>2963</v>
      </c>
      <c r="J262" s="1" t="s">
        <v>608</v>
      </c>
      <c r="M262" s="15" t="s">
        <v>501</v>
      </c>
      <c r="N262" s="15" t="s">
        <v>1511</v>
      </c>
      <c r="O262" s="15">
        <v>1</v>
      </c>
      <c r="P262" s="15" t="str" cm="1">
        <f t="array" ref="P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62" s="15" t="str" cm="1">
        <f t="array" ref="Q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canciones/ain_karem/de_todo_corazon.html</v>
      </c>
      <c r="S262" s="1"/>
      <c r="T262" s="1"/>
      <c r="U262" s="1"/>
      <c r="V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href="canciones/ain_karem/de_todo_corazon.html"&gt;De todo corazón&lt;/a&gt;&lt;/li&gt;</v>
      </c>
      <c r="W262" s="15" t="str">
        <f>_xlfn.TEXTBEFORE(_xlfn.TEXTAFTER(CantoralDB[[#This Row],[index.html]],"&gt;"),"&gt;")&amp;"&gt;"</f>
        <v>&lt;a href="canciones/ain_karem/de_todo_corazon.html"&gt;</v>
      </c>
      <c r="Y262" s="1"/>
      <c r="Z262" s="1"/>
      <c r="AA262" s="1"/>
    </row>
    <row r="263" spans="1:27" x14ac:dyDescent="0.3">
      <c r="A263" s="1">
        <f>ROW(CantoralDB[[#This Row],[Título]])-1</f>
        <v>262</v>
      </c>
      <c r="B263" s="1" t="s">
        <v>1827</v>
      </c>
      <c r="C263" s="1"/>
      <c r="H263" s="1" t="s">
        <v>531</v>
      </c>
      <c r="J263" s="1" t="s">
        <v>608</v>
      </c>
      <c r="M263" s="15" t="s">
        <v>501</v>
      </c>
      <c r="N263" s="15" t="s">
        <v>1511</v>
      </c>
      <c r="O263" s="15">
        <v>2</v>
      </c>
      <c r="P263" s="15" t="str" cm="1">
        <f t="array" ref="P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63" s="15" t="str" cm="1">
        <f t="array" ref="Q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canciones/ain_karem/canto_de_ana.html</v>
      </c>
      <c r="S263" s="1"/>
      <c r="T263" s="1"/>
      <c r="U263" s="1"/>
      <c r="V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href="canciones/ain_karem/canto_de_ana.html"&gt;Canto de Ana&lt;/a&gt;&lt;/li&gt;</v>
      </c>
      <c r="W263" s="15" t="str">
        <f>_xlfn.TEXTBEFORE(_xlfn.TEXTAFTER(CantoralDB[[#This Row],[index.html]],"&gt;"),"&gt;")&amp;"&gt;"</f>
        <v>&lt;a href="canciones/ain_karem/canto_de_ana.html"&gt;</v>
      </c>
      <c r="Y263" s="1"/>
      <c r="Z263" s="1"/>
      <c r="AA263" s="1"/>
    </row>
    <row r="264" spans="1:27" x14ac:dyDescent="0.3">
      <c r="A264" s="1">
        <f>ROW(CantoralDB[[#This Row],[Título]])-1</f>
        <v>263</v>
      </c>
      <c r="B264" s="1" t="s">
        <v>1828</v>
      </c>
      <c r="C264" s="1"/>
      <c r="H264" s="1" t="s">
        <v>531</v>
      </c>
      <c r="I264" s="1" t="s">
        <v>2962</v>
      </c>
      <c r="J264" s="1" t="s">
        <v>608</v>
      </c>
      <c r="M264" s="15" t="s">
        <v>501</v>
      </c>
      <c r="N264" s="15" t="s">
        <v>1511</v>
      </c>
      <c r="O264" s="15">
        <v>3</v>
      </c>
      <c r="P264" s="15" t="str" cm="1">
        <f t="array" ref="P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64" s="15" t="str" cm="1">
        <f t="array" ref="Q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canciones/ain_karem/seguirte.html</v>
      </c>
      <c r="S264" s="1"/>
      <c r="T264" s="1"/>
      <c r="U264" s="1"/>
      <c r="V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href="canciones/ain_karem/seguirte.html"&gt;Seguirte&lt;/a&gt;&lt;/li&gt;</v>
      </c>
      <c r="W264" s="15" t="str">
        <f>_xlfn.TEXTBEFORE(_xlfn.TEXTAFTER(CantoralDB[[#This Row],[index.html]],"&gt;"),"&gt;")&amp;"&gt;"</f>
        <v>&lt;a href="canciones/ain_karem/seguirte.html"&gt;</v>
      </c>
      <c r="Y264" s="1"/>
      <c r="Z264" s="1"/>
      <c r="AA264" s="1"/>
    </row>
    <row r="265" spans="1:27" x14ac:dyDescent="0.3">
      <c r="A265" s="1">
        <f>ROW(CantoralDB[[#This Row],[Título]])-1</f>
        <v>264</v>
      </c>
      <c r="B265" s="1" t="s">
        <v>1829</v>
      </c>
      <c r="C265" s="1"/>
      <c r="H265" s="1" t="s">
        <v>1027</v>
      </c>
      <c r="I265" s="1" t="s">
        <v>2959</v>
      </c>
      <c r="J265" s="1" t="s">
        <v>608</v>
      </c>
      <c r="M265" s="15" t="s">
        <v>501</v>
      </c>
      <c r="N265" s="15" t="s">
        <v>1511</v>
      </c>
      <c r="O265" s="15">
        <v>4</v>
      </c>
      <c r="P265" s="15" t="str" cm="1">
        <f t="array" ref="P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65" s="15" t="str" cm="1">
        <f t="array" ref="Q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canciones/ain_karem/pueblo_suyo.html</v>
      </c>
      <c r="S265" s="1"/>
      <c r="T265" s="1"/>
      <c r="U265" s="1"/>
      <c r="V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href="canciones/ain_karem/pueblo_suyo.html"&gt;Pueblo Suyo&lt;/a&gt;&lt;/li&gt;</v>
      </c>
      <c r="W265" s="15" t="str">
        <f>_xlfn.TEXTBEFORE(_xlfn.TEXTAFTER(CantoralDB[[#This Row],[index.html]],"&gt;"),"&gt;")&amp;"&gt;"</f>
        <v>&lt;a href="canciones/ain_karem/pueblo_suyo.html"&gt;</v>
      </c>
      <c r="Y265" s="1"/>
      <c r="Z265" s="1"/>
      <c r="AA265" s="1"/>
    </row>
    <row r="266" spans="1:27" x14ac:dyDescent="0.3">
      <c r="A266" s="1">
        <f>ROW(CantoralDB[[#This Row],[Título]])-1</f>
        <v>265</v>
      </c>
      <c r="B266" s="1" t="s">
        <v>1830</v>
      </c>
      <c r="C266" s="1"/>
      <c r="H266" s="1" t="s">
        <v>531</v>
      </c>
      <c r="I266" s="1" t="s">
        <v>2964</v>
      </c>
      <c r="J266" s="1" t="s">
        <v>608</v>
      </c>
      <c r="M266" s="15" t="s">
        <v>501</v>
      </c>
      <c r="N266" s="15" t="s">
        <v>1511</v>
      </c>
      <c r="O266" s="15">
        <v>5</v>
      </c>
      <c r="P266" s="15" t="str" cm="1">
        <f t="array" ref="P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66" s="15" t="str" cm="1">
        <f t="array" ref="Q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canciones/ain_karem/quedas_libre.html</v>
      </c>
      <c r="S266" s="1"/>
      <c r="T266" s="1"/>
      <c r="U266" s="1"/>
      <c r="V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href="canciones/ain_karem/quedas_libre.html"&gt;Quedas libre&lt;/a&gt;&lt;/li&gt;</v>
      </c>
      <c r="W266" s="15" t="str">
        <f>_xlfn.TEXTBEFORE(_xlfn.TEXTAFTER(CantoralDB[[#This Row],[index.html]],"&gt;"),"&gt;")&amp;"&gt;"</f>
        <v>&lt;a href="canciones/ain_karem/quedas_libre.html"&gt;</v>
      </c>
      <c r="Y266" s="1"/>
      <c r="Z266" s="1"/>
      <c r="AA266" s="1"/>
    </row>
    <row r="267" spans="1:27" x14ac:dyDescent="0.3">
      <c r="A267" s="1">
        <f>ROW(CantoralDB[[#This Row],[Título]])-1</f>
        <v>266</v>
      </c>
      <c r="B267" s="1" t="s">
        <v>1831</v>
      </c>
      <c r="C267" s="1"/>
      <c r="H267" s="1" t="s">
        <v>531</v>
      </c>
      <c r="J267" s="1" t="s">
        <v>608</v>
      </c>
      <c r="M267" s="15" t="s">
        <v>501</v>
      </c>
      <c r="N267" s="15" t="s">
        <v>1511</v>
      </c>
      <c r="O267" s="15">
        <v>6</v>
      </c>
      <c r="P267" s="15" t="str" cm="1">
        <f t="array" ref="P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67" s="15" t="str" cm="1">
        <f t="array" ref="Q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canciones/ain_karem/si_le_dais_posada.html</v>
      </c>
      <c r="S267" s="1"/>
      <c r="T267" s="1"/>
      <c r="U267" s="1"/>
      <c r="V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href="canciones/ain_karem/si_le_dais_posada.html"&gt;Si le dais posada&lt;/a&gt;&lt;/li&gt;</v>
      </c>
      <c r="W267" s="15" t="str">
        <f>_xlfn.TEXTBEFORE(_xlfn.TEXTAFTER(CantoralDB[[#This Row],[index.html]],"&gt;"),"&gt;")&amp;"&gt;"</f>
        <v>&lt;a href="canciones/ain_karem/si_le_dais_posada.html"&gt;</v>
      </c>
      <c r="Y267" s="1"/>
      <c r="Z267" s="1"/>
      <c r="AA267" s="1"/>
    </row>
    <row r="268" spans="1:27" x14ac:dyDescent="0.3">
      <c r="A268" s="1">
        <f>ROW(CantoralDB[[#This Row],[Título]])-1</f>
        <v>267</v>
      </c>
      <c r="B268" s="1" t="s">
        <v>1832</v>
      </c>
      <c r="C268" s="1"/>
      <c r="H268" s="1" t="s">
        <v>531</v>
      </c>
      <c r="I268" s="1" t="s">
        <v>2961</v>
      </c>
      <c r="J268" s="1" t="s">
        <v>608</v>
      </c>
      <c r="M268" s="15" t="s">
        <v>501</v>
      </c>
      <c r="N268" s="15" t="s">
        <v>1511</v>
      </c>
      <c r="O268" s="15">
        <v>7</v>
      </c>
      <c r="P268" s="15" t="str" cm="1">
        <f t="array" ref="P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68" s="15" t="str" cm="1">
        <f t="array" ref="Q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canciones/ain_karem/es_mi_hermano.html</v>
      </c>
      <c r="S268" s="1"/>
      <c r="T268" s="1"/>
      <c r="U268" s="1"/>
      <c r="V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href="canciones/ain_karem/es_mi_hermano.html"&gt;Es mi hermano&lt;/a&gt;&lt;/li&gt;</v>
      </c>
      <c r="W268" s="15" t="str">
        <f>_xlfn.TEXTBEFORE(_xlfn.TEXTAFTER(CantoralDB[[#This Row],[index.html]],"&gt;"),"&gt;")&amp;"&gt;"</f>
        <v>&lt;a href="canciones/ain_karem/es_mi_hermano.html"&gt;</v>
      </c>
      <c r="Y268" s="1"/>
      <c r="Z268" s="1"/>
      <c r="AA268" s="1"/>
    </row>
    <row r="269" spans="1:27" x14ac:dyDescent="0.3">
      <c r="A269" s="1">
        <f>ROW(CantoralDB[[#This Row],[Título]])-1</f>
        <v>268</v>
      </c>
      <c r="B269" s="1" t="s">
        <v>1833</v>
      </c>
      <c r="C269" s="1"/>
      <c r="H269" s="1" t="s">
        <v>1030</v>
      </c>
      <c r="J269" s="1" t="s">
        <v>608</v>
      </c>
      <c r="M269" s="15" t="s">
        <v>501</v>
      </c>
      <c r="N269" s="15" t="s">
        <v>1511</v>
      </c>
      <c r="O269" s="15">
        <v>8</v>
      </c>
      <c r="P269" s="15" t="str" cm="1">
        <f t="array" ref="P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69" s="15" t="str" cm="1">
        <f t="array" ref="Q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canciones/ain_karem/jesus.html</v>
      </c>
      <c r="S269" s="1"/>
      <c r="T269" s="1"/>
      <c r="U269" s="1"/>
      <c r="V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href="canciones/ain_karem/jesus.html"&gt;Jesús&lt;/a&gt;&lt;/li&gt;</v>
      </c>
      <c r="W269" s="15" t="str">
        <f>_xlfn.TEXTBEFORE(_xlfn.TEXTAFTER(CantoralDB[[#This Row],[index.html]],"&gt;"),"&gt;")&amp;"&gt;"</f>
        <v>&lt;a href="canciones/ain_karem/jesus.html"&gt;</v>
      </c>
      <c r="Y269" s="1"/>
      <c r="Z269" s="1"/>
      <c r="AA269" s="1"/>
    </row>
    <row r="270" spans="1:27" x14ac:dyDescent="0.3">
      <c r="A270" s="1">
        <f>ROW(CantoralDB[[#This Row],[Título]])-1</f>
        <v>269</v>
      </c>
      <c r="B270" s="1" t="s">
        <v>939</v>
      </c>
      <c r="C270" s="1"/>
      <c r="H270" s="1" t="s">
        <v>1027</v>
      </c>
      <c r="J270" s="1" t="s">
        <v>608</v>
      </c>
      <c r="M270" s="15" t="s">
        <v>501</v>
      </c>
      <c r="N270" s="15" t="s">
        <v>1511</v>
      </c>
      <c r="O270" s="15">
        <v>9</v>
      </c>
      <c r="P270" s="15" t="str" cm="1">
        <f t="array" ref="P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70" s="15" t="str" cm="1">
        <f t="array" ref="Q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canciones/ain_karem/el_reino_de_dios.html</v>
      </c>
      <c r="S270" s="1"/>
      <c r="T270" s="1"/>
      <c r="U270" s="1"/>
      <c r="V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href="canciones/ain_karem/el_reino_de_dios.html"&gt;El Reino de Dios&lt;/a&gt;&lt;/li&gt;</v>
      </c>
      <c r="W270" s="15" t="str">
        <f>_xlfn.TEXTBEFORE(_xlfn.TEXTAFTER(CantoralDB[[#This Row],[index.html]],"&gt;"),"&gt;")&amp;"&gt;"</f>
        <v>&lt;a href="canciones/ain_karem/el_reino_de_dios.html"&gt;</v>
      </c>
      <c r="Y270" s="1"/>
      <c r="Z270" s="1"/>
      <c r="AA270" s="1"/>
    </row>
    <row r="271" spans="1:27" x14ac:dyDescent="0.3">
      <c r="A271" s="1">
        <f>ROW(CantoralDB[[#This Row],[Título]])-1</f>
        <v>270</v>
      </c>
      <c r="B271" s="1" t="s">
        <v>2152</v>
      </c>
      <c r="C271" s="1"/>
      <c r="H271" s="1" t="s">
        <v>531</v>
      </c>
      <c r="J271" s="1" t="s">
        <v>608</v>
      </c>
      <c r="M271" s="15" t="s">
        <v>501</v>
      </c>
      <c r="N271" s="15" t="s">
        <v>1511</v>
      </c>
      <c r="O271" s="15">
        <v>10</v>
      </c>
      <c r="P271" s="15" t="str" cm="1">
        <f t="array" ref="P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71" s="15" t="str" cm="1">
        <f t="array" ref="Q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canciones/ain_karem/recibid_mi_espiritu.html</v>
      </c>
      <c r="S271" s="1"/>
      <c r="T271" s="1"/>
      <c r="U271" s="1"/>
      <c r="V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href="canciones/ain_karem/recibid_mi_espiritu.html"&gt;Recibid mi Espíritu&lt;/a&gt;&lt;/li&gt;</v>
      </c>
      <c r="W271" s="15" t="str">
        <f>_xlfn.TEXTBEFORE(_xlfn.TEXTAFTER(CantoralDB[[#This Row],[index.html]],"&gt;"),"&gt;")&amp;"&gt;"</f>
        <v>&lt;a href="canciones/ain_karem/recibid_mi_espiritu.html"&gt;</v>
      </c>
      <c r="Y271" s="1"/>
      <c r="Z271" s="1"/>
      <c r="AA271" s="1"/>
    </row>
    <row r="272" spans="1:27" x14ac:dyDescent="0.3">
      <c r="A272" s="1">
        <f>ROW(CantoralDB[[#This Row],[Título]])-1</f>
        <v>271</v>
      </c>
      <c r="B272" s="1" t="s">
        <v>2889</v>
      </c>
      <c r="C272" s="1"/>
      <c r="H272" s="1" t="s">
        <v>531</v>
      </c>
      <c r="J272" s="1" t="s">
        <v>608</v>
      </c>
      <c r="M272" s="15" t="s">
        <v>501</v>
      </c>
      <c r="N272" s="15" t="s">
        <v>1511</v>
      </c>
      <c r="O272" s="15">
        <v>11</v>
      </c>
      <c r="P272" s="15" t="str" cm="1">
        <f t="array" ref="P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72" s="15" t="str" cm="1">
        <f t="array" ref="Q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canciones/ain_karem/confia.html</v>
      </c>
      <c r="S272" s="1"/>
      <c r="T272" s="1"/>
      <c r="U272" s="1"/>
      <c r="V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href="canciones/ain_karem/confia.html"&gt;Confía&lt;/a&gt;&lt;/li&gt;</v>
      </c>
      <c r="W272" s="15" t="str">
        <f>_xlfn.TEXTBEFORE(_xlfn.TEXTAFTER(CantoralDB[[#This Row],[index.html]],"&gt;"),"&gt;")&amp;"&gt;"</f>
        <v>&lt;a href="canciones/ain_karem/confia.html"&gt;</v>
      </c>
      <c r="Y272" s="1"/>
      <c r="Z272" s="1"/>
      <c r="AA272" s="1"/>
    </row>
    <row r="273" spans="1:27" x14ac:dyDescent="0.3">
      <c r="A273" s="1">
        <f>ROW(CantoralDB[[#This Row],[Título]])-1</f>
        <v>272</v>
      </c>
      <c r="B273" s="1" t="s">
        <v>1834</v>
      </c>
      <c r="C273" s="1"/>
      <c r="H273" s="1" t="s">
        <v>473</v>
      </c>
      <c r="J273" s="1" t="s">
        <v>608</v>
      </c>
      <c r="M273" s="15" t="s">
        <v>501</v>
      </c>
      <c r="N273" s="15" t="s">
        <v>1511</v>
      </c>
      <c r="O273" s="15">
        <v>12</v>
      </c>
      <c r="P273" s="15" t="str" cm="1">
        <f t="array" ref="P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73" s="15" t="str" cm="1">
        <f t="array" ref="Q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canciones/ain_karem/como_tu.html</v>
      </c>
      <c r="S273" s="1"/>
      <c r="T273" s="1"/>
      <c r="U273" s="1"/>
      <c r="V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href="canciones/ain_karem/como_tu.html"&gt;Como Tú&lt;/a&gt;&lt;/li&gt;</v>
      </c>
      <c r="W273" s="15" t="str">
        <f>_xlfn.TEXTBEFORE(_xlfn.TEXTAFTER(CantoralDB[[#This Row],[index.html]],"&gt;"),"&gt;")&amp;"&gt;"</f>
        <v>&lt;a href="canciones/ain_karem/como_tu.html"&gt;</v>
      </c>
      <c r="Y273" s="1"/>
      <c r="Z273" s="1"/>
      <c r="AA273" s="1"/>
    </row>
    <row r="274" spans="1:27" x14ac:dyDescent="0.3">
      <c r="A274" s="1">
        <f>ROW(CantoralDB[[#This Row],[Título]])-1</f>
        <v>273</v>
      </c>
      <c r="B274" s="1" t="s">
        <v>1835</v>
      </c>
      <c r="C274" s="1"/>
      <c r="H274" s="1" t="s">
        <v>531</v>
      </c>
      <c r="J274" s="1" t="s">
        <v>608</v>
      </c>
      <c r="M274" s="15" t="s">
        <v>501</v>
      </c>
      <c r="N274" s="15" t="s">
        <v>1511</v>
      </c>
      <c r="O274" s="15">
        <v>13</v>
      </c>
      <c r="P274" s="15" t="str" cm="1">
        <f t="array" ref="P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74" s="15" t="str" cm="1">
        <f t="array" ref="Q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canciones/ain_karem/pequeño_israel.html</v>
      </c>
      <c r="S274" s="1"/>
      <c r="T274" s="1"/>
      <c r="U274" s="1"/>
      <c r="V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href="canciones/ain_karem/pequeño_israel.html"&gt;Pequeño Israel&lt;/a&gt;&lt;/li&gt;</v>
      </c>
      <c r="W274" s="15" t="str">
        <f>_xlfn.TEXTBEFORE(_xlfn.TEXTAFTER(CantoralDB[[#This Row],[index.html]],"&gt;"),"&gt;")&amp;"&gt;"</f>
        <v>&lt;a href="canciones/ain_karem/pequeño_israel.html"&gt;</v>
      </c>
      <c r="Y274" s="1"/>
      <c r="Z274" s="1"/>
      <c r="AA274" s="1"/>
    </row>
    <row r="275" spans="1:27" x14ac:dyDescent="0.3">
      <c r="A275" s="1">
        <f>ROW(CantoralDB[[#This Row],[Título]])-1</f>
        <v>274</v>
      </c>
      <c r="B275" s="1" t="s">
        <v>1836</v>
      </c>
      <c r="C275" s="1"/>
      <c r="H275" s="1" t="s">
        <v>531</v>
      </c>
      <c r="J275" s="1" t="s">
        <v>608</v>
      </c>
      <c r="M275" s="15" t="s">
        <v>501</v>
      </c>
      <c r="N275" s="15" t="s">
        <v>1511</v>
      </c>
      <c r="O275" s="15">
        <v>14</v>
      </c>
      <c r="P275" s="15" t="str" cm="1">
        <f t="array" ref="P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75" s="15" t="str" cm="1">
        <f t="array" ref="Q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canciones/ain_karem/vivid_en_comunion.html</v>
      </c>
      <c r="S275" s="1"/>
      <c r="T275" s="1"/>
      <c r="U275" s="1"/>
      <c r="V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href="canciones/ain_karem/vivid_en_comunion.html"&gt;Vivid en comunión&lt;/a&gt;&lt;/li&gt;</v>
      </c>
      <c r="W275" s="15" t="str">
        <f>_xlfn.TEXTBEFORE(_xlfn.TEXTAFTER(CantoralDB[[#This Row],[index.html]],"&gt;"),"&gt;")&amp;"&gt;"</f>
        <v>&lt;a href="canciones/ain_karem/vivid_en_comunion.html"&gt;</v>
      </c>
      <c r="Y275" s="1"/>
      <c r="Z275" s="1"/>
      <c r="AA275" s="1"/>
    </row>
    <row r="276" spans="1:27" x14ac:dyDescent="0.3">
      <c r="A276" s="1">
        <f>ROW(CantoralDB[[#This Row],[Título]])-1</f>
        <v>275</v>
      </c>
      <c r="B276" s="1" t="s">
        <v>2234</v>
      </c>
      <c r="C276" s="1"/>
      <c r="H276" s="1" t="s">
        <v>1027</v>
      </c>
      <c r="J276" s="1" t="s">
        <v>608</v>
      </c>
      <c r="M276" s="15" t="s">
        <v>501</v>
      </c>
      <c r="N276" s="15" t="s">
        <v>1511</v>
      </c>
      <c r="O276" s="15">
        <v>15</v>
      </c>
      <c r="P276" s="15" t="str" cm="1">
        <f t="array" ref="P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76" s="15" t="str" cm="1">
        <f t="array" ref="Q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canciones/ain_karem/vengan_a_mi.html</v>
      </c>
      <c r="S276" s="1"/>
      <c r="T276" s="1"/>
      <c r="U276" s="1"/>
      <c r="V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href="canciones/ain_karem/vengan_a_mi.html"&gt;Vengan a mí&lt;/a&gt;&lt;/li&gt;</v>
      </c>
      <c r="W276" s="15" t="str">
        <f>_xlfn.TEXTBEFORE(_xlfn.TEXTAFTER(CantoralDB[[#This Row],[index.html]],"&gt;"),"&gt;")&amp;"&gt;"</f>
        <v>&lt;a href="canciones/ain_karem/vengan_a_mi.html"&gt;</v>
      </c>
      <c r="Y276" s="1"/>
      <c r="Z276" s="1"/>
      <c r="AA276" s="1"/>
    </row>
    <row r="277" spans="1:27" x14ac:dyDescent="0.3">
      <c r="A277" s="1">
        <f>ROW(CantoralDB[[#This Row],[Título]])-1</f>
        <v>276</v>
      </c>
      <c r="B277" s="1" t="s">
        <v>1825</v>
      </c>
      <c r="C277" s="1"/>
      <c r="H277" s="1" t="s">
        <v>531</v>
      </c>
      <c r="I277" s="1" t="s">
        <v>2963</v>
      </c>
      <c r="J277" s="1" t="s">
        <v>608</v>
      </c>
      <c r="M277" s="15" t="s">
        <v>501</v>
      </c>
      <c r="N277" s="15" t="s">
        <v>1511</v>
      </c>
      <c r="O277" s="15">
        <v>16</v>
      </c>
      <c r="P277" s="15" t="str" cm="1">
        <f t="array" ref="P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77" s="15" t="str" cm="1">
        <f t="array" ref="Q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canciones/ain_karem/os_envio.html</v>
      </c>
      <c r="S277" s="1"/>
      <c r="T277" s="1"/>
      <c r="U277" s="1"/>
      <c r="V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href="canciones/ain_karem/os_envio.html"&gt;Os envío&lt;/a&gt;&lt;/li&gt;</v>
      </c>
      <c r="W277" s="15" t="str">
        <f>_xlfn.TEXTBEFORE(_xlfn.TEXTAFTER(CantoralDB[[#This Row],[index.html]],"&gt;"),"&gt;")&amp;"&gt;"</f>
        <v>&lt;a href="canciones/ain_karem/os_envio.html"&gt;</v>
      </c>
      <c r="Y277" s="1"/>
      <c r="Z277" s="1"/>
      <c r="AA277" s="1"/>
    </row>
    <row r="278" spans="1:27" x14ac:dyDescent="0.3">
      <c r="A278" s="1">
        <f>ROW(CantoralDB[[#This Row],[Título]])-1</f>
        <v>277</v>
      </c>
      <c r="B278" s="1" t="s">
        <v>1810</v>
      </c>
      <c r="C278" s="1"/>
      <c r="H278" s="1" t="s">
        <v>531</v>
      </c>
      <c r="I278" s="1" t="s">
        <v>2961</v>
      </c>
      <c r="J278" s="1" t="s">
        <v>608</v>
      </c>
      <c r="M278" s="15" t="s">
        <v>501</v>
      </c>
      <c r="N278" s="15" t="s">
        <v>1512</v>
      </c>
      <c r="O278" s="15">
        <v>1</v>
      </c>
      <c r="P278" s="15" t="str" cm="1">
        <f t="array" ref="P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78" s="15" t="str" cm="1">
        <f t="array" ref="Q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canciones/ain_karem/fuego.html</v>
      </c>
      <c r="S278" s="1"/>
      <c r="T278" s="1"/>
      <c r="U278" s="1"/>
      <c r="V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href="canciones/ain_karem/fuego.html"&gt;Fuego&lt;/a&gt;&lt;/li&gt;</v>
      </c>
      <c r="W278" s="15" t="str">
        <f>_xlfn.TEXTBEFORE(_xlfn.TEXTAFTER(CantoralDB[[#This Row],[index.html]],"&gt;"),"&gt;")&amp;"&gt;"</f>
        <v>&lt;a href="canciones/ain_karem/fuego.html"&gt;</v>
      </c>
      <c r="Y278" s="1"/>
      <c r="Z278" s="1"/>
      <c r="AA278" s="1"/>
    </row>
    <row r="279" spans="1:27" x14ac:dyDescent="0.3">
      <c r="A279" s="1">
        <f>ROW(CantoralDB[[#This Row],[Título]])-1</f>
        <v>278</v>
      </c>
      <c r="B279" s="1" t="s">
        <v>1811</v>
      </c>
      <c r="C279" s="1"/>
      <c r="H279" s="1" t="s">
        <v>1030</v>
      </c>
      <c r="J279" s="1" t="s">
        <v>608</v>
      </c>
      <c r="M279" s="15" t="s">
        <v>501</v>
      </c>
      <c r="N279" s="15" t="s">
        <v>1512</v>
      </c>
      <c r="O279" s="15">
        <v>2</v>
      </c>
      <c r="P279" s="15" t="str" cm="1">
        <f t="array" ref="P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79" s="15" t="str" cm="1">
        <f t="array" ref="Q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canciones/ain_karem/mujeres_en_camino.html</v>
      </c>
      <c r="S279" s="1"/>
      <c r="T279" s="1"/>
      <c r="U279" s="1"/>
      <c r="V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href="canciones/ain_karem/mujeres_en_camino.html"&gt;Mujeres en camino&lt;/a&gt;&lt;/li&gt;</v>
      </c>
      <c r="W279" s="15" t="str">
        <f>_xlfn.TEXTBEFORE(_xlfn.TEXTAFTER(CantoralDB[[#This Row],[index.html]],"&gt;"),"&gt;")&amp;"&gt;"</f>
        <v>&lt;a href="canciones/ain_karem/mujeres_en_camino.html"&gt;</v>
      </c>
      <c r="Y279" s="1"/>
      <c r="Z279" s="1"/>
      <c r="AA279" s="1"/>
    </row>
    <row r="280" spans="1:27" x14ac:dyDescent="0.3">
      <c r="A280" s="1">
        <f>ROW(CantoralDB[[#This Row],[Título]])-1</f>
        <v>279</v>
      </c>
      <c r="B280" s="1" t="s">
        <v>215</v>
      </c>
      <c r="C280" s="1"/>
      <c r="H280" s="1" t="s">
        <v>1029</v>
      </c>
      <c r="J280" s="1" t="s">
        <v>608</v>
      </c>
      <c r="M280" s="15" t="s">
        <v>501</v>
      </c>
      <c r="N280" s="15" t="s">
        <v>1512</v>
      </c>
      <c r="O280" s="15">
        <v>3</v>
      </c>
      <c r="P280" s="15" t="str" cm="1">
        <f t="array" ref="P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80" s="15" t="str" cm="1">
        <f t="array" ref="Q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canciones/ain_karem/no_temas.html</v>
      </c>
      <c r="S280" s="1"/>
      <c r="T280" s="1"/>
      <c r="U280" s="1"/>
      <c r="V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href="canciones/ain_karem/no_temas.html"&gt;No temas&lt;/a&gt;&lt;/li&gt;</v>
      </c>
      <c r="W280" s="15" t="str">
        <f>_xlfn.TEXTBEFORE(_xlfn.TEXTAFTER(CantoralDB[[#This Row],[index.html]],"&gt;"),"&gt;")&amp;"&gt;"</f>
        <v>&lt;a href="canciones/ain_karem/no_temas.html"&gt;</v>
      </c>
      <c r="Y280" s="1"/>
      <c r="Z280" s="1"/>
      <c r="AA280" s="1"/>
    </row>
    <row r="281" spans="1:27" x14ac:dyDescent="0.3">
      <c r="A281" s="1">
        <f>ROW(CantoralDB[[#This Row],[Título]])-1</f>
        <v>280</v>
      </c>
      <c r="B281" s="1" t="s">
        <v>1812</v>
      </c>
      <c r="C281" s="1"/>
      <c r="H281" s="1" t="s">
        <v>1027</v>
      </c>
      <c r="J281" s="1" t="s">
        <v>608</v>
      </c>
      <c r="M281" s="15" t="s">
        <v>501</v>
      </c>
      <c r="N281" s="15" t="s">
        <v>1512</v>
      </c>
      <c r="O281" s="15">
        <v>4</v>
      </c>
      <c r="P281" s="15" t="str" cm="1">
        <f t="array" ref="P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81" s="15" t="str" cm="1">
        <f t="array" ref="Q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canciones/ain_karem/abre_mis_puertas.html</v>
      </c>
      <c r="S281" s="1"/>
      <c r="T281" s="1"/>
      <c r="U281" s="1"/>
      <c r="V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href="canciones/ain_karem/abre_mis_puertas.html"&gt;Abre mis puertas&lt;/a&gt;&lt;/li&gt;</v>
      </c>
      <c r="W281" s="15" t="str">
        <f>_xlfn.TEXTBEFORE(_xlfn.TEXTAFTER(CantoralDB[[#This Row],[index.html]],"&gt;"),"&gt;")&amp;"&gt;"</f>
        <v>&lt;a href="canciones/ain_karem/abre_mis_puertas.html"&gt;</v>
      </c>
      <c r="Y281" s="1"/>
      <c r="Z281" s="1"/>
      <c r="AA281" s="1"/>
    </row>
    <row r="282" spans="1:27" x14ac:dyDescent="0.3">
      <c r="A282" s="1">
        <f>ROW(CantoralDB[[#This Row],[Título]])-1</f>
        <v>281</v>
      </c>
      <c r="B282" s="1" t="s">
        <v>1813</v>
      </c>
      <c r="C282" s="1"/>
      <c r="H282" s="1" t="s">
        <v>473</v>
      </c>
      <c r="J282" s="1" t="s">
        <v>608</v>
      </c>
      <c r="M282" s="15" t="s">
        <v>501</v>
      </c>
      <c r="N282" s="15" t="s">
        <v>1512</v>
      </c>
      <c r="O282" s="15">
        <v>5</v>
      </c>
      <c r="P282" s="15" t="str" cm="1">
        <f t="array" ref="P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82" s="15" t="str" cm="1">
        <f t="array" ref="Q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canciones/ain_karem/danos_de_beber.html</v>
      </c>
      <c r="S282" s="1"/>
      <c r="T282" s="1"/>
      <c r="U282" s="1"/>
      <c r="V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href="canciones/ain_karem/danos_de_beber.html"&gt;Danos de beber&lt;/a&gt;&lt;/li&gt;</v>
      </c>
      <c r="W282" s="15" t="str">
        <f>_xlfn.TEXTBEFORE(_xlfn.TEXTAFTER(CantoralDB[[#This Row],[index.html]],"&gt;"),"&gt;")&amp;"&gt;"</f>
        <v>&lt;a href="canciones/ain_karem/danos_de_beber.html"&gt;</v>
      </c>
      <c r="Y282" s="1"/>
      <c r="Z282" s="1"/>
      <c r="AA282" s="1"/>
    </row>
    <row r="283" spans="1:27" x14ac:dyDescent="0.3">
      <c r="A283" s="1">
        <f>ROW(CantoralDB[[#This Row],[Título]])-1</f>
        <v>282</v>
      </c>
      <c r="B283" s="1" t="s">
        <v>1814</v>
      </c>
      <c r="C283" s="1"/>
      <c r="H283" s="1" t="s">
        <v>531</v>
      </c>
      <c r="I283" s="1" t="s">
        <v>2963</v>
      </c>
      <c r="J283" s="1" t="s">
        <v>608</v>
      </c>
      <c r="M283" s="15" t="s">
        <v>501</v>
      </c>
      <c r="N283" s="15" t="s">
        <v>1512</v>
      </c>
      <c r="O283" s="15">
        <v>6</v>
      </c>
      <c r="P283" s="15" t="str" cm="1">
        <f t="array" ref="P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83" s="15" t="str" cm="1">
        <f t="array" ref="Q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canciones/ain_karem/secuencia_pascual.html</v>
      </c>
      <c r="S283" s="1"/>
      <c r="T283" s="1"/>
      <c r="U283" s="1"/>
      <c r="V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href="canciones/ain_karem/secuencia_pascual.html"&gt;Secuencia pascual&lt;/a&gt;&lt;/li&gt;</v>
      </c>
      <c r="W283" s="15" t="str">
        <f>_xlfn.TEXTBEFORE(_xlfn.TEXTAFTER(CantoralDB[[#This Row],[index.html]],"&gt;"),"&gt;")&amp;"&gt;"</f>
        <v>&lt;a href="canciones/ain_karem/secuencia_pascual.html"&gt;</v>
      </c>
      <c r="Y283" s="1"/>
      <c r="Z283" s="1"/>
      <c r="AA283" s="1"/>
    </row>
    <row r="284" spans="1:27" x14ac:dyDescent="0.3">
      <c r="A284" s="1">
        <f>ROW(CantoralDB[[#This Row],[Título]])-1</f>
        <v>283</v>
      </c>
      <c r="B284" s="1" t="s">
        <v>1815</v>
      </c>
      <c r="C284" s="1"/>
      <c r="H284" s="1" t="s">
        <v>1030</v>
      </c>
      <c r="I284" s="1" t="s">
        <v>2962</v>
      </c>
      <c r="J284" s="1" t="s">
        <v>608</v>
      </c>
      <c r="M284" s="15" t="s">
        <v>501</v>
      </c>
      <c r="N284" s="15" t="s">
        <v>1512</v>
      </c>
      <c r="O284" s="15">
        <v>7</v>
      </c>
      <c r="P284" s="15" t="str" cm="1">
        <f t="array" ref="P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84" s="15" t="str" cm="1">
        <f t="array" ref="Q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canciones/ain_karem/solo_en_dios.html</v>
      </c>
      <c r="S284" s="1"/>
      <c r="T284" s="1"/>
      <c r="U284" s="1"/>
      <c r="V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href="canciones/ain_karem/solo_en_dios.html"&gt;Sólo en Dios&lt;/a&gt;&lt;/li&gt;</v>
      </c>
      <c r="W284" s="15" t="str">
        <f>_xlfn.TEXTBEFORE(_xlfn.TEXTAFTER(CantoralDB[[#This Row],[index.html]],"&gt;"),"&gt;")&amp;"&gt;"</f>
        <v>&lt;a href="canciones/ain_karem/solo_en_dios.html"&gt;</v>
      </c>
      <c r="Y284" s="1"/>
      <c r="Z284" s="1"/>
      <c r="AA284" s="1"/>
    </row>
    <row r="285" spans="1:27" x14ac:dyDescent="0.3">
      <c r="A285" s="1">
        <f>ROW(CantoralDB[[#This Row],[Título]])-1</f>
        <v>284</v>
      </c>
      <c r="B285" s="1" t="s">
        <v>1816</v>
      </c>
      <c r="C285" s="1"/>
      <c r="H285" s="1" t="s">
        <v>473</v>
      </c>
      <c r="I285" s="1" t="s">
        <v>2959</v>
      </c>
      <c r="J285" s="1" t="s">
        <v>608</v>
      </c>
      <c r="M285" s="15" t="s">
        <v>501</v>
      </c>
      <c r="N285" s="15" t="s">
        <v>1512</v>
      </c>
      <c r="O285" s="15">
        <v>8</v>
      </c>
      <c r="P285" s="15" t="str" cm="1">
        <f t="array" ref="P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85" s="15" t="str" cm="1">
        <f t="array" ref="Q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canciones/ain_karem/cantad_al_señor.html</v>
      </c>
      <c r="S285" s="1"/>
      <c r="T285" s="1"/>
      <c r="U285" s="1"/>
      <c r="V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href="canciones/ain_karem/cantad_al_señor.html"&gt;Cantad al Señor&lt;/a&gt;&lt;/li&gt;</v>
      </c>
      <c r="W285" s="15" t="str">
        <f>_xlfn.TEXTBEFORE(_xlfn.TEXTAFTER(CantoralDB[[#This Row],[index.html]],"&gt;"),"&gt;")&amp;"&gt;"</f>
        <v>&lt;a href="canciones/ain_karem/cantad_al_señor.html"&gt;</v>
      </c>
      <c r="Y285" s="1"/>
      <c r="Z285" s="1"/>
      <c r="AA285" s="1"/>
    </row>
    <row r="286" spans="1:27" x14ac:dyDescent="0.3">
      <c r="A286" s="1">
        <f>ROW(CantoralDB[[#This Row],[Título]])-1</f>
        <v>285</v>
      </c>
      <c r="B286" s="1" t="s">
        <v>1817</v>
      </c>
      <c r="C286" s="1"/>
      <c r="H286" s="1" t="s">
        <v>531</v>
      </c>
      <c r="I286" s="1" t="s">
        <v>2962</v>
      </c>
      <c r="J286" s="1" t="s">
        <v>608</v>
      </c>
      <c r="M286" s="15" t="s">
        <v>501</v>
      </c>
      <c r="N286" s="15" t="s">
        <v>1512</v>
      </c>
      <c r="O286" s="15">
        <v>9</v>
      </c>
      <c r="P286" s="15" t="str" cm="1">
        <f t="array" ref="P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86" s="15" t="str" cm="1">
        <f t="array" ref="Q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canciones/ain_karem/agua_viva.html</v>
      </c>
      <c r="S286" s="1"/>
      <c r="T286" s="1"/>
      <c r="U286" s="1"/>
      <c r="V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href="canciones/ain_karem/agua_viva.html"&gt;Agua viva&lt;/a&gt;&lt;/li&gt;</v>
      </c>
      <c r="W286" s="15" t="str">
        <f>_xlfn.TEXTBEFORE(_xlfn.TEXTAFTER(CantoralDB[[#This Row],[index.html]],"&gt;"),"&gt;")&amp;"&gt;"</f>
        <v>&lt;a href="canciones/ain_karem/agua_viva.html"&gt;</v>
      </c>
      <c r="Y286" s="1"/>
      <c r="Z286" s="1"/>
      <c r="AA286" s="1"/>
    </row>
    <row r="287" spans="1:27" x14ac:dyDescent="0.3">
      <c r="A287" s="1">
        <f>ROW(CantoralDB[[#This Row],[Título]])-1</f>
        <v>286</v>
      </c>
      <c r="B287" s="1" t="s">
        <v>1512</v>
      </c>
      <c r="C287" s="1"/>
      <c r="H287" s="1" t="s">
        <v>1030</v>
      </c>
      <c r="J287" s="1" t="s">
        <v>608</v>
      </c>
      <c r="M287" s="15" t="s">
        <v>501</v>
      </c>
      <c r="N287" s="15" t="s">
        <v>1512</v>
      </c>
      <c r="O287" s="15">
        <v>10</v>
      </c>
      <c r="P287" s="15" t="str" cm="1">
        <f t="array" ref="P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87" s="15" t="str" cm="1">
        <f t="array" ref="Q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canciones/ain_karem/fuego_y_abrazo.html</v>
      </c>
      <c r="S287" s="1"/>
      <c r="T287" s="1"/>
      <c r="U287" s="1"/>
      <c r="V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href="canciones/ain_karem/fuego_y_abrazo.html"&gt;Fuego y abrazo&lt;/a&gt;&lt;/li&gt;</v>
      </c>
      <c r="W287" s="15" t="str">
        <f>_xlfn.TEXTBEFORE(_xlfn.TEXTAFTER(CantoralDB[[#This Row],[index.html]],"&gt;"),"&gt;")&amp;"&gt;"</f>
        <v>&lt;a href="canciones/ain_karem/fuego_y_abrazo.html"&gt;</v>
      </c>
      <c r="Y287" s="1"/>
      <c r="Z287" s="1"/>
      <c r="AA287" s="1"/>
    </row>
    <row r="288" spans="1:27" x14ac:dyDescent="0.3">
      <c r="A288" s="1">
        <f>ROW(CantoralDB[[#This Row],[Título]])-1</f>
        <v>287</v>
      </c>
      <c r="B288" s="1" t="s">
        <v>1818</v>
      </c>
      <c r="C288" s="1"/>
      <c r="H288" s="1" t="s">
        <v>473</v>
      </c>
      <c r="J288" s="1" t="s">
        <v>608</v>
      </c>
      <c r="M288" s="15" t="s">
        <v>501</v>
      </c>
      <c r="N288" s="15" t="s">
        <v>1512</v>
      </c>
      <c r="O288" s="15">
        <v>11</v>
      </c>
      <c r="P288" s="15" t="str" cm="1">
        <f t="array" ref="P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88" s="15" t="str" cm="1">
        <f t="array" ref="Q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canciones/ain_karem/habitare.html</v>
      </c>
      <c r="S288" s="1"/>
      <c r="T288" s="1"/>
      <c r="U288" s="1"/>
      <c r="V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href="canciones/ain_karem/habitare.html"&gt;Habitaré&lt;/a&gt;&lt;/li&gt;</v>
      </c>
      <c r="W288" s="15" t="str">
        <f>_xlfn.TEXTBEFORE(_xlfn.TEXTAFTER(CantoralDB[[#This Row],[index.html]],"&gt;"),"&gt;")&amp;"&gt;"</f>
        <v>&lt;a href="canciones/ain_karem/habitare.html"&gt;</v>
      </c>
      <c r="Y288" s="1"/>
      <c r="Z288" s="1"/>
      <c r="AA288" s="1"/>
    </row>
    <row r="289" spans="1:27" x14ac:dyDescent="0.3">
      <c r="A289" s="1">
        <f>ROW(CantoralDB[[#This Row],[Título]])-1</f>
        <v>288</v>
      </c>
      <c r="B289" s="1" t="s">
        <v>1839</v>
      </c>
      <c r="C289" s="1"/>
      <c r="H289" s="1" t="s">
        <v>1027</v>
      </c>
      <c r="J289" s="1" t="s">
        <v>608</v>
      </c>
      <c r="M289" s="15" t="s">
        <v>501</v>
      </c>
      <c r="N289" s="15" t="s">
        <v>1512</v>
      </c>
      <c r="O289" s="15">
        <v>12</v>
      </c>
      <c r="P289" s="15" t="str" cm="1">
        <f t="array" ref="P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89" s="15" t="str" cm="1">
        <f t="array" ref="Q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canciones/ain_karem/discipulos.html</v>
      </c>
      <c r="S289" s="1"/>
      <c r="T289" s="1"/>
      <c r="U289" s="1"/>
      <c r="V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href="canciones/ain_karem/discipulos.html"&gt;Discípulos&lt;/a&gt;&lt;/li&gt;</v>
      </c>
      <c r="W289" s="15" t="str">
        <f>_xlfn.TEXTBEFORE(_xlfn.TEXTAFTER(CantoralDB[[#This Row],[index.html]],"&gt;"),"&gt;")&amp;"&gt;"</f>
        <v>&lt;a href="canciones/ain_karem/discipulos.html"&gt;</v>
      </c>
      <c r="Y289" s="1"/>
      <c r="Z289" s="1"/>
      <c r="AA289" s="1"/>
    </row>
    <row r="290" spans="1:27" x14ac:dyDescent="0.3">
      <c r="A290" s="1">
        <f>ROW(CantoralDB[[#This Row],[Título]])-1</f>
        <v>289</v>
      </c>
      <c r="B290" s="1" t="s">
        <v>2952</v>
      </c>
      <c r="C290" s="1"/>
      <c r="H290" s="1" t="s">
        <v>1028</v>
      </c>
      <c r="J290" s="1" t="s">
        <v>608</v>
      </c>
      <c r="M290" s="15" t="s">
        <v>501</v>
      </c>
      <c r="N290" s="15" t="s">
        <v>1512</v>
      </c>
      <c r="O290" s="15">
        <v>13</v>
      </c>
      <c r="P290" s="15" t="str" cm="1">
        <f t="array" ref="P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90" s="15" t="str" cm="1">
        <f t="array" ref="Q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canciones/ain_karem/no_os_dejo_solos.html</v>
      </c>
      <c r="S290" s="1"/>
      <c r="T290" s="1"/>
      <c r="U290" s="1"/>
      <c r="V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href="canciones/ain_karem/no_os_dejo_solos.html"&gt;No os dejo solos&lt;/a&gt;&lt;/li&gt;</v>
      </c>
      <c r="W290" s="15" t="str">
        <f>_xlfn.TEXTBEFORE(_xlfn.TEXTAFTER(CantoralDB[[#This Row],[index.html]],"&gt;"),"&gt;")&amp;"&gt;"</f>
        <v>&lt;a href="canciones/ain_karem/no_os_dejo_solos.html"&gt;</v>
      </c>
      <c r="Y290" s="1"/>
      <c r="Z290" s="1"/>
      <c r="AA290" s="1"/>
    </row>
    <row r="291" spans="1:27" x14ac:dyDescent="0.3">
      <c r="A291" s="1">
        <f>ROW(CantoralDB[[#This Row],[Título]])-1</f>
        <v>290</v>
      </c>
      <c r="B291" s="1" t="s">
        <v>1819</v>
      </c>
      <c r="C291" s="1"/>
      <c r="H291" s="1" t="s">
        <v>1030</v>
      </c>
      <c r="I291" s="1" t="s">
        <v>2959</v>
      </c>
      <c r="J291" s="1" t="s">
        <v>608</v>
      </c>
      <c r="M291" s="15" t="s">
        <v>501</v>
      </c>
      <c r="N291" s="15" t="s">
        <v>1512</v>
      </c>
      <c r="O291" s="15">
        <v>14</v>
      </c>
      <c r="P291" s="15" t="str" cm="1">
        <f t="array" ref="P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91" s="15" t="str" cm="1">
        <f t="array" ref="Q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canciones/ain_karem/por_amor_a_tu_pueblo.html</v>
      </c>
      <c r="S291" s="1"/>
      <c r="T291" s="1"/>
      <c r="U291" s="1"/>
      <c r="V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href="canciones/ain_karem/por_amor_a_tu_pueblo.html"&gt;Por amor a tu pueblo&lt;/a&gt;&lt;/li&gt;</v>
      </c>
      <c r="W291" s="15" t="str">
        <f>_xlfn.TEXTBEFORE(_xlfn.TEXTAFTER(CantoralDB[[#This Row],[index.html]],"&gt;"),"&gt;")&amp;"&gt;"</f>
        <v>&lt;a href="canciones/ain_karem/por_amor_a_tu_pueblo.html"&gt;</v>
      </c>
      <c r="Y291" s="1"/>
      <c r="Z291" s="1"/>
      <c r="AA291" s="1"/>
    </row>
    <row r="292" spans="1:27" x14ac:dyDescent="0.3">
      <c r="A292" s="1">
        <f>ROW(CantoralDB[[#This Row],[Título]])-1</f>
        <v>291</v>
      </c>
      <c r="B292" s="1" t="s">
        <v>1820</v>
      </c>
      <c r="C292" s="1"/>
      <c r="H292" s="1" t="s">
        <v>531</v>
      </c>
      <c r="I292" s="1" t="s">
        <v>2962</v>
      </c>
      <c r="J292" s="1" t="s">
        <v>608</v>
      </c>
      <c r="M292" s="15" t="s">
        <v>501</v>
      </c>
      <c r="N292" s="15" t="s">
        <v>1512</v>
      </c>
      <c r="O292" s="15">
        <v>15</v>
      </c>
      <c r="P292" s="15" t="str" cm="1">
        <f t="array" ref="P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92" s="15" t="str" cm="1">
        <f t="array" ref="Q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canciones/ain_karem/llama_de_amor_viva.html</v>
      </c>
      <c r="S292" s="1"/>
      <c r="T292" s="1"/>
      <c r="U292" s="1"/>
      <c r="V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href="canciones/ain_karem/llama_de_amor_viva.html"&gt;Llama de amor viva&lt;/a&gt;&lt;/li&gt;</v>
      </c>
      <c r="W292" s="15" t="str">
        <f>_xlfn.TEXTBEFORE(_xlfn.TEXTAFTER(CantoralDB[[#This Row],[index.html]],"&gt;"),"&gt;")&amp;"&gt;"</f>
        <v>&lt;a href="canciones/ain_karem/llama_de_amor_viva.html"&gt;</v>
      </c>
      <c r="Y292" s="1"/>
      <c r="Z292" s="1"/>
      <c r="AA292" s="1"/>
    </row>
    <row r="293" spans="1:27" x14ac:dyDescent="0.3">
      <c r="A293" s="1">
        <f>ROW(CantoralDB[[#This Row],[Título]])-1</f>
        <v>292</v>
      </c>
      <c r="B293" s="1" t="s">
        <v>1821</v>
      </c>
      <c r="C293" s="1"/>
      <c r="H293" s="1" t="s">
        <v>1029</v>
      </c>
      <c r="I293" s="1" t="s">
        <v>2959</v>
      </c>
      <c r="J293" s="1" t="s">
        <v>608</v>
      </c>
      <c r="M293" s="15" t="s">
        <v>501</v>
      </c>
      <c r="N293" s="15" t="s">
        <v>1512</v>
      </c>
      <c r="O293" s="15">
        <v>16</v>
      </c>
      <c r="P293" s="15" t="str" cm="1">
        <f t="array" ref="P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93" s="15" t="str" cm="1">
        <f t="array" ref="Q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canciones/ain_karem/la_piedra_angular.html</v>
      </c>
      <c r="S293" s="1"/>
      <c r="T293" s="1"/>
      <c r="U293" s="1"/>
      <c r="V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href="canciones/ain_karem/la_piedra_angular.html"&gt;La piedra angular&lt;/a&gt;&lt;/li&gt;</v>
      </c>
      <c r="W293" s="15" t="str">
        <f>_xlfn.TEXTBEFORE(_xlfn.TEXTAFTER(CantoralDB[[#This Row],[index.html]],"&gt;"),"&gt;")&amp;"&gt;"</f>
        <v>&lt;a href="canciones/ain_karem/la_piedra_angular.html"&gt;</v>
      </c>
      <c r="Y293" s="1"/>
      <c r="Z293" s="1"/>
      <c r="AA293" s="1"/>
    </row>
    <row r="294" spans="1:27" x14ac:dyDescent="0.3">
      <c r="A294" s="1">
        <f>ROW(CantoralDB[[#This Row],[Título]])-1</f>
        <v>293</v>
      </c>
      <c r="B294" s="1" t="s">
        <v>1822</v>
      </c>
      <c r="C294" s="1"/>
      <c r="H294" s="1" t="s">
        <v>473</v>
      </c>
      <c r="J294" s="1" t="s">
        <v>608</v>
      </c>
      <c r="M294" s="15" t="s">
        <v>501</v>
      </c>
      <c r="N294" s="15" t="s">
        <v>1512</v>
      </c>
      <c r="O294" s="15">
        <v>17</v>
      </c>
      <c r="P294" s="15" t="str" cm="1">
        <f t="array" ref="P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94" s="15" t="str" cm="1">
        <f t="array" ref="Q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canciones/ain_karem/como_pan_pequeño.html</v>
      </c>
      <c r="S294" s="1"/>
      <c r="T294" s="1"/>
      <c r="U294" s="1"/>
      <c r="V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href="canciones/ain_karem/como_pan_pequeño.html"&gt;Como pan pequeño&lt;/a&gt;&lt;/li&gt;</v>
      </c>
      <c r="W294" s="15" t="str">
        <f>_xlfn.TEXTBEFORE(_xlfn.TEXTAFTER(CantoralDB[[#This Row],[index.html]],"&gt;"),"&gt;")&amp;"&gt;"</f>
        <v>&lt;a href="canciones/ain_karem/como_pan_pequeño.html"&gt;</v>
      </c>
      <c r="Y294" s="1"/>
      <c r="Z294" s="1"/>
      <c r="AA294" s="1"/>
    </row>
    <row r="295" spans="1:27" x14ac:dyDescent="0.3">
      <c r="A295" s="1">
        <f>ROW(CantoralDB[[#This Row],[Título]])-1</f>
        <v>294</v>
      </c>
      <c r="B295" s="1" t="s">
        <v>1823</v>
      </c>
      <c r="C295" s="1"/>
      <c r="H295" s="1" t="s">
        <v>1030</v>
      </c>
      <c r="I295" s="1" t="s">
        <v>2961</v>
      </c>
      <c r="J295" s="1" t="s">
        <v>608</v>
      </c>
      <c r="M295" s="15" t="s">
        <v>501</v>
      </c>
      <c r="N295" s="15" t="s">
        <v>1512</v>
      </c>
      <c r="O295" s="15">
        <v>18</v>
      </c>
      <c r="P295" s="15" t="str" cm="1">
        <f t="array" ref="P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95" s="15" t="str" cm="1">
        <f t="array" ref="Q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canciones/ain_karem/en_ti.html</v>
      </c>
      <c r="S295" s="1"/>
      <c r="T295" s="1"/>
      <c r="U295" s="1"/>
      <c r="V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href="canciones/ain_karem/en_ti.html"&gt;En ti&lt;/a&gt;&lt;/li&gt;</v>
      </c>
      <c r="W295" s="15" t="str">
        <f>_xlfn.TEXTBEFORE(_xlfn.TEXTAFTER(CantoralDB[[#This Row],[index.html]],"&gt;"),"&gt;")&amp;"&gt;"</f>
        <v>&lt;a href="canciones/ain_karem/en_ti.html"&gt;</v>
      </c>
      <c r="Y295" s="1"/>
      <c r="Z295" s="1"/>
      <c r="AA295" s="1"/>
    </row>
    <row r="296" spans="1:27" x14ac:dyDescent="0.3">
      <c r="A296" s="1">
        <f>ROW(CantoralDB[[#This Row],[Título]])-1</f>
        <v>295</v>
      </c>
      <c r="B296" s="1" t="s">
        <v>1842</v>
      </c>
      <c r="C296" s="1"/>
      <c r="H296" s="1" t="s">
        <v>531</v>
      </c>
      <c r="J296" s="1" t="s">
        <v>608</v>
      </c>
      <c r="M296" s="15" t="s">
        <v>501</v>
      </c>
      <c r="N296" s="15" t="s">
        <v>1512</v>
      </c>
      <c r="O296" s="15">
        <v>19</v>
      </c>
      <c r="P296" s="15" t="str" cm="1">
        <f t="array" ref="P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96" s="15" t="str" cm="1">
        <f t="array" ref="Q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canciones/ain_karem/ven_señor.html</v>
      </c>
      <c r="S296" s="1"/>
      <c r="T296" s="1"/>
      <c r="U296" s="1"/>
      <c r="V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href="canciones/ain_karem/ven_señor.html"&gt;Ven, Señor&lt;/a&gt;&lt;/li&gt;</v>
      </c>
      <c r="W296" s="15" t="str">
        <f>_xlfn.TEXTBEFORE(_xlfn.TEXTAFTER(CantoralDB[[#This Row],[index.html]],"&gt;"),"&gt;")&amp;"&gt;"</f>
        <v>&lt;a href="canciones/ain_karem/ven_señor.html"&gt;</v>
      </c>
      <c r="Y296" s="1"/>
      <c r="Z296" s="1"/>
      <c r="AA296" s="1"/>
    </row>
    <row r="297" spans="1:27" x14ac:dyDescent="0.3">
      <c r="A297" s="1">
        <f>ROW(CantoralDB[[#This Row],[Título]])-1</f>
        <v>296</v>
      </c>
      <c r="B297" s="1" t="s">
        <v>1824</v>
      </c>
      <c r="C297" s="1"/>
      <c r="H297" s="1" t="s">
        <v>531</v>
      </c>
      <c r="J297" s="1" t="s">
        <v>608</v>
      </c>
      <c r="M297" s="15" t="s">
        <v>501</v>
      </c>
      <c r="N297" s="15" t="s">
        <v>1512</v>
      </c>
      <c r="O297" s="15">
        <v>20</v>
      </c>
      <c r="P297" s="15" t="str" cm="1">
        <f t="array" ref="P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97" s="15" t="str" cm="1">
        <f t="array" ref="Q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canciones/ain_karem/volemos.html</v>
      </c>
      <c r="S297" s="1"/>
      <c r="T297" s="1"/>
      <c r="U297" s="1"/>
      <c r="V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href="canciones/ain_karem/volemos.html"&gt;Volemos&lt;/a&gt;&lt;/li&gt;</v>
      </c>
      <c r="W297" s="15" t="str">
        <f>_xlfn.TEXTBEFORE(_xlfn.TEXTAFTER(CantoralDB[[#This Row],[index.html]],"&gt;"),"&gt;")&amp;"&gt;"</f>
        <v>&lt;a href="canciones/ain_karem/volemos.html"&gt;</v>
      </c>
      <c r="Y297" s="1"/>
      <c r="Z297" s="1"/>
      <c r="AA297" s="1"/>
    </row>
    <row r="298" spans="1:27" x14ac:dyDescent="0.3">
      <c r="A298" s="1">
        <f>ROW(CantoralDB[[#This Row],[Título]])-1</f>
        <v>297</v>
      </c>
      <c r="B298" s="1" t="s">
        <v>1776</v>
      </c>
      <c r="C298" s="1"/>
      <c r="H298" s="1" t="s">
        <v>1030</v>
      </c>
      <c r="I298" s="1" t="s">
        <v>2961</v>
      </c>
      <c r="J298" s="1" t="s">
        <v>608</v>
      </c>
      <c r="M298" s="15" t="s">
        <v>501</v>
      </c>
      <c r="N298" s="15" t="s">
        <v>1508</v>
      </c>
      <c r="O298" s="15">
        <v>1</v>
      </c>
      <c r="P298" s="15" t="str" cm="1">
        <f t="array" ref="P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98" s="15" t="str" cm="1">
        <f t="array" ref="Q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canciones/ain_karem/yo_soy.html</v>
      </c>
      <c r="S298" s="1"/>
      <c r="T298" s="1"/>
      <c r="U298" s="1"/>
      <c r="V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href="canciones/ain_karem/yo_soy.html"&gt;Yo soy&lt;/a&gt;&lt;/li&gt;</v>
      </c>
      <c r="W298" s="15" t="str">
        <f>_xlfn.TEXTBEFORE(_xlfn.TEXTAFTER(CantoralDB[[#This Row],[index.html]],"&gt;"),"&gt;")&amp;"&gt;"</f>
        <v>&lt;a href="canciones/ain_karem/yo_soy.html"&gt;</v>
      </c>
      <c r="Y298" s="1"/>
      <c r="Z298" s="1"/>
      <c r="AA298" s="1"/>
    </row>
    <row r="299" spans="1:27" x14ac:dyDescent="0.3">
      <c r="A299" s="1">
        <f>ROW(CantoralDB[[#This Row],[Título]])-1</f>
        <v>298</v>
      </c>
      <c r="B299" s="1" t="s">
        <v>1777</v>
      </c>
      <c r="C299" s="1"/>
      <c r="H299" s="1" t="s">
        <v>1030</v>
      </c>
      <c r="I299" s="1" t="s">
        <v>2959</v>
      </c>
      <c r="J299" s="1" t="s">
        <v>608</v>
      </c>
      <c r="M299" s="15" t="s">
        <v>501</v>
      </c>
      <c r="N299" s="15" t="s">
        <v>1508</v>
      </c>
      <c r="O299" s="15">
        <v>2</v>
      </c>
      <c r="P299" s="15" t="str" cm="1">
        <f t="array" ref="P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299" s="15" t="str" cm="1">
        <f t="array" ref="Q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canciones/ain_karem/a_toda_la_tierra_alcanza_su_pregon.html</v>
      </c>
      <c r="S299" s="1"/>
      <c r="T299" s="1"/>
      <c r="U299" s="1"/>
      <c r="V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href="canciones/ain_karem/a_toda_la_tierra_alcanza_su_pregon.html"&gt;A toda la tierra alcanza su pregón&lt;/a&gt;&lt;/li&gt;</v>
      </c>
      <c r="W299" s="15" t="str">
        <f>_xlfn.TEXTBEFORE(_xlfn.TEXTAFTER(CantoralDB[[#This Row],[index.html]],"&gt;"),"&gt;")&amp;"&gt;"</f>
        <v>&lt;a href="canciones/ain_karem/a_toda_la_tierra_alcanza_su_pregon.html"&gt;</v>
      </c>
      <c r="Y299" s="1"/>
      <c r="Z299" s="1"/>
      <c r="AA299" s="1"/>
    </row>
    <row r="300" spans="1:27" x14ac:dyDescent="0.3">
      <c r="A300" s="1">
        <f>ROW(CantoralDB[[#This Row],[Título]])-1</f>
        <v>299</v>
      </c>
      <c r="B300" s="1" t="s">
        <v>1778</v>
      </c>
      <c r="C300" s="1"/>
      <c r="H300" s="1" t="s">
        <v>1027</v>
      </c>
      <c r="I300" s="1" t="s">
        <v>2962</v>
      </c>
      <c r="J300" s="1" t="s">
        <v>608</v>
      </c>
      <c r="M300" s="15" t="s">
        <v>501</v>
      </c>
      <c r="N300" s="15" t="s">
        <v>1508</v>
      </c>
      <c r="O300" s="15">
        <v>3</v>
      </c>
      <c r="P300" s="15" t="str" cm="1">
        <f t="array" ref="P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00" s="15" t="str" cm="1">
        <f t="array" ref="Q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canciones/ain_karem/con_amor_eterno.html</v>
      </c>
      <c r="S300" s="1"/>
      <c r="T300" s="1"/>
      <c r="U300" s="1"/>
      <c r="V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href="canciones/ain_karem/con_amor_eterno.html"&gt;Con amor eterno&lt;/a&gt;&lt;/li&gt;</v>
      </c>
      <c r="W300" s="15" t="str">
        <f>_xlfn.TEXTBEFORE(_xlfn.TEXTAFTER(CantoralDB[[#This Row],[index.html]],"&gt;"),"&gt;")&amp;"&gt;"</f>
        <v>&lt;a href="canciones/ain_karem/con_amor_eterno.html"&gt;</v>
      </c>
      <c r="Y300" s="1"/>
      <c r="Z300" s="1"/>
      <c r="AA300" s="1"/>
    </row>
    <row r="301" spans="1:27" x14ac:dyDescent="0.3">
      <c r="A301" s="1">
        <f>ROW(CantoralDB[[#This Row],[Título]])-1</f>
        <v>300</v>
      </c>
      <c r="B301" s="1" t="s">
        <v>601</v>
      </c>
      <c r="C301" s="1" t="s">
        <v>201</v>
      </c>
      <c r="D301" s="1" t="s">
        <v>660</v>
      </c>
      <c r="G301" s="1" t="s">
        <v>602</v>
      </c>
      <c r="H301" s="1" t="s">
        <v>531</v>
      </c>
      <c r="I301" s="1" t="s">
        <v>2962</v>
      </c>
      <c r="J301" s="1" t="s">
        <v>608</v>
      </c>
      <c r="M301" s="15" t="s">
        <v>501</v>
      </c>
      <c r="N301" s="15" t="s">
        <v>1508</v>
      </c>
      <c r="O301" s="15">
        <v>4</v>
      </c>
      <c r="P301" s="15" t="str" cm="1">
        <f t="array" ref="P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01" s="15" t="str" cm="1">
        <f t="array" ref="Q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canciones/ain_karem/lampara_es_tu_palabra.html</v>
      </c>
      <c r="S301" s="1" t="s">
        <v>842</v>
      </c>
      <c r="T301" s="1"/>
      <c r="U301" s="1"/>
      <c r="V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 data-momento="Antífonas" data-nnew="D22"&gt;&lt;a href="canciones/ain_karem/lampara_es_tu_palabra.html"&gt;Lámpara es tu palabra&lt;/a&gt;&lt;/li&gt;</v>
      </c>
      <c r="W301" s="15" t="str">
        <f>_xlfn.TEXTBEFORE(_xlfn.TEXTAFTER(CantoralDB[[#This Row],[index.html]],"&gt;"),"&gt;")&amp;"&gt;"</f>
        <v>&lt;a href="canciones/ain_karem/lampara_es_tu_palabra.html"&gt;</v>
      </c>
      <c r="Y301" s="1"/>
      <c r="Z301" s="1"/>
      <c r="AA301" s="1"/>
    </row>
    <row r="302" spans="1:27" x14ac:dyDescent="0.3">
      <c r="A302" s="1">
        <f>ROW(CantoralDB[[#This Row],[Título]])-1</f>
        <v>301</v>
      </c>
      <c r="B302" s="1" t="s">
        <v>1779</v>
      </c>
      <c r="C302" s="1"/>
      <c r="H302" s="1" t="s">
        <v>531</v>
      </c>
      <c r="I302" s="1" t="s">
        <v>2962</v>
      </c>
      <c r="J302" s="1" t="s">
        <v>608</v>
      </c>
      <c r="M302" s="15" t="s">
        <v>501</v>
      </c>
      <c r="N302" s="15" t="s">
        <v>1508</v>
      </c>
      <c r="O302" s="15">
        <v>5</v>
      </c>
      <c r="P302" s="15" t="str" cm="1">
        <f t="array" ref="P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02" s="15" t="str" cm="1">
        <f t="array" ref="Q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canciones/ain_karem/anunciarte.html</v>
      </c>
      <c r="S302" s="1"/>
      <c r="T302" s="1"/>
      <c r="U302" s="1"/>
      <c r="V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href="canciones/ain_karem/anunciarte.html"&gt;Anunciarte&lt;/a&gt;&lt;/li&gt;</v>
      </c>
      <c r="W302" s="15" t="str">
        <f>_xlfn.TEXTBEFORE(_xlfn.TEXTAFTER(CantoralDB[[#This Row],[index.html]],"&gt;"),"&gt;")&amp;"&gt;"</f>
        <v>&lt;a href="canciones/ain_karem/anunciarte.html"&gt;</v>
      </c>
      <c r="Y302" s="1"/>
      <c r="Z302" s="1"/>
      <c r="AA302" s="1"/>
    </row>
    <row r="303" spans="1:27" x14ac:dyDescent="0.3">
      <c r="A303" s="1">
        <f>ROW(CantoralDB[[#This Row],[Título]])-1</f>
        <v>302</v>
      </c>
      <c r="B303" s="1" t="s">
        <v>1780</v>
      </c>
      <c r="C303" s="1"/>
      <c r="H303" s="1" t="s">
        <v>531</v>
      </c>
      <c r="I303" s="1" t="s">
        <v>2962</v>
      </c>
      <c r="J303" s="1" t="s">
        <v>608</v>
      </c>
      <c r="M303" s="15" t="s">
        <v>501</v>
      </c>
      <c r="N303" s="15" t="s">
        <v>1508</v>
      </c>
      <c r="O303" s="15">
        <v>6</v>
      </c>
      <c r="P303" s="15" t="str" cm="1">
        <f t="array" ref="P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03" s="15" t="str" cm="1">
        <f t="array" ref="Q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canciones/ain_karem/invitanos.html</v>
      </c>
      <c r="S303" s="1"/>
      <c r="T303" s="1"/>
      <c r="U303" s="1"/>
      <c r="V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href="canciones/ain_karem/invitanos.html"&gt;Invítanos&lt;/a&gt;&lt;/li&gt;</v>
      </c>
      <c r="W303" s="15" t="str">
        <f>_xlfn.TEXTBEFORE(_xlfn.TEXTAFTER(CantoralDB[[#This Row],[index.html]],"&gt;"),"&gt;")&amp;"&gt;"</f>
        <v>&lt;a href="canciones/ain_karem/invitanos.html"&gt;</v>
      </c>
      <c r="Y303" s="1"/>
      <c r="Z303" s="1"/>
      <c r="AA303" s="1"/>
    </row>
    <row r="304" spans="1:27" x14ac:dyDescent="0.3">
      <c r="A304" s="1">
        <f>ROW(CantoralDB[[#This Row],[Título]])-1</f>
        <v>303</v>
      </c>
      <c r="B304" s="1" t="s">
        <v>72</v>
      </c>
      <c r="C304" s="1"/>
      <c r="H304" s="1" t="s">
        <v>1030</v>
      </c>
      <c r="I304" s="1" t="s">
        <v>2960</v>
      </c>
      <c r="J304" s="1" t="s">
        <v>608</v>
      </c>
      <c r="M304" s="15" t="s">
        <v>501</v>
      </c>
      <c r="N304" s="15" t="s">
        <v>1508</v>
      </c>
      <c r="O304" s="15">
        <v>7</v>
      </c>
      <c r="P304" s="15" t="str" cm="1">
        <f t="array" ref="P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04" s="15" t="str" cm="1">
        <f t="array" ref="Q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canciones/ain_karem/hagase.html</v>
      </c>
      <c r="S304" s="1"/>
      <c r="T304" s="1"/>
      <c r="U304" s="1"/>
      <c r="V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href="canciones/ain_karem/hagase.html"&gt;Hágase&lt;/a&gt;&lt;/li&gt;</v>
      </c>
      <c r="W304" s="15" t="str">
        <f>_xlfn.TEXTBEFORE(_xlfn.TEXTAFTER(CantoralDB[[#This Row],[index.html]],"&gt;"),"&gt;")&amp;"&gt;"</f>
        <v>&lt;a href="canciones/ain_karem/hagase.html"&gt;</v>
      </c>
      <c r="Y304" s="1"/>
      <c r="Z304" s="1"/>
      <c r="AA304" s="1"/>
    </row>
    <row r="305" spans="1:27" x14ac:dyDescent="0.3">
      <c r="A305" s="1">
        <f>ROW(CantoralDB[[#This Row],[Título]])-1</f>
        <v>304</v>
      </c>
      <c r="B305" s="1" t="s">
        <v>1781</v>
      </c>
      <c r="C305" s="1"/>
      <c r="H305" s="1" t="s">
        <v>531</v>
      </c>
      <c r="I305" s="1" t="s">
        <v>2963</v>
      </c>
      <c r="J305" s="1" t="s">
        <v>608</v>
      </c>
      <c r="M305" s="15" t="s">
        <v>501</v>
      </c>
      <c r="N305" s="15" t="s">
        <v>1508</v>
      </c>
      <c r="O305" s="15">
        <v>8</v>
      </c>
      <c r="P305" s="15" t="str" cm="1">
        <f t="array" ref="P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05" s="15" t="str" cm="1">
        <f t="array" ref="Q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canciones/ain_karem/creatura_habitada.html</v>
      </c>
      <c r="S305" s="1"/>
      <c r="T305" s="1"/>
      <c r="U305" s="1"/>
      <c r="V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href="canciones/ain_karem/creatura_habitada.html"&gt;Creatura habitada&lt;/a&gt;&lt;/li&gt;</v>
      </c>
      <c r="W305" s="15" t="str">
        <f>_xlfn.TEXTBEFORE(_xlfn.TEXTAFTER(CantoralDB[[#This Row],[index.html]],"&gt;"),"&gt;")&amp;"&gt;"</f>
        <v>&lt;a href="canciones/ain_karem/creatura_habitada.html"&gt;</v>
      </c>
      <c r="Y305" s="1"/>
      <c r="Z305" s="1"/>
      <c r="AA305" s="1"/>
    </row>
    <row r="306" spans="1:27" x14ac:dyDescent="0.3">
      <c r="A306" s="1">
        <f>ROW(CantoralDB[[#This Row],[Título]])-1</f>
        <v>305</v>
      </c>
      <c r="B306" s="1" t="s">
        <v>1782</v>
      </c>
      <c r="C306" s="1"/>
      <c r="H306" s="1" t="s">
        <v>531</v>
      </c>
      <c r="I306" s="1" t="s">
        <v>2961</v>
      </c>
      <c r="J306" s="1" t="s">
        <v>608</v>
      </c>
      <c r="M306" s="15" t="s">
        <v>501</v>
      </c>
      <c r="N306" s="15" t="s">
        <v>1508</v>
      </c>
      <c r="O306" s="15">
        <v>9</v>
      </c>
      <c r="P306" s="15" t="str" cm="1">
        <f t="array" ref="P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06" s="15" t="str" cm="1">
        <f t="array" ref="Q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canciones/ain_karem/el_hombre_de_gerasa.html</v>
      </c>
      <c r="S306" s="1"/>
      <c r="T306" s="1"/>
      <c r="U306" s="1"/>
      <c r="V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href="canciones/ain_karem/el_hombre_de_gerasa.html"&gt;El hombre de Gerasa&lt;/a&gt;&lt;/li&gt;</v>
      </c>
      <c r="W306" s="15" t="str">
        <f>_xlfn.TEXTBEFORE(_xlfn.TEXTAFTER(CantoralDB[[#This Row],[index.html]],"&gt;"),"&gt;")&amp;"&gt;"</f>
        <v>&lt;a href="canciones/ain_karem/el_hombre_de_gerasa.html"&gt;</v>
      </c>
      <c r="Y306" s="1"/>
      <c r="Z306" s="1"/>
      <c r="AA306" s="1"/>
    </row>
    <row r="307" spans="1:27" x14ac:dyDescent="0.3">
      <c r="A307" s="1">
        <f>ROW(CantoralDB[[#This Row],[Título]])-1</f>
        <v>306</v>
      </c>
      <c r="B307" s="1" t="s">
        <v>1841</v>
      </c>
      <c r="C307" s="1"/>
      <c r="H307" s="1" t="s">
        <v>531</v>
      </c>
      <c r="J307" s="1" t="s">
        <v>608</v>
      </c>
      <c r="M307" s="15" t="s">
        <v>501</v>
      </c>
      <c r="N307" s="15" t="s">
        <v>1508</v>
      </c>
      <c r="O307" s="15">
        <v>10</v>
      </c>
      <c r="P307" s="15" t="str" cm="1">
        <f t="array" ref="P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07" s="15" t="str" cm="1">
        <f t="array" ref="Q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canciones/ain_karem/llueve_tu.html</v>
      </c>
      <c r="S307" s="1"/>
      <c r="T307" s="1"/>
      <c r="U307" s="1"/>
      <c r="V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href="canciones/ain_karem/llueve_tu.html"&gt;Llueve Tú&lt;/a&gt;&lt;/li&gt;</v>
      </c>
      <c r="W307" s="15" t="str">
        <f>_xlfn.TEXTBEFORE(_xlfn.TEXTAFTER(CantoralDB[[#This Row],[index.html]],"&gt;"),"&gt;")&amp;"&gt;"</f>
        <v>&lt;a href="canciones/ain_karem/llueve_tu.html"&gt;</v>
      </c>
      <c r="Y307" s="1"/>
      <c r="Z307" s="1"/>
      <c r="AA307" s="1"/>
    </row>
    <row r="308" spans="1:27" x14ac:dyDescent="0.3">
      <c r="A308" s="1">
        <f>ROW(CantoralDB[[#This Row],[Título]])-1</f>
        <v>307</v>
      </c>
      <c r="B308" s="1" t="s">
        <v>1783</v>
      </c>
      <c r="C308" s="1"/>
      <c r="H308" s="1" t="s">
        <v>1030</v>
      </c>
      <c r="I308" s="1" t="s">
        <v>2962</v>
      </c>
      <c r="J308" s="1" t="s">
        <v>608</v>
      </c>
      <c r="M308" s="15" t="s">
        <v>501</v>
      </c>
      <c r="N308" s="15" t="s">
        <v>1508</v>
      </c>
      <c r="O308" s="15">
        <v>11</v>
      </c>
      <c r="P308" s="15" t="str" cm="1">
        <f t="array" ref="P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08" s="15" t="str" cm="1">
        <f t="array" ref="Q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canciones/ain_karem/benedictus.html</v>
      </c>
      <c r="S308" s="1"/>
      <c r="T308" s="1"/>
      <c r="U308" s="1"/>
      <c r="V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href="canciones/ain_karem/benedictus.html"&gt;Benedictus&lt;/a&gt;&lt;/li&gt;</v>
      </c>
      <c r="W308" s="15" t="str">
        <f>_xlfn.TEXTBEFORE(_xlfn.TEXTAFTER(CantoralDB[[#This Row],[index.html]],"&gt;"),"&gt;")&amp;"&gt;"</f>
        <v>&lt;a href="canciones/ain_karem/benedictus.html"&gt;</v>
      </c>
      <c r="Y308" s="1"/>
      <c r="Z308" s="1"/>
      <c r="AA308" s="1"/>
    </row>
    <row r="309" spans="1:27" x14ac:dyDescent="0.3">
      <c r="A309" s="1">
        <f>ROW(CantoralDB[[#This Row],[Título]])-1</f>
        <v>308</v>
      </c>
      <c r="B309" s="1" t="s">
        <v>1784</v>
      </c>
      <c r="C309" s="1"/>
      <c r="H309" s="1" t="s">
        <v>473</v>
      </c>
      <c r="I309" s="1" t="s">
        <v>2960</v>
      </c>
      <c r="J309" s="1"/>
      <c r="M309" s="15" t="s">
        <v>501</v>
      </c>
      <c r="N309" s="15" t="s">
        <v>1508</v>
      </c>
      <c r="O309" s="15">
        <v>12</v>
      </c>
      <c r="P309" s="15" t="str" cm="1">
        <f t="array" ref="P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09" s="15" t="str" cm="1">
        <f t="array" ref="Q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canciones/ain_karem/oracion_de_una_mujer.html</v>
      </c>
      <c r="S309" s="1"/>
      <c r="T309" s="1"/>
      <c r="U309" s="1"/>
      <c r="V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href="canciones/ain_karem/oracion_de_una_mujer.html"&gt;Oración de una mujer&lt;/a&gt;&lt;/li&gt;</v>
      </c>
      <c r="W309" s="15" t="str">
        <f>_xlfn.TEXTBEFORE(_xlfn.TEXTAFTER(CantoralDB[[#This Row],[index.html]],"&gt;"),"&gt;")&amp;"&gt;"</f>
        <v>&lt;a href="canciones/ain_karem/oracion_de_una_mujer.html"&gt;</v>
      </c>
      <c r="Y309" s="1"/>
      <c r="Z309" s="1"/>
      <c r="AA309" s="1"/>
    </row>
    <row r="310" spans="1:27" x14ac:dyDescent="0.3">
      <c r="A310" s="1">
        <f>ROW(CantoralDB[[#This Row],[Título]])-1</f>
        <v>309</v>
      </c>
      <c r="B310" s="1" t="s">
        <v>1785</v>
      </c>
      <c r="C310" s="1"/>
      <c r="H310" s="1" t="s">
        <v>1030</v>
      </c>
      <c r="I310" s="1" t="s">
        <v>2961</v>
      </c>
      <c r="J310" s="1" t="s">
        <v>608</v>
      </c>
      <c r="M310" s="15" t="s">
        <v>501</v>
      </c>
      <c r="N310" s="15" t="s">
        <v>1508</v>
      </c>
      <c r="O310" s="15">
        <v>13</v>
      </c>
      <c r="P310" s="15" t="str" cm="1">
        <f t="array" ref="P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Q310" s="15" t="str" cm="1">
        <f t="array" ref="Q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R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canciones/ain_karem/heme_aqui.html</v>
      </c>
      <c r="S310" s="1"/>
      <c r="T310" s="1"/>
      <c r="U310" s="1"/>
      <c r="V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data-author="Ain Karem"&gt;&lt;a href="canciones/ain_karem/heme_aqui.html"&gt;Heme aquí&lt;/a&gt;&lt;/li&gt;</v>
      </c>
      <c r="W310" s="15" t="str">
        <f>_xlfn.TEXTBEFORE(_xlfn.TEXTAFTER(CantoralDB[[#This Row],[index.html]],"&gt;"),"&gt;")&amp;"&gt;"</f>
        <v>&lt;a href="canciones/ain_karem/heme_aqui.html"&gt;</v>
      </c>
      <c r="Y310" s="1"/>
      <c r="Z310" s="1"/>
      <c r="AA310" s="1"/>
    </row>
    <row r="311" spans="1:27" x14ac:dyDescent="0.3">
      <c r="A311" s="1">
        <f>ROW(CantoralDB[[#This Row],[Título]])-1</f>
        <v>310</v>
      </c>
      <c r="B311" s="1" t="s">
        <v>1292</v>
      </c>
      <c r="C311" s="1"/>
      <c r="E311" s="1">
        <v>182</v>
      </c>
      <c r="H311" s="1" t="s">
        <v>1030</v>
      </c>
      <c r="J311" s="1" t="s">
        <v>608</v>
      </c>
      <c r="M311" s="15" t="s">
        <v>2100</v>
      </c>
      <c r="N311" s="15"/>
      <c r="O311" s="15"/>
      <c r="P311" s="15" t="str" cm="1">
        <f t="array" ref="P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311" s="15" t="str" cm="1">
        <f t="array" ref="Q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canciones/nsb/nueva_aurora_en_nuestra_noche.html</v>
      </c>
      <c r="S311" s="1"/>
      <c r="T311" s="1"/>
      <c r="U311" s="1"/>
      <c r="V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data-author="Akepsimas" data-nold="182"&gt;&lt;a href="canciones/nsb/nueva_aurora_en_nuestra_noche.html"&gt;Nueva aurora en nuestra noche&lt;/a&gt;&lt;/li&gt;</v>
      </c>
      <c r="W311" s="15" t="str">
        <f>_xlfn.TEXTBEFORE(_xlfn.TEXTAFTER(CantoralDB[[#This Row],[index.html]],"&gt;"),"&gt;")&amp;"&gt;"</f>
        <v>&lt;a href="canciones/nsb/nueva_aurora_en_nuestra_noche.html"&gt;</v>
      </c>
      <c r="Y311" s="1"/>
      <c r="Z311" s="1"/>
      <c r="AA311" s="1"/>
    </row>
    <row r="312" spans="1:27" x14ac:dyDescent="0.3">
      <c r="A312" s="1">
        <f>ROW(CantoralDB[[#This Row],[Título]])-1</f>
        <v>311</v>
      </c>
      <c r="B312" s="1" t="s">
        <v>1321</v>
      </c>
      <c r="C312" s="1"/>
      <c r="E312" s="1">
        <v>242</v>
      </c>
      <c r="H312" s="1" t="s">
        <v>473</v>
      </c>
      <c r="J312" s="1" t="s">
        <v>608</v>
      </c>
      <c r="M312" s="15" t="s">
        <v>2100</v>
      </c>
      <c r="N312" s="15"/>
      <c r="O312" s="15"/>
      <c r="P312" s="15" t="str" cm="1">
        <f t="array" ref="P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312" s="15" t="str" cm="1">
        <f t="array" ref="Q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canciones/nsb/si_despierta_el_corazon.html</v>
      </c>
      <c r="S312" s="1"/>
      <c r="T312" s="1"/>
      <c r="U312" s="1"/>
      <c r="V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data-author="Akepsimas" data-nold="242"&gt;&lt;a href="canciones/nsb/si_despierta_el_corazon.html"&gt;Si despierta el corazón&lt;/a&gt;&lt;/li&gt;</v>
      </c>
      <c r="W312" s="15" t="str">
        <f>_xlfn.TEXTBEFORE(_xlfn.TEXTAFTER(CantoralDB[[#This Row],[index.html]],"&gt;"),"&gt;")&amp;"&gt;"</f>
        <v>&lt;a href="canciones/nsb/si_despierta_el_corazon.html"&gt;</v>
      </c>
      <c r="Y312" s="1"/>
      <c r="Z312" s="1"/>
      <c r="AA312" s="1"/>
    </row>
    <row r="313" spans="1:27" x14ac:dyDescent="0.3">
      <c r="A313" s="1">
        <f>ROW(CantoralDB[[#This Row],[Título]])-1</f>
        <v>312</v>
      </c>
      <c r="B313" s="1" t="s">
        <v>1157</v>
      </c>
      <c r="C313" s="1"/>
      <c r="E313" s="1">
        <v>6</v>
      </c>
      <c r="H313" s="1" t="s">
        <v>1027</v>
      </c>
      <c r="J313" s="1" t="s">
        <v>608</v>
      </c>
      <c r="M313" s="15" t="s">
        <v>2368</v>
      </c>
      <c r="N313" s="15" t="s">
        <v>2226</v>
      </c>
      <c r="O313" s="15"/>
      <c r="P313" s="15" t="str" cm="1">
        <f t="array" ref="P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313" s="15" t="str" cm="1">
        <f t="array" ref="Q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canciones/nsb/acompañame_señor_en_la_tribulacion.html</v>
      </c>
      <c r="S313" s="1"/>
      <c r="T313" s="1"/>
      <c r="U313" s="1"/>
      <c r="V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 Coppo" data-nold="6"&gt;&lt;a href="canciones/nsb/acompañame_señor_en_la_tribulacion.html"&gt;Acompáñame, Señor, en la tribulación&lt;/a&gt;&lt;/li&gt;</v>
      </c>
      <c r="W313" s="15" t="str">
        <f>_xlfn.TEXTBEFORE(_xlfn.TEXTAFTER(CantoralDB[[#This Row],[index.html]],"&gt;"),"&gt;")&amp;"&gt;"</f>
        <v>&lt;a href="canciones/nsb/acompañame_señor_en_la_tribulacion.html"&gt;</v>
      </c>
      <c r="Y313" s="1"/>
      <c r="Z313" s="1"/>
      <c r="AA313" s="1"/>
    </row>
    <row r="314" spans="1:27" x14ac:dyDescent="0.3">
      <c r="A314" s="1">
        <f>ROW(CantoralDB[[#This Row],[Título]])-1</f>
        <v>313</v>
      </c>
      <c r="B314" s="1" t="s">
        <v>494</v>
      </c>
      <c r="C314" s="1" t="s">
        <v>192</v>
      </c>
      <c r="D314" s="1" t="s">
        <v>1400</v>
      </c>
      <c r="G314" s="1" t="s">
        <v>495</v>
      </c>
      <c r="H314" s="1" t="s">
        <v>1030</v>
      </c>
      <c r="J314" s="1" t="s">
        <v>608</v>
      </c>
      <c r="M314" s="15" t="s">
        <v>500</v>
      </c>
      <c r="N314" s="15"/>
      <c r="O314" s="15"/>
      <c r="P314" s="15" t="str" cm="1">
        <f t="array" ref="P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314" s="15" t="str" cm="1">
        <f t="array" ref="Q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canciones/nsb/confieso.html</v>
      </c>
      <c r="S314" s="1"/>
      <c r="T314" s="1"/>
      <c r="U314" s="1"/>
      <c r="V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Arija" data-momento="Perdón - Agua" data-nnew="B02"&gt;&lt;a href="canciones/nsb/confieso.html"&gt;Confieso&lt;/a&gt;&lt;/li&gt;</v>
      </c>
      <c r="W314" s="15" t="str">
        <f>_xlfn.TEXTBEFORE(_xlfn.TEXTAFTER(CantoralDB[[#This Row],[index.html]],"&gt;"),"&gt;")&amp;"&gt;"</f>
        <v>&lt;a href="canciones/nsb/confieso.html"&gt;</v>
      </c>
      <c r="Y314" s="1"/>
      <c r="Z314" s="1"/>
      <c r="AA314" s="1"/>
    </row>
    <row r="315" spans="1:27" x14ac:dyDescent="0.3">
      <c r="A315" s="1">
        <f>ROW(CantoralDB[[#This Row],[Título]])-1</f>
        <v>314</v>
      </c>
      <c r="B315" s="1" t="s">
        <v>1168</v>
      </c>
      <c r="C315" s="1"/>
      <c r="E315" s="1">
        <v>29</v>
      </c>
      <c r="H315" s="1" t="s">
        <v>531</v>
      </c>
      <c r="J315" s="1" t="s">
        <v>608</v>
      </c>
      <c r="M315" s="15" t="s">
        <v>574</v>
      </c>
      <c r="N315" s="15"/>
      <c r="O315" s="15"/>
      <c r="P315" s="15" t="str" cm="1">
        <f t="array" ref="P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315" s="15" t="str" cm="1">
        <f t="array" ref="Q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canciones/nsb/antes_de_ser_llevado_a_la_muerte.html</v>
      </c>
      <c r="S315" s="1"/>
      <c r="T315" s="1"/>
      <c r="U315" s="1"/>
      <c r="V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data-nold="29"&gt;&lt;a href="canciones/nsb/antes_de_ser_llevado_a_la_muerte.html"&gt;Antes de ser llevado a la muerte&lt;/a&gt;&lt;/li&gt;</v>
      </c>
      <c r="W315" s="15" t="str">
        <f>_xlfn.TEXTBEFORE(_xlfn.TEXTAFTER(CantoralDB[[#This Row],[index.html]],"&gt;"),"&gt;")&amp;"&gt;"</f>
        <v>&lt;a href="canciones/nsb/antes_de_ser_llevado_a_la_muerte.html"&gt;</v>
      </c>
      <c r="Y315" s="1"/>
      <c r="Z315" s="1"/>
      <c r="AA315" s="1"/>
    </row>
    <row r="316" spans="1:27" x14ac:dyDescent="0.3">
      <c r="A316" s="1">
        <f>ROW(CantoralDB[[#This Row],[Título]])-1</f>
        <v>315</v>
      </c>
      <c r="B316" s="1" t="s">
        <v>44</v>
      </c>
      <c r="C316" s="1" t="s">
        <v>993</v>
      </c>
      <c r="D316" s="1" t="s">
        <v>695</v>
      </c>
      <c r="E316" s="1">
        <v>83</v>
      </c>
      <c r="G316" s="1" t="s">
        <v>209</v>
      </c>
      <c r="H316" s="1" t="s">
        <v>1027</v>
      </c>
      <c r="J316" s="1" t="s">
        <v>608</v>
      </c>
      <c r="M316" s="15" t="s">
        <v>574</v>
      </c>
      <c r="N316" s="15"/>
      <c r="O316" s="15"/>
      <c r="P316" s="15" t="str" cm="1">
        <f t="array" ref="P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316" s="15" t="str" cm="1">
        <f t="array" ref="Q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canciones/nsb/dios_es_fiel.html</v>
      </c>
      <c r="S316" s="1"/>
      <c r="T316" s="1"/>
      <c r="U316" s="1"/>
      <c r="V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data-momento="Comunión" data-nnew="K22" data-nold="83"&gt;&lt;a href="canciones/nsb/dios_es_fiel.html"&gt;Dios es fiel&lt;/a&gt;&lt;/li&gt;</v>
      </c>
      <c r="W316" s="15" t="str">
        <f>_xlfn.TEXTBEFORE(_xlfn.TEXTAFTER(CantoralDB[[#This Row],[index.html]],"&gt;"),"&gt;")&amp;"&gt;"</f>
        <v>&lt;a href="canciones/nsb/dios_es_fiel.html"&gt;</v>
      </c>
      <c r="Y316" s="1"/>
      <c r="Z316" s="1"/>
      <c r="AA316" s="1"/>
    </row>
    <row r="317" spans="1:27" x14ac:dyDescent="0.3">
      <c r="A317" s="1">
        <f>ROW(CantoralDB[[#This Row],[Título]])-1</f>
        <v>316</v>
      </c>
      <c r="B317" s="1" t="s">
        <v>52</v>
      </c>
      <c r="C317" s="1" t="s">
        <v>201</v>
      </c>
      <c r="D317" s="1" t="s">
        <v>651</v>
      </c>
      <c r="E317" s="1">
        <v>96</v>
      </c>
      <c r="G317" s="1" t="s">
        <v>209</v>
      </c>
      <c r="H317" s="1" t="s">
        <v>1027</v>
      </c>
      <c r="I317" s="1" t="s">
        <v>2962</v>
      </c>
      <c r="J317" s="1" t="s">
        <v>608</v>
      </c>
      <c r="M317" s="15" t="s">
        <v>574</v>
      </c>
      <c r="N317" s="15"/>
      <c r="O317" s="15"/>
      <c r="P317" s="15" t="str" cm="1">
        <f t="array" ref="P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317" s="15" t="str" cm="1">
        <f t="array" ref="Q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canciones/nsb/el_señor_es_mi_luz.html</v>
      </c>
      <c r="S317" s="1" t="s">
        <v>826</v>
      </c>
      <c r="T317" s="1"/>
      <c r="U317" s="1"/>
      <c r="V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Taulé" data-momento="Antífonas" data-nnew="D13" data-nold="96"&gt;&lt;a href="canciones/nsb/el_señor_es_mi_luz.html"&gt;El Señor es mi luz&lt;/a&gt;&lt;/li&gt;</v>
      </c>
      <c r="W317" s="15" t="str">
        <f>_xlfn.TEXTBEFORE(_xlfn.TEXTAFTER(CantoralDB[[#This Row],[index.html]],"&gt;"),"&gt;")&amp;"&gt;"</f>
        <v>&lt;a href="canciones/nsb/el_señor_es_mi_luz.html"&gt;</v>
      </c>
      <c r="Y317" s="1"/>
      <c r="Z317" s="1"/>
      <c r="AA317" s="1"/>
    </row>
    <row r="318" spans="1:27" x14ac:dyDescent="0.3">
      <c r="A318" s="1">
        <f>ROW(CantoralDB[[#This Row],[Título]])-1</f>
        <v>317</v>
      </c>
      <c r="B318" s="1" t="s">
        <v>63</v>
      </c>
      <c r="C318" s="1" t="s">
        <v>993</v>
      </c>
      <c r="D318" s="1" t="s">
        <v>706</v>
      </c>
      <c r="E318" s="1">
        <v>425</v>
      </c>
      <c r="G318" s="1" t="s">
        <v>209</v>
      </c>
      <c r="H318" s="1" t="s">
        <v>531</v>
      </c>
      <c r="J318" s="1" t="s">
        <v>608</v>
      </c>
      <c r="M318" s="15" t="s">
        <v>631</v>
      </c>
      <c r="N318" s="15"/>
      <c r="O318" s="15"/>
      <c r="P318" s="15" t="str" cm="1">
        <f t="array" ref="P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318" s="15" t="str" cm="1">
        <f t="array" ref="Q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canciones/nsb/es_de_locos.html</v>
      </c>
      <c r="S318" s="1"/>
      <c r="T318" s="1"/>
      <c r="U318" s="1"/>
      <c r="V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data-author="Alberto y Emilia" data-momento="Comunión" data-nnew="K33" data-nold="425"&gt;&lt;a href="canciones/nsb/es_de_locos.html"&gt;Es de locos&lt;/a&gt;&lt;/li&gt;</v>
      </c>
      <c r="W318" s="15" t="str">
        <f>_xlfn.TEXTBEFORE(_xlfn.TEXTAFTER(CantoralDB[[#This Row],[index.html]],"&gt;"),"&gt;")&amp;"&gt;"</f>
        <v>&lt;a href="canciones/nsb/es_de_locos.html"&gt;</v>
      </c>
      <c r="Y318" s="1"/>
      <c r="Z318" s="1"/>
      <c r="AA318" s="1"/>
    </row>
    <row r="319" spans="1:27" x14ac:dyDescent="0.3">
      <c r="A319" s="1">
        <f>ROW(CantoralDB[[#This Row],[Título]])-1</f>
        <v>318</v>
      </c>
      <c r="B319" s="1" t="s">
        <v>170</v>
      </c>
      <c r="C319" s="1" t="s">
        <v>195</v>
      </c>
      <c r="D319" s="1" t="s">
        <v>775</v>
      </c>
      <c r="E319" s="1">
        <v>476</v>
      </c>
      <c r="G319" s="1" t="s">
        <v>209</v>
      </c>
      <c r="H319" s="1" t="s">
        <v>473</v>
      </c>
      <c r="I319" s="1" t="s">
        <v>2962</v>
      </c>
      <c r="J319" s="1" t="s">
        <v>608</v>
      </c>
      <c r="M319" s="15" t="s">
        <v>493</v>
      </c>
      <c r="N319" s="15"/>
      <c r="O319" s="15"/>
      <c r="P319" s="15" t="str" cm="1">
        <f t="array" ref="P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319" s="15" t="str" cm="1">
        <f t="array" ref="Q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canciones/nsb/yo_soy_la_vida_y_la_verdad.html</v>
      </c>
      <c r="S319" s="1" t="s">
        <v>871</v>
      </c>
      <c r="T319" s="1"/>
      <c r="U319" s="1"/>
      <c r="V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data-author="Alborada" data-momento="Ofertorio" data-nnew="F20" data-nold="476"&gt;&lt;a href="canciones/nsb/yo_soy_la_vida_y_la_verdad.html"&gt;Yo soy la Vida y la Verdad&lt;/a&gt;&lt;/li&gt;</v>
      </c>
      <c r="W319" s="15" t="str">
        <f>_xlfn.TEXTBEFORE(_xlfn.TEXTAFTER(CantoralDB[[#This Row],[index.html]],"&gt;"),"&gt;")&amp;"&gt;"</f>
        <v>&lt;a href="canciones/nsb/yo_soy_la_vida_y_la_verdad.html"&gt;</v>
      </c>
      <c r="Y319" s="1"/>
      <c r="Z319" s="1"/>
      <c r="AA319" s="1"/>
    </row>
    <row r="320" spans="1:27" x14ac:dyDescent="0.3">
      <c r="A320" s="1">
        <f>ROW(CantoralDB[[#This Row],[Título]])-1</f>
        <v>319</v>
      </c>
      <c r="B320" s="1" t="s">
        <v>226</v>
      </c>
      <c r="C320" s="1" t="s">
        <v>191</v>
      </c>
      <c r="D320" s="1" t="s">
        <v>759</v>
      </c>
      <c r="G320" s="1" t="s">
        <v>216</v>
      </c>
      <c r="H320" s="1" t="s">
        <v>1030</v>
      </c>
      <c r="J320" s="1" t="s">
        <v>608</v>
      </c>
      <c r="M320" s="15" t="s">
        <v>493</v>
      </c>
      <c r="N320" s="15"/>
      <c r="O320" s="15"/>
      <c r="P320" s="15" t="str" cm="1">
        <f t="array" ref="P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320" s="15" t="str" cm="1">
        <f t="array" ref="Q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canciones/nsb/ven_a_celebrar.html</v>
      </c>
      <c r="S320" s="1"/>
      <c r="T320" s="1"/>
      <c r="U320" s="1"/>
      <c r="V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data-author="Alborada" data-momento="Entrada" data-nnew="A39"&gt;&lt;a href="canciones/nsb/ven_a_celebrar.html"&gt;Ven a celebrar&lt;/a&gt;&lt;/li&gt;</v>
      </c>
      <c r="W320" s="15" t="str">
        <f>_xlfn.TEXTBEFORE(_xlfn.TEXTAFTER(CantoralDB[[#This Row],[index.html]],"&gt;"),"&gt;")&amp;"&gt;"</f>
        <v>&lt;a href="canciones/nsb/ven_a_celebrar.html"&gt;</v>
      </c>
      <c r="Y320" s="1"/>
      <c r="Z320" s="1"/>
      <c r="AA320" s="1"/>
    </row>
    <row r="321" spans="1:27" x14ac:dyDescent="0.3">
      <c r="A321" s="1">
        <f>ROW(CantoralDB[[#This Row],[Título]])-1</f>
        <v>320</v>
      </c>
      <c r="B321" s="1" t="s">
        <v>621</v>
      </c>
      <c r="C321" s="1" t="s">
        <v>202</v>
      </c>
      <c r="D321" s="1" t="s">
        <v>1405</v>
      </c>
      <c r="G321" s="1" t="s">
        <v>209</v>
      </c>
      <c r="H321" s="1" t="s">
        <v>1030</v>
      </c>
      <c r="J321" s="1" t="s">
        <v>608</v>
      </c>
      <c r="M321" s="15" t="s">
        <v>620</v>
      </c>
      <c r="N321" s="15"/>
      <c r="O321" s="15"/>
      <c r="P321" s="15" t="str" cm="1">
        <f t="array" ref="P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321" s="15" t="str" cm="1">
        <f t="array" ref="Q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canciones/nsb/cordero_de_dios_(maristas).html</v>
      </c>
      <c r="S321" s="1"/>
      <c r="T321" s="1"/>
      <c r="U321" s="1"/>
      <c r="V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Mejía" data-momento="Cordero de Dios" data-nnew="J05"&gt;&lt;a href="canciones/nsb/cordero_de_dios_(maristas).html"&gt;Cordero de Dios (Maristas)&lt;/a&gt;&lt;/li&gt;</v>
      </c>
      <c r="W321" s="15" t="str">
        <f>_xlfn.TEXTBEFORE(_xlfn.TEXTAFTER(CantoralDB[[#This Row],[index.html]],"&gt;"),"&gt;")&amp;"&gt;"</f>
        <v>&lt;a href="canciones/nsb/cordero_de_dios_(maristas).html"&gt;</v>
      </c>
      <c r="Y321" s="1"/>
      <c r="Z321" s="1"/>
      <c r="AA321" s="1"/>
    </row>
    <row r="322" spans="1:27" x14ac:dyDescent="0.3">
      <c r="A322" s="1">
        <f>ROW(CantoralDB[[#This Row],[Título]])-1</f>
        <v>321</v>
      </c>
      <c r="B322" s="1" t="s">
        <v>2693</v>
      </c>
      <c r="C322" s="1" t="s">
        <v>191</v>
      </c>
      <c r="D322" s="1" t="s">
        <v>1364</v>
      </c>
      <c r="E322" s="1">
        <v>401</v>
      </c>
      <c r="F322" s="1">
        <v>365</v>
      </c>
      <c r="G322" s="1" t="s">
        <v>209</v>
      </c>
      <c r="H322" s="1" t="s">
        <v>1030</v>
      </c>
      <c r="J322" s="1" t="s">
        <v>608</v>
      </c>
      <c r="M322" s="15" t="s">
        <v>590</v>
      </c>
      <c r="N322" s="15"/>
      <c r="O322" s="15"/>
      <c r="P322" s="15" t="str" cm="1">
        <f t="array" ref="P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322" s="15" t="str" cm="1">
        <f t="array" ref="Q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canciones/alejandro_ruiz/abba_padre.html</v>
      </c>
      <c r="S322" s="1" t="s">
        <v>799</v>
      </c>
      <c r="T322" s="1"/>
      <c r="U322" s="1"/>
      <c r="V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 data-momento="Entrada" data-nnew="A02" data-nold="401"&gt;&lt;a href="canciones/alejandro_ruiz/abba_padre.html"&gt;Abbá, Padre&lt;/a&gt;&lt;/li&gt;</v>
      </c>
      <c r="W322" s="15" t="str">
        <f>_xlfn.TEXTBEFORE(_xlfn.TEXTAFTER(CantoralDB[[#This Row],[index.html]],"&gt;"),"&gt;")&amp;"&gt;"</f>
        <v>&lt;a href="canciones/alejandro_ruiz/abba_padre.html"&gt;</v>
      </c>
      <c r="Y322" s="1"/>
      <c r="Z322" s="1"/>
      <c r="AA322" s="1"/>
    </row>
    <row r="323" spans="1:27" x14ac:dyDescent="0.3">
      <c r="A323" s="1">
        <f>ROW(CantoralDB[[#This Row],[Título]])-1</f>
        <v>322</v>
      </c>
      <c r="B323" s="1" t="s">
        <v>2387</v>
      </c>
      <c r="C323" s="1"/>
      <c r="F323" s="1">
        <v>2</v>
      </c>
      <c r="H323" s="1" t="s">
        <v>1028</v>
      </c>
      <c r="J323" s="1" t="s">
        <v>608</v>
      </c>
      <c r="M323" s="15" t="s">
        <v>590</v>
      </c>
      <c r="N323" s="15"/>
      <c r="O323" s="15"/>
      <c r="P323" s="15" t="str" cm="1">
        <f t="array" ref="P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323" s="15" t="str" cm="1">
        <f t="array" ref="Q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canciones/alejandro_ruiz/tu_rompes_cadenas.html</v>
      </c>
      <c r="S323" s="1"/>
      <c r="T323" s="1"/>
      <c r="U323" s="1"/>
      <c r="V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href="canciones/alejandro_ruiz/tu_rompes_cadenas.html"&gt;Tú rompes cadenas&lt;/a&gt;&lt;/li&gt;</v>
      </c>
      <c r="W323" s="15" t="str">
        <f>_xlfn.TEXTBEFORE(_xlfn.TEXTAFTER(CantoralDB[[#This Row],[index.html]],"&gt;"),"&gt;")&amp;"&gt;"</f>
        <v>&lt;a href="canciones/alejandro_ruiz/tu_rompes_cadenas.html"&gt;</v>
      </c>
      <c r="Y323" s="1"/>
      <c r="Z323" s="1"/>
      <c r="AA323" s="1"/>
    </row>
    <row r="324" spans="1:27" x14ac:dyDescent="0.3">
      <c r="A324" s="1">
        <f>ROW(CantoralDB[[#This Row],[Título]])-1</f>
        <v>323</v>
      </c>
      <c r="B324" s="1" t="s">
        <v>1750</v>
      </c>
      <c r="C324" s="1"/>
      <c r="F324" s="1">
        <v>175</v>
      </c>
      <c r="J324" s="1"/>
      <c r="M324" s="15" t="s">
        <v>590</v>
      </c>
      <c r="N324" s="15"/>
      <c r="O324" s="15"/>
      <c r="P324" s="15" t="str" cm="1">
        <f t="array" ref="P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324" s="15" t="str" cm="1">
        <f t="array" ref="Q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canciones/alejandro_ruiz/ven_espiritu.html</v>
      </c>
      <c r="S324" s="1"/>
      <c r="T324" s="1"/>
      <c r="U324" s="1"/>
      <c r="V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href="canciones/alejandro_ruiz/ven_espiritu.html"&gt;Ven, Espíritu&lt;/a&gt;&lt;/li&gt;</v>
      </c>
      <c r="W324" s="15" t="str">
        <f>_xlfn.TEXTBEFORE(_xlfn.TEXTAFTER(CantoralDB[[#This Row],[index.html]],"&gt;"),"&gt;")&amp;"&gt;"</f>
        <v>&lt;a href="canciones/alejandro_ruiz/ven_espiritu.html"&gt;</v>
      </c>
      <c r="Y324" s="1"/>
      <c r="Z324" s="1"/>
      <c r="AA324" s="1"/>
    </row>
    <row r="325" spans="1:27" x14ac:dyDescent="0.3">
      <c r="A325" s="1">
        <f>ROW(CantoralDB[[#This Row],[Título]])-1</f>
        <v>324</v>
      </c>
      <c r="B325" s="1" t="s">
        <v>2664</v>
      </c>
      <c r="C325" s="1"/>
      <c r="F325" s="1">
        <v>277</v>
      </c>
      <c r="J325" s="1"/>
      <c r="M325" s="15" t="s">
        <v>590</v>
      </c>
      <c r="N325" s="15"/>
      <c r="O325" s="15"/>
      <c r="P325" s="15" t="str" cm="1">
        <f t="array" ref="P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325" s="15" t="str" cm="1">
        <f t="array" ref="Q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canciones/alejandro_ruiz/tuya_es_la_victoria.html</v>
      </c>
      <c r="S325" s="1"/>
      <c r="T325" s="1"/>
      <c r="U325" s="1"/>
      <c r="V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href="canciones/alejandro_ruiz/tuya_es_la_victoria.html"&gt;Tuya es la victoria&lt;/a&gt;&lt;/li&gt;</v>
      </c>
      <c r="W325" s="15" t="str">
        <f>_xlfn.TEXTBEFORE(_xlfn.TEXTAFTER(CantoralDB[[#This Row],[index.html]],"&gt;"),"&gt;")&amp;"&gt;"</f>
        <v>&lt;a href="canciones/alejandro_ruiz/tuya_es_la_victoria.html"&gt;</v>
      </c>
      <c r="Y325" s="1"/>
      <c r="Z325" s="1"/>
      <c r="AA325" s="1"/>
    </row>
    <row r="326" spans="1:27" x14ac:dyDescent="0.3">
      <c r="A326" s="1">
        <f>ROW(CantoralDB[[#This Row],[Título]])-1</f>
        <v>325</v>
      </c>
      <c r="B326" s="1" t="s">
        <v>2696</v>
      </c>
      <c r="C326" s="1"/>
      <c r="F326" s="1">
        <v>312</v>
      </c>
      <c r="J326" s="1"/>
      <c r="M326" s="15" t="s">
        <v>590</v>
      </c>
      <c r="N326" s="15"/>
      <c r="O326" s="15"/>
      <c r="P326" s="15" t="str" cm="1">
        <f t="array" ref="P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326" s="15" t="str" cm="1">
        <f t="array" ref="Q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canciones/alejandro_ruiz/no_hay_nadie_como_tu.html</v>
      </c>
      <c r="S326" s="1"/>
      <c r="T326" s="1"/>
      <c r="U326" s="1"/>
      <c r="V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href="canciones/alejandro_ruiz/no_hay_nadie_como_tu.html"&gt;No hay nadie como tú&lt;/a&gt;&lt;/li&gt;</v>
      </c>
      <c r="W326" s="15" t="str">
        <f>_xlfn.TEXTBEFORE(_xlfn.TEXTAFTER(CantoralDB[[#This Row],[index.html]],"&gt;"),"&gt;")&amp;"&gt;"</f>
        <v>&lt;a href="canciones/alejandro_ruiz/no_hay_nadie_como_tu.html"&gt;</v>
      </c>
      <c r="Y326" s="1"/>
      <c r="Z326" s="1"/>
      <c r="AA326" s="1"/>
    </row>
    <row r="327" spans="1:27" x14ac:dyDescent="0.3">
      <c r="A327" s="1">
        <f>ROW(CantoralDB[[#This Row],[Título]])-1</f>
        <v>326</v>
      </c>
      <c r="B327" s="1" t="s">
        <v>2712</v>
      </c>
      <c r="C327" s="1"/>
      <c r="F327" s="1">
        <v>332</v>
      </c>
      <c r="H327" s="1" t="s">
        <v>1030</v>
      </c>
      <c r="J327" s="1" t="s">
        <v>608</v>
      </c>
      <c r="M327" s="15" t="s">
        <v>590</v>
      </c>
      <c r="N327" s="15"/>
      <c r="O327" s="15"/>
      <c r="P327" s="15" t="str" cm="1">
        <f t="array" ref="P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327" s="15" t="str" cm="1">
        <f t="array" ref="Q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canciones/alejandro_ruiz/arranca_de_mi_pecho.html</v>
      </c>
      <c r="S327" s="1"/>
      <c r="T327" s="1"/>
      <c r="U327" s="1"/>
      <c r="V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href="canciones/alejandro_ruiz/arranca_de_mi_pecho.html"&gt;Arranca de mi pecho&lt;/a&gt;&lt;/li&gt;</v>
      </c>
      <c r="W327" s="15" t="str">
        <f>_xlfn.TEXTBEFORE(_xlfn.TEXTAFTER(CantoralDB[[#This Row],[index.html]],"&gt;"),"&gt;")&amp;"&gt;"</f>
        <v>&lt;a href="canciones/alejandro_ruiz/arranca_de_mi_pecho.html"&gt;</v>
      </c>
      <c r="Y327" s="1"/>
      <c r="Z327" s="1"/>
      <c r="AA327" s="1"/>
    </row>
    <row r="328" spans="1:27" x14ac:dyDescent="0.3">
      <c r="A328" s="1">
        <f>ROW(CantoralDB[[#This Row],[Título]])-1</f>
        <v>327</v>
      </c>
      <c r="B328" s="1" t="s">
        <v>2801</v>
      </c>
      <c r="C328" s="1"/>
      <c r="F328" s="1">
        <v>407</v>
      </c>
      <c r="H328" s="32"/>
      <c r="I328" s="32"/>
      <c r="J328" s="1"/>
      <c r="M328" s="15" t="s">
        <v>590</v>
      </c>
      <c r="N328" s="15"/>
      <c r="O328" s="15"/>
      <c r="P328" s="15" t="str" cm="1">
        <f t="array" ref="P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328" s="15" t="str" cm="1">
        <f t="array" ref="Q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canciones/alejandro_ruiz/confiad.html</v>
      </c>
      <c r="S328" s="1"/>
      <c r="T328" s="1"/>
      <c r="U328" s="1"/>
      <c r="V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href="canciones/alejandro_ruiz/confiad.html"&gt;Confiad&lt;/a&gt;&lt;/li&gt;</v>
      </c>
      <c r="W328" s="15" t="str">
        <f>_xlfn.TEXTBEFORE(_xlfn.TEXTAFTER(CantoralDB[[#This Row],[index.html]],"&gt;"),"&gt;")&amp;"&gt;"</f>
        <v>&lt;a href="canciones/alejandro_ruiz/confiad.html"&gt;</v>
      </c>
      <c r="Y328" s="1"/>
      <c r="Z328" s="1"/>
      <c r="AA328" s="1"/>
    </row>
    <row r="329" spans="1:27" x14ac:dyDescent="0.3">
      <c r="A329" s="1">
        <f>ROW(CantoralDB[[#This Row],[Título]])-1</f>
        <v>328</v>
      </c>
      <c r="B329" s="1" t="s">
        <v>2809</v>
      </c>
      <c r="C329" s="1"/>
      <c r="F329" s="1">
        <v>412</v>
      </c>
      <c r="J329" s="1"/>
      <c r="M329" s="15" t="s">
        <v>590</v>
      </c>
      <c r="N329" s="15"/>
      <c r="O329" s="15"/>
      <c r="P329" s="15" t="str" cm="1">
        <f t="array" ref="P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329" s="15" t="str" cm="1">
        <f t="array" ref="Q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canciones/alejandro_ruiz/hijo_de_david.html</v>
      </c>
      <c r="S329" s="1"/>
      <c r="T329" s="1"/>
      <c r="U329" s="1"/>
      <c r="V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href="canciones/alejandro_ruiz/hijo_de_david.html"&gt;Hijo de David&lt;/a&gt;&lt;/li&gt;</v>
      </c>
      <c r="W329" s="15" t="str">
        <f>_xlfn.TEXTBEFORE(_xlfn.TEXTAFTER(CantoralDB[[#This Row],[index.html]],"&gt;"),"&gt;")&amp;"&gt;"</f>
        <v>&lt;a href="canciones/alejandro_ruiz/hijo_de_david.html"&gt;</v>
      </c>
      <c r="Y329" s="1"/>
      <c r="Z329" s="1"/>
      <c r="AA329" s="1"/>
    </row>
    <row r="330" spans="1:27" x14ac:dyDescent="0.3">
      <c r="A330" s="1">
        <f>ROW(CantoralDB[[#This Row],[Título]])-1</f>
        <v>329</v>
      </c>
      <c r="B330" s="1" t="s">
        <v>2815</v>
      </c>
      <c r="C330" s="1"/>
      <c r="F330" s="1">
        <v>417</v>
      </c>
      <c r="J330" s="1"/>
      <c r="M330" s="15" t="s">
        <v>590</v>
      </c>
      <c r="N330" s="15"/>
      <c r="O330" s="15"/>
      <c r="P330" s="15" t="str" cm="1">
        <f t="array" ref="P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330" s="15" t="str" cm="1">
        <f t="array" ref="Q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canciones/alejandro_ruiz/que_tendras_tu.html</v>
      </c>
      <c r="S330" s="1"/>
      <c r="T330" s="1"/>
      <c r="U330" s="1"/>
      <c r="V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href="canciones/alejandro_ruiz/que_tendras_tu.html"&gt;Qué tendrás tú&lt;/a&gt;&lt;/li&gt;</v>
      </c>
      <c r="W330" s="15" t="str">
        <f>_xlfn.TEXTBEFORE(_xlfn.TEXTAFTER(CantoralDB[[#This Row],[index.html]],"&gt;"),"&gt;")&amp;"&gt;"</f>
        <v>&lt;a href="canciones/alejandro_ruiz/que_tendras_tu.html"&gt;</v>
      </c>
      <c r="Y330" s="1"/>
      <c r="Z330" s="1"/>
      <c r="AA330" s="1"/>
    </row>
    <row r="331" spans="1:27" x14ac:dyDescent="0.3">
      <c r="A331" s="1">
        <f>ROW(CantoralDB[[#This Row],[Título]])-1</f>
        <v>330</v>
      </c>
      <c r="B331" s="1" t="s">
        <v>2822</v>
      </c>
      <c r="C331" s="1"/>
      <c r="F331" s="1">
        <v>424</v>
      </c>
      <c r="J331" s="1"/>
      <c r="M331" s="15" t="s">
        <v>590</v>
      </c>
      <c r="N331" s="15"/>
      <c r="O331" s="15"/>
      <c r="P331" s="15" t="str" cm="1">
        <f t="array" ref="P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331" s="15" t="str" cm="1">
        <f t="array" ref="Q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canciones/alejandro_ruiz/ven_espiritu_santo_de_dios.html</v>
      </c>
      <c r="S331" s="1"/>
      <c r="T331" s="1"/>
      <c r="U331" s="1"/>
      <c r="V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href="canciones/alejandro_ruiz/ven_espiritu_santo_de_dios.html"&gt;Ven, Espíritu Santo de Dios&lt;/a&gt;&lt;/li&gt;</v>
      </c>
      <c r="W331" s="15" t="str">
        <f>_xlfn.TEXTBEFORE(_xlfn.TEXTAFTER(CantoralDB[[#This Row],[index.html]],"&gt;"),"&gt;")&amp;"&gt;"</f>
        <v>&lt;a href="canciones/alejandro_ruiz/ven_espiritu_santo_de_dios.html"&gt;</v>
      </c>
      <c r="Y331" s="1"/>
      <c r="Z331" s="1"/>
      <c r="AA331" s="1"/>
    </row>
    <row r="332" spans="1:27" x14ac:dyDescent="0.3">
      <c r="A332" s="1">
        <f>ROW(CantoralDB[[#This Row],[Título]])-1</f>
        <v>331</v>
      </c>
      <c r="B332" s="1" t="s">
        <v>2832</v>
      </c>
      <c r="C332" s="1"/>
      <c r="F332" s="1">
        <v>432</v>
      </c>
      <c r="J332" s="1"/>
      <c r="M332" s="15" t="s">
        <v>590</v>
      </c>
      <c r="N332" s="15"/>
      <c r="O332" s="15"/>
      <c r="P332" s="15" t="str" cm="1">
        <f t="array" ref="P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332" s="15" t="str" cm="1">
        <f t="array" ref="Q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canciones/alejandro_ruiz/demos_gloria.html</v>
      </c>
      <c r="S332" s="1"/>
      <c r="T332" s="1"/>
      <c r="U332" s="1"/>
      <c r="V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href="canciones/alejandro_ruiz/demos_gloria.html"&gt;Demos gloria&lt;/a&gt;&lt;/li&gt;</v>
      </c>
      <c r="W332" s="15" t="str">
        <f>_xlfn.TEXTBEFORE(_xlfn.TEXTAFTER(CantoralDB[[#This Row],[index.html]],"&gt;"),"&gt;")&amp;"&gt;"</f>
        <v>&lt;a href="canciones/alejandro_ruiz/demos_gloria.html"&gt;</v>
      </c>
      <c r="Y332" s="1"/>
      <c r="Z332" s="1"/>
      <c r="AA332" s="1"/>
    </row>
    <row r="333" spans="1:27" x14ac:dyDescent="0.3">
      <c r="A333" s="1">
        <f>ROW(CantoralDB[[#This Row],[Título]])-1</f>
        <v>332</v>
      </c>
      <c r="B333" s="1" t="s">
        <v>2840</v>
      </c>
      <c r="C333" s="1"/>
      <c r="F333" s="1">
        <v>438</v>
      </c>
      <c r="J333" s="1"/>
      <c r="M333" s="15" t="s">
        <v>590</v>
      </c>
      <c r="N333" s="15"/>
      <c r="O333" s="15"/>
      <c r="P333" s="15" t="str" cm="1">
        <f t="array" ref="P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333" s="15" t="str" cm="1">
        <f t="array" ref="Q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canciones/alejandro_ruiz/alabad_al_señor_todas_las_naciones.html</v>
      </c>
      <c r="S333" s="1"/>
      <c r="T333" s="1"/>
      <c r="U333" s="1"/>
      <c r="V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href="canciones/alejandro_ruiz/alabad_al_señor_todas_las_naciones.html"&gt;Alabad al Señor todas las naciones&lt;/a&gt;&lt;/li&gt;</v>
      </c>
      <c r="W333" s="15" t="str">
        <f>_xlfn.TEXTBEFORE(_xlfn.TEXTAFTER(CantoralDB[[#This Row],[index.html]],"&gt;"),"&gt;")&amp;"&gt;"</f>
        <v>&lt;a href="canciones/alejandro_ruiz/alabad_al_señor_todas_las_naciones.html"&gt;</v>
      </c>
      <c r="Y333" s="1"/>
      <c r="Z333" s="1"/>
      <c r="AA333" s="1"/>
    </row>
    <row r="334" spans="1:27" x14ac:dyDescent="0.3">
      <c r="A334" s="1">
        <f>ROW(CantoralDB[[#This Row],[Título]])-1</f>
        <v>333</v>
      </c>
      <c r="B334" s="1" t="s">
        <v>2842</v>
      </c>
      <c r="C334" s="1"/>
      <c r="F334" s="1">
        <v>440</v>
      </c>
      <c r="J334" s="1"/>
      <c r="M334" s="15" t="s">
        <v>590</v>
      </c>
      <c r="N334" s="15"/>
      <c r="O334" s="15"/>
      <c r="P334" s="15" t="str" cm="1">
        <f t="array" ref="P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334" s="15" t="str" cm="1">
        <f t="array" ref="Q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canciones/alejandro_ruiz/la_victoria_es_de_nuestro_dios.html</v>
      </c>
      <c r="S334" s="1"/>
      <c r="T334" s="1"/>
      <c r="U334" s="1"/>
      <c r="V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href="canciones/alejandro_ruiz/la_victoria_es_de_nuestro_dios.html"&gt;La victoria es de nuestro Dios&lt;/a&gt;&lt;/li&gt;</v>
      </c>
      <c r="W334" s="15" t="str">
        <f>_xlfn.TEXTBEFORE(_xlfn.TEXTAFTER(CantoralDB[[#This Row],[index.html]],"&gt;"),"&gt;")&amp;"&gt;"</f>
        <v>&lt;a href="canciones/alejandro_ruiz/la_victoria_es_de_nuestro_dios.html"&gt;</v>
      </c>
      <c r="Y334" s="1"/>
      <c r="Z334" s="1"/>
      <c r="AA334" s="1"/>
    </row>
    <row r="335" spans="1:27" x14ac:dyDescent="0.3">
      <c r="A335" s="1">
        <f>ROW(CantoralDB[[#This Row],[Título]])-1</f>
        <v>334</v>
      </c>
      <c r="B335" s="1" t="s">
        <v>2844</v>
      </c>
      <c r="C335" s="1"/>
      <c r="F335" s="1">
        <v>442</v>
      </c>
      <c r="J335" s="1"/>
      <c r="M335" s="15" t="s">
        <v>590</v>
      </c>
      <c r="N335" s="15"/>
      <c r="O335" s="15"/>
      <c r="P335" s="15" t="str" cm="1">
        <f t="array" ref="P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335" s="15" t="str" cm="1">
        <f t="array" ref="Q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canciones/alejandro_ruiz/tu_me_has_vestido.html</v>
      </c>
      <c r="S335" s="1"/>
      <c r="T335" s="1"/>
      <c r="U335" s="1"/>
      <c r="V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href="canciones/alejandro_ruiz/tu_me_has_vestido.html"&gt;Tú me has vestido&lt;/a&gt;&lt;/li&gt;</v>
      </c>
      <c r="W335" s="15" t="str">
        <f>_xlfn.TEXTBEFORE(_xlfn.TEXTAFTER(CantoralDB[[#This Row],[index.html]],"&gt;"),"&gt;")&amp;"&gt;"</f>
        <v>&lt;a href="canciones/alejandro_ruiz/tu_me_has_vestido.html"&gt;</v>
      </c>
      <c r="Y335" s="1"/>
      <c r="Z335" s="1"/>
      <c r="AA335" s="1"/>
    </row>
    <row r="336" spans="1:27" x14ac:dyDescent="0.3">
      <c r="A336" s="1">
        <f>ROW(CantoralDB[[#This Row],[Título]])-1</f>
        <v>335</v>
      </c>
      <c r="B336" s="1" t="s">
        <v>2847</v>
      </c>
      <c r="C336" s="1"/>
      <c r="F336" s="1">
        <v>446</v>
      </c>
      <c r="J336" s="1"/>
      <c r="M336" s="15" t="s">
        <v>590</v>
      </c>
      <c r="N336" s="15"/>
      <c r="O336" s="15"/>
      <c r="P336" s="15" t="str" cm="1">
        <f t="array" ref="P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Q336" s="15" t="str" cm="1">
        <f t="array" ref="Q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canciones/alejandro_ruiz/el_alfa_y_la_omega.html</v>
      </c>
      <c r="S336" s="1"/>
      <c r="T336" s="1"/>
      <c r="U336" s="1"/>
      <c r="V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data-author="Alejandro Ruiz"&gt;&lt;a href="canciones/alejandro_ruiz/el_alfa_y_la_omega.html"&gt;El Alfa y la Omega&lt;/a&gt;&lt;/li&gt;</v>
      </c>
      <c r="W336" s="15" t="str">
        <f>_xlfn.TEXTBEFORE(_xlfn.TEXTAFTER(CantoralDB[[#This Row],[index.html]],"&gt;"),"&gt;")&amp;"&gt;"</f>
        <v>&lt;a href="canciones/alejandro_ruiz/el_alfa_y_la_omega.html"&gt;</v>
      </c>
      <c r="Y336" s="1"/>
      <c r="Z336" s="1"/>
      <c r="AA336" s="1"/>
    </row>
    <row r="337" spans="1:27" x14ac:dyDescent="0.3">
      <c r="A337" s="1">
        <f>ROW(CantoralDB[[#This Row],[Título]])-1</f>
        <v>336</v>
      </c>
      <c r="B337" s="1" t="s">
        <v>2365</v>
      </c>
      <c r="C337" s="1"/>
      <c r="E337" s="1" t="s">
        <v>2366</v>
      </c>
      <c r="H337" s="1" t="s">
        <v>1027</v>
      </c>
      <c r="J337" s="1" t="s">
        <v>608</v>
      </c>
      <c r="M337" s="15" t="s">
        <v>2367</v>
      </c>
      <c r="N337" s="15"/>
      <c r="O337" s="15"/>
      <c r="P337" s="15" t="str" cm="1">
        <f t="array" ref="P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337" s="15" t="str" cm="1">
        <f t="array" ref="Q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canciones/nsb/hoy_señor_me_has_vuelto_a_perdonar.html</v>
      </c>
      <c r="S337" s="1"/>
      <c r="T337" s="1"/>
      <c r="U337" s="1"/>
      <c r="V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data-author="Alfonso Luna" data-nold="306b"&gt;&lt;a href="canciones/nsb/hoy_señor_me_has_vuelto_a_perdonar.html"&gt;Hoy, Señor, me has vuelto a perdonar&lt;/a&gt;&lt;/li&gt;</v>
      </c>
      <c r="W337" s="15" t="str">
        <f>_xlfn.TEXTBEFORE(_xlfn.TEXTAFTER(CantoralDB[[#This Row],[index.html]],"&gt;"),"&gt;")&amp;"&gt;"</f>
        <v>&lt;a href="canciones/nsb/hoy_señor_me_has_vuelto_a_perdonar.html"&gt;</v>
      </c>
      <c r="Y337" s="1"/>
      <c r="Z337" s="1"/>
      <c r="AA337" s="1"/>
    </row>
    <row r="338" spans="1:27" x14ac:dyDescent="0.3">
      <c r="A338" s="1">
        <f>ROW(CantoralDB[[#This Row],[Título]])-1</f>
        <v>337</v>
      </c>
      <c r="B338" s="1" t="s">
        <v>2417</v>
      </c>
      <c r="C338" s="1"/>
      <c r="F338" s="1">
        <v>30</v>
      </c>
      <c r="J338" s="1"/>
      <c r="M338" s="15" t="s">
        <v>2418</v>
      </c>
      <c r="N338" s="15"/>
      <c r="O338" s="15"/>
      <c r="P338" s="15" t="str" cm="1">
        <f t="array" ref="P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38" s="15" t="str" cm="1">
        <f t="array" ref="Q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canciones/nuevas/digo_que_jesus_el_nazareno.html</v>
      </c>
      <c r="S338" s="1"/>
      <c r="T338" s="1"/>
      <c r="U338" s="1"/>
      <c r="V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data-author="Alfredo García"&gt;&lt;a href="canciones/nuevas/digo_que_jesus_el_nazareno.html"&gt;Digo que Jesús, el Nazareno&lt;/a&gt;&lt;/li&gt;</v>
      </c>
      <c r="W338" s="15" t="str">
        <f>_xlfn.TEXTBEFORE(_xlfn.TEXTAFTER(CantoralDB[[#This Row],[index.html]],"&gt;"),"&gt;")&amp;"&gt;"</f>
        <v>&lt;a href="canciones/nuevas/digo_que_jesus_el_nazareno.html"&gt;</v>
      </c>
      <c r="Y338" s="1"/>
      <c r="Z338" s="1"/>
      <c r="AA338" s="1"/>
    </row>
    <row r="339" spans="1:27" x14ac:dyDescent="0.3">
      <c r="A339" s="1">
        <f>ROW(CantoralDB[[#This Row],[Título]])-1</f>
        <v>338</v>
      </c>
      <c r="B339" s="1" t="s">
        <v>1185</v>
      </c>
      <c r="C339" s="1"/>
      <c r="E339" s="1">
        <v>56</v>
      </c>
      <c r="H339" s="1" t="s">
        <v>531</v>
      </c>
      <c r="J339" s="1" t="s">
        <v>608</v>
      </c>
      <c r="M339" s="15" t="s">
        <v>488</v>
      </c>
      <c r="N339" s="15"/>
      <c r="O339" s="15"/>
      <c r="P339" s="15" t="str" cm="1">
        <f t="array" ref="P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339" s="15" t="str" cm="1">
        <f t="array" ref="Q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canciones/al-haraca/como_jonas.html</v>
      </c>
      <c r="S339" s="1"/>
      <c r="T339" s="1"/>
      <c r="U339" s="1"/>
      <c r="V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data-nold="56"&gt;&lt;a href="canciones/al-haraca/como_jonas.html"&gt;Como Jonás&lt;/a&gt;&lt;/li&gt;</v>
      </c>
      <c r="W339" s="15" t="str">
        <f>_xlfn.TEXTBEFORE(_xlfn.TEXTAFTER(CantoralDB[[#This Row],[index.html]],"&gt;"),"&gt;")&amp;"&gt;"</f>
        <v>&lt;a href="canciones/al-haraca/como_jonas.html"&gt;</v>
      </c>
      <c r="Y339" s="1"/>
      <c r="Z339" s="1"/>
      <c r="AA339" s="1"/>
    </row>
    <row r="340" spans="1:27" x14ac:dyDescent="0.3">
      <c r="A340" s="1">
        <f>ROW(CantoralDB[[#This Row],[Título]])-1</f>
        <v>339</v>
      </c>
      <c r="B340" s="1" t="s">
        <v>1249</v>
      </c>
      <c r="C340" s="1"/>
      <c r="E340" s="1">
        <v>114</v>
      </c>
      <c r="J340" s="1"/>
      <c r="M340" s="15" t="s">
        <v>488</v>
      </c>
      <c r="N340" s="15"/>
      <c r="O340" s="15"/>
      <c r="P340" s="15" t="str" cm="1">
        <f t="array" ref="P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340" s="15" t="str" cm="1">
        <f t="array" ref="Q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canciones/al-haraca/en_esto_conoceran.html</v>
      </c>
      <c r="S340" s="1"/>
      <c r="T340" s="1"/>
      <c r="U340" s="1"/>
      <c r="V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data-nold="114"&gt;&lt;a href="canciones/al-haraca/en_esto_conoceran.html"&gt;En esto conocerán&lt;/a&gt;&lt;/li&gt;</v>
      </c>
      <c r="W340" s="15" t="str">
        <f>_xlfn.TEXTBEFORE(_xlfn.TEXTAFTER(CantoralDB[[#This Row],[index.html]],"&gt;"),"&gt;")&amp;"&gt;"</f>
        <v>&lt;a href="canciones/al-haraca/en_esto_conoceran.html"&gt;</v>
      </c>
      <c r="Y340" s="1"/>
      <c r="Z340" s="1"/>
      <c r="AA340" s="1"/>
    </row>
    <row r="341" spans="1:27" x14ac:dyDescent="0.3">
      <c r="A341" s="1">
        <f>ROW(CantoralDB[[#This Row],[Título]])-1</f>
        <v>340</v>
      </c>
      <c r="B341" s="1" t="s">
        <v>2907</v>
      </c>
      <c r="C341" s="1"/>
      <c r="E341" s="1">
        <v>197</v>
      </c>
      <c r="H341" s="1" t="s">
        <v>1030</v>
      </c>
      <c r="J341" s="1" t="s">
        <v>608</v>
      </c>
      <c r="M341" s="15" t="s">
        <v>488</v>
      </c>
      <c r="N341" s="15"/>
      <c r="O341" s="15"/>
      <c r="P341" s="15" t="str" cm="1">
        <f t="array" ref="P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341" s="15" t="str" cm="1">
        <f t="array" ref="Q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canciones/al-haraca/padre_me_pongo_en_tu_regazo.html</v>
      </c>
      <c r="S341" s="1"/>
      <c r="T341" s="1"/>
      <c r="U341" s="1"/>
      <c r="V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data-nold="197"&gt;&lt;a href="canciones/al-haraca/padre_me_pongo_en_tu_regazo.html"&gt;Padre, me pongo en tu regazo&lt;/a&gt;&lt;/li&gt;</v>
      </c>
      <c r="W341" s="15" t="str">
        <f>_xlfn.TEXTBEFORE(_xlfn.TEXTAFTER(CantoralDB[[#This Row],[index.html]],"&gt;"),"&gt;")&amp;"&gt;"</f>
        <v>&lt;a href="canciones/al-haraca/padre_me_pongo_en_tu_regazo.html"&gt;</v>
      </c>
      <c r="Y341" s="1"/>
      <c r="Z341" s="1"/>
      <c r="AA341" s="1"/>
    </row>
    <row r="342" spans="1:27" x14ac:dyDescent="0.3">
      <c r="A342" s="1">
        <f>ROW(CantoralDB[[#This Row],[Título]])-1</f>
        <v>341</v>
      </c>
      <c r="B342" s="1" t="s">
        <v>186</v>
      </c>
      <c r="C342" s="1" t="s">
        <v>198</v>
      </c>
      <c r="D342" s="1" t="s">
        <v>1454</v>
      </c>
      <c r="E342" s="1">
        <v>209</v>
      </c>
      <c r="G342" s="1" t="s">
        <v>209</v>
      </c>
      <c r="H342" s="1" t="s">
        <v>531</v>
      </c>
      <c r="I342" s="1" t="s">
        <v>2962</v>
      </c>
      <c r="J342" s="1" t="s">
        <v>608</v>
      </c>
      <c r="M342" s="15" t="s">
        <v>488</v>
      </c>
      <c r="N342" s="15"/>
      <c r="O342" s="15"/>
      <c r="P342" s="15" t="str" cm="1">
        <f t="array" ref="P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342" s="15" t="str" cm="1">
        <f t="array" ref="Q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canciones/al-haraca/por_la_paz_no_callare.html</v>
      </c>
      <c r="S342" s="1"/>
      <c r="T342" s="1"/>
      <c r="U342" s="1"/>
      <c r="V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data-momento="Paz" data-nnew="I09" data-nold="209"&gt;&lt;a href="canciones/al-haraca/por_la_paz_no_callare.html"&gt;Por la paz no callaré&lt;/a&gt;&lt;/li&gt;</v>
      </c>
      <c r="W342" s="15" t="str">
        <f>_xlfn.TEXTBEFORE(_xlfn.TEXTAFTER(CantoralDB[[#This Row],[index.html]],"&gt;"),"&gt;")&amp;"&gt;"</f>
        <v>&lt;a href="canciones/al-haraca/por_la_paz_no_callare.html"&gt;</v>
      </c>
      <c r="Y342" s="1"/>
      <c r="Z342" s="1"/>
      <c r="AA342" s="1"/>
    </row>
    <row r="343" spans="1:27" x14ac:dyDescent="0.3">
      <c r="A343" s="1">
        <f>ROW(CantoralDB[[#This Row],[Título]])-1</f>
        <v>342</v>
      </c>
      <c r="B343" s="1" t="s">
        <v>2908</v>
      </c>
      <c r="C343" s="1"/>
      <c r="E343" s="1">
        <v>213</v>
      </c>
      <c r="H343" s="1" t="s">
        <v>531</v>
      </c>
      <c r="J343" s="1" t="s">
        <v>608</v>
      </c>
      <c r="M343" s="15" t="s">
        <v>488</v>
      </c>
      <c r="N343" s="15"/>
      <c r="O343" s="15"/>
      <c r="P343" s="15" t="str" cm="1">
        <f t="array" ref="P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343" s="15" t="str" cm="1">
        <f t="array" ref="Q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canciones/al-haraca/santa_maria_servidora.html</v>
      </c>
      <c r="S343" s="1"/>
      <c r="T343" s="1"/>
      <c r="U343" s="1"/>
      <c r="V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data-nold="213"&gt;&lt;a href="canciones/al-haraca/santa_maria_servidora.html"&gt;Santa María, servidora&lt;/a&gt;&lt;/li&gt;</v>
      </c>
      <c r="W343" s="15" t="str">
        <f>_xlfn.TEXTBEFORE(_xlfn.TEXTAFTER(CantoralDB[[#This Row],[index.html]],"&gt;"),"&gt;")&amp;"&gt;"</f>
        <v>&lt;a href="canciones/al-haraca/santa_maria_servidora.html"&gt;</v>
      </c>
      <c r="Y343" s="1"/>
      <c r="Z343" s="1"/>
      <c r="AA343" s="1"/>
    </row>
    <row r="344" spans="1:27" x14ac:dyDescent="0.3">
      <c r="A344" s="1">
        <f>ROW(CantoralDB[[#This Row],[Título]])-1</f>
        <v>343</v>
      </c>
      <c r="B344" s="1" t="s">
        <v>169</v>
      </c>
      <c r="C344" s="1" t="s">
        <v>191</v>
      </c>
      <c r="D344" s="1" t="s">
        <v>764</v>
      </c>
      <c r="E344" s="1">
        <v>294</v>
      </c>
      <c r="G344" s="1" t="s">
        <v>209</v>
      </c>
      <c r="H344" s="1" t="s">
        <v>1030</v>
      </c>
      <c r="J344" s="1" t="s">
        <v>608</v>
      </c>
      <c r="M344" s="15" t="s">
        <v>488</v>
      </c>
      <c r="N344" s="15"/>
      <c r="O344" s="15"/>
      <c r="P344" s="15" t="str" cm="1">
        <f t="array" ref="P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344" s="15" t="str" cm="1">
        <f t="array" ref="Q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canciones/al-haraca/yo_soy_la_luz_del_mundo.html</v>
      </c>
      <c r="S344" s="1" t="s">
        <v>870</v>
      </c>
      <c r="T344" s="1"/>
      <c r="U344" s="1"/>
      <c r="V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 data-momento="Entrada" data-nnew="A44" data-nold="294"&gt;&lt;a href="canciones/al-haraca/yo_soy_la_luz_del_mundo.html"&gt;Yo soy la luz del mundo&lt;/a&gt;&lt;/li&gt;</v>
      </c>
      <c r="W344" s="15" t="str">
        <f>_xlfn.TEXTBEFORE(_xlfn.TEXTAFTER(CantoralDB[[#This Row],[index.html]],"&gt;"),"&gt;")&amp;"&gt;"</f>
        <v>&lt;a href="canciones/al-haraca/yo_soy_la_luz_del_mundo.html"&gt;</v>
      </c>
      <c r="Y344" s="1"/>
      <c r="Z344" s="1"/>
      <c r="AA344" s="1"/>
    </row>
    <row r="345" spans="1:27" x14ac:dyDescent="0.3">
      <c r="A345" s="1">
        <f>ROW(CantoralDB[[#This Row],[Título]])-1</f>
        <v>344</v>
      </c>
      <c r="B345" s="1" t="s">
        <v>2558</v>
      </c>
      <c r="C345" s="1"/>
      <c r="F345" s="1">
        <v>160</v>
      </c>
      <c r="J345" s="1"/>
      <c r="M345" s="15" t="s">
        <v>488</v>
      </c>
      <c r="N345" s="15"/>
      <c r="O345" s="15"/>
      <c r="P345" s="15" t="str" cm="1">
        <f t="array" ref="P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Q345" s="15" t="str" cm="1">
        <f t="array" ref="Q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canciones/al-haraca/si_con_vosotros_estoy.html</v>
      </c>
      <c r="S345" s="1"/>
      <c r="T345" s="1"/>
      <c r="U345" s="1"/>
      <c r="V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data-author="Al-Haraca"&gt;&lt;a href="canciones/al-haraca/si_con_vosotros_estoy.html"&gt;Sí, con vosotros estoy&lt;/a&gt;&lt;/li&gt;</v>
      </c>
      <c r="W345" s="15" t="str">
        <f>_xlfn.TEXTBEFORE(_xlfn.TEXTAFTER(CantoralDB[[#This Row],[index.html]],"&gt;"),"&gt;")&amp;"&gt;"</f>
        <v>&lt;a href="canciones/al-haraca/si_con_vosotros_estoy.html"&gt;</v>
      </c>
      <c r="Y345" s="1"/>
      <c r="Z345" s="1"/>
      <c r="AA345" s="1"/>
    </row>
    <row r="346" spans="1:27" x14ac:dyDescent="0.3">
      <c r="A346" s="1">
        <f>ROW(CantoralDB[[#This Row],[Título]])-1</f>
        <v>345</v>
      </c>
      <c r="B346" s="1" t="s">
        <v>625</v>
      </c>
      <c r="C346" s="1" t="s">
        <v>993</v>
      </c>
      <c r="D346" s="1" t="s">
        <v>1008</v>
      </c>
      <c r="G346" s="1" t="s">
        <v>209</v>
      </c>
      <c r="H346" s="1" t="s">
        <v>1029</v>
      </c>
      <c r="J346" s="1" t="s">
        <v>608</v>
      </c>
      <c r="M346" s="15" t="s">
        <v>572</v>
      </c>
      <c r="N346" s="15"/>
      <c r="O346" s="15"/>
      <c r="P346" s="15" t="str" cm="1">
        <f t="array" ref="P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346" s="15" t="str" cm="1">
        <f t="array" ref="Q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canciones/nsb/tanto_amo_dios_al_mundo.html</v>
      </c>
      <c r="S346" s="1"/>
      <c r="T346" s="1"/>
      <c r="U346" s="1"/>
      <c r="V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data-author="Alicia Mendoza" data-momento="Comunión" data-nnew="K71"&gt;&lt;a href="canciones/nsb/tanto_amo_dios_al_mundo.html"&gt;Tanto amó Dios al mundo&lt;/a&gt;&lt;/li&gt;</v>
      </c>
      <c r="W346" s="15" t="str">
        <f>_xlfn.TEXTBEFORE(_xlfn.TEXTAFTER(CantoralDB[[#This Row],[index.html]],"&gt;"),"&gt;")&amp;"&gt;"</f>
        <v>&lt;a href="canciones/nsb/tanto_amo_dios_al_mundo.html"&gt;</v>
      </c>
      <c r="Y346" s="1"/>
      <c r="Z346" s="1"/>
      <c r="AA346" s="1"/>
    </row>
    <row r="347" spans="1:27" x14ac:dyDescent="0.3">
      <c r="A347" s="1">
        <f>ROW(CantoralDB[[#This Row],[Título]])-1</f>
        <v>346</v>
      </c>
      <c r="B347" s="1" t="s">
        <v>2160</v>
      </c>
      <c r="C347" s="15"/>
      <c r="H347" s="1" t="s">
        <v>531</v>
      </c>
      <c r="J347" s="1" t="s">
        <v>608</v>
      </c>
      <c r="M347" s="15" t="s">
        <v>2178</v>
      </c>
      <c r="N347" s="15"/>
      <c r="O347" s="15"/>
      <c r="P347" s="15" t="str" cm="1">
        <f t="array" ref="P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47" s="15" t="str" cm="1">
        <f t="array" ref="Q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canciones/nuevas/contigo_me_la_juego.html</v>
      </c>
      <c r="S347" s="1"/>
      <c r="T347" s="1"/>
      <c r="U347" s="1"/>
      <c r="V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data-author="Álvaro Fraile"&gt;&lt;a href="canciones/nuevas/contigo_me_la_juego.html"&gt;Contigo me la juego&lt;/a&gt;&lt;/li&gt;</v>
      </c>
      <c r="W347" s="15" t="str">
        <f>_xlfn.TEXTBEFORE(_xlfn.TEXTAFTER(CantoralDB[[#This Row],[index.html]],"&gt;"),"&gt;")&amp;"&gt;"</f>
        <v>&lt;a href="canciones/nuevas/contigo_me_la_juego.html"&gt;</v>
      </c>
      <c r="Y347" s="1"/>
      <c r="Z347" s="1"/>
      <c r="AA347" s="1"/>
    </row>
    <row r="348" spans="1:27" x14ac:dyDescent="0.3">
      <c r="A348" s="1">
        <f>ROW(CantoralDB[[#This Row],[Título]])-1</f>
        <v>347</v>
      </c>
      <c r="B348" s="1" t="s">
        <v>941</v>
      </c>
      <c r="C348" s="1"/>
      <c r="F348" s="1">
        <v>93</v>
      </c>
      <c r="J348" s="1"/>
      <c r="M348" s="15" t="s">
        <v>2485</v>
      </c>
      <c r="N348" s="15"/>
      <c r="O348" s="15"/>
      <c r="P348" s="15" t="str" cm="1">
        <f t="array" ref="P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48" s="15" t="str" cm="1">
        <f t="array" ref="Q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canciones/nuevas/ven_espiritu_de_dios.html</v>
      </c>
      <c r="S348" s="1"/>
      <c r="T348" s="1"/>
      <c r="U348" s="1"/>
      <c r="V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data-author="Andree Gouzes"&gt;&lt;a href="canciones/nuevas/ven_espiritu_de_dios.html"&gt;Ven, Espíritu de Dios&lt;/a&gt;&lt;/li&gt;</v>
      </c>
      <c r="W348" s="15" t="str">
        <f>_xlfn.TEXTBEFORE(_xlfn.TEXTAFTER(CantoralDB[[#This Row],[index.html]],"&gt;"),"&gt;")&amp;"&gt;"</f>
        <v>&lt;a href="canciones/nuevas/ven_espiritu_de_dios.html"&gt;</v>
      </c>
      <c r="Y348" s="1"/>
      <c r="Z348" s="1"/>
      <c r="AA348" s="1"/>
    </row>
    <row r="349" spans="1:27" x14ac:dyDescent="0.3">
      <c r="A349" s="1">
        <f>ROW(CantoralDB[[#This Row],[Título]])-1</f>
        <v>348</v>
      </c>
      <c r="B349" s="1" t="s">
        <v>505</v>
      </c>
      <c r="C349" s="1" t="s">
        <v>193</v>
      </c>
      <c r="D349" s="1" t="s">
        <v>1426</v>
      </c>
      <c r="E349" s="1">
        <v>127</v>
      </c>
      <c r="G349" s="1" t="s">
        <v>209</v>
      </c>
      <c r="H349" s="1" t="s">
        <v>1030</v>
      </c>
      <c r="J349" s="1" t="s">
        <v>608</v>
      </c>
      <c r="M349" s="15" t="s">
        <v>2897</v>
      </c>
      <c r="N349" s="15"/>
      <c r="O349" s="15"/>
      <c r="P349" s="15" t="str" cm="1">
        <f t="array" ref="P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349" s="15" t="str" cm="1">
        <f t="array" ref="Q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canciones/nsb/gloria_gloria_aleluya.html</v>
      </c>
      <c r="S349" s="1"/>
      <c r="T349" s="1"/>
      <c r="U349" s="1"/>
      <c r="V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data-momento="Gloria" data-nnew="C06" data-nold="127"&gt;&lt;a href="canciones/nsb/gloria_gloria_aleluya.html"&gt;Gloria, gloria, aleluya&lt;/a&gt;&lt;/li&gt;</v>
      </c>
      <c r="W349" s="15" t="str">
        <f>_xlfn.TEXTBEFORE(_xlfn.TEXTAFTER(CantoralDB[[#This Row],[index.html]],"&gt;"),"&gt;")&amp;"&gt;"</f>
        <v>&lt;a href="canciones/nsb/gloria_gloria_aleluya.html"&gt;</v>
      </c>
      <c r="Y349" s="1"/>
      <c r="Z349" s="1"/>
      <c r="AA349" s="1"/>
    </row>
    <row r="350" spans="1:27" x14ac:dyDescent="0.3">
      <c r="A350" s="1">
        <f>ROW(CantoralDB[[#This Row],[Título]])-1</f>
        <v>349</v>
      </c>
      <c r="B350" s="1" t="s">
        <v>76</v>
      </c>
      <c r="C350" s="1" t="s">
        <v>199</v>
      </c>
      <c r="D350" s="1" t="s">
        <v>1431</v>
      </c>
      <c r="E350" s="1">
        <v>139</v>
      </c>
      <c r="F350" s="1">
        <v>354</v>
      </c>
      <c r="G350" s="1" t="s">
        <v>209</v>
      </c>
      <c r="H350" s="1" t="s">
        <v>531</v>
      </c>
      <c r="I350" s="1" t="s">
        <v>2962</v>
      </c>
      <c r="J350" s="1" t="s">
        <v>608</v>
      </c>
      <c r="M350" s="15" t="s">
        <v>2897</v>
      </c>
      <c r="N350" s="15"/>
      <c r="O350" s="15"/>
      <c r="P350" s="15" t="str" cm="1">
        <f t="array" ref="P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350" s="15" t="str" cm="1">
        <f t="array" ref="Q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canciones/nsb/hoy_el_señor_resucito.html</v>
      </c>
      <c r="S350" s="1"/>
      <c r="T350" s="1"/>
      <c r="U350" s="1"/>
      <c r="V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data-momento="Despedida" data-nnew="L03" data-nold="139"&gt;&lt;a href="canciones/nsb/hoy_el_señor_resucito.html"&gt;Hoy el Señor resucitó&lt;/a&gt;&lt;/li&gt;</v>
      </c>
      <c r="W350" s="15" t="str">
        <f>_xlfn.TEXTBEFORE(_xlfn.TEXTAFTER(CantoralDB[[#This Row],[index.html]],"&gt;"),"&gt;")&amp;"&gt;"</f>
        <v>&lt;a href="canciones/nsb/hoy_el_señor_resucito.html"&gt;</v>
      </c>
      <c r="Y350" s="1"/>
      <c r="Z350" s="1"/>
      <c r="AA350" s="1"/>
    </row>
    <row r="351" spans="1:27" x14ac:dyDescent="0.3">
      <c r="A351" s="1">
        <f>ROW(CantoralDB[[#This Row],[Título]])-1</f>
        <v>350</v>
      </c>
      <c r="B351" s="1" t="s">
        <v>1293</v>
      </c>
      <c r="C351" s="1"/>
      <c r="E351" s="1">
        <v>183</v>
      </c>
      <c r="H351" s="1" t="s">
        <v>531</v>
      </c>
      <c r="J351" s="1" t="s">
        <v>608</v>
      </c>
      <c r="M351" s="15" t="s">
        <v>2897</v>
      </c>
      <c r="N351" s="15"/>
      <c r="O351" s="15"/>
      <c r="P351" s="15" t="str" cm="1">
        <f t="array" ref="P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351" s="15" t="str" cm="1">
        <f t="array" ref="Q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canciones/nsb/nosotros_venceremos.html</v>
      </c>
      <c r="S351" s="1"/>
      <c r="T351" s="1"/>
      <c r="U351" s="1"/>
      <c r="V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Barriales" data-nold="183"&gt;&lt;a href="canciones/nsb/nosotros_venceremos.html"&gt;Nosotros venceremos&lt;/a&gt;&lt;/li&gt;</v>
      </c>
      <c r="W351" s="15" t="str">
        <f>_xlfn.TEXTBEFORE(_xlfn.TEXTAFTER(CantoralDB[[#This Row],[index.html]],"&gt;"),"&gt;")&amp;"&gt;"</f>
        <v>&lt;a href="canciones/nsb/nosotros_venceremos.html"&gt;</v>
      </c>
      <c r="Y351" s="1"/>
      <c r="Z351" s="1"/>
      <c r="AA351" s="1"/>
    </row>
    <row r="352" spans="1:27" x14ac:dyDescent="0.3">
      <c r="A352" s="1">
        <f>ROW(CantoralDB[[#This Row],[Título]])-1</f>
        <v>351</v>
      </c>
      <c r="B352" s="1" t="s">
        <v>2684</v>
      </c>
      <c r="C352" s="1"/>
      <c r="F352" s="1">
        <v>298</v>
      </c>
      <c r="J352" s="1"/>
      <c r="M352" s="15" t="s">
        <v>2685</v>
      </c>
      <c r="N352" s="15"/>
      <c r="O352" s="15"/>
      <c r="P352" s="15" t="str" cm="1">
        <f t="array" ref="P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52" s="15" t="str" cm="1">
        <f t="array" ref="Q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canciones/nuevas/jesus_salvador.html</v>
      </c>
      <c r="S352" s="1"/>
      <c r="T352" s="1"/>
      <c r="U352" s="1"/>
      <c r="V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data-author="Andrés Parra"&gt;&lt;a href="canciones/nuevas/jesus_salvador.html"&gt;Jesús Salvador&lt;/a&gt;&lt;/li&gt;</v>
      </c>
      <c r="W352" s="15" t="str">
        <f>_xlfn.TEXTBEFORE(_xlfn.TEXTAFTER(CantoralDB[[#This Row],[index.html]],"&gt;"),"&gt;")&amp;"&gt;"</f>
        <v>&lt;a href="canciones/nuevas/jesus_salvador.html"&gt;</v>
      </c>
      <c r="Y352" s="1"/>
      <c r="Z352" s="1"/>
      <c r="AA352" s="1"/>
    </row>
    <row r="353" spans="1:27" x14ac:dyDescent="0.3">
      <c r="A353" s="1">
        <f>ROW(CantoralDB[[#This Row],[Título]])-1</f>
        <v>352</v>
      </c>
      <c r="B353" s="1" t="s">
        <v>2834</v>
      </c>
      <c r="C353" s="1"/>
      <c r="F353" s="1">
        <v>434</v>
      </c>
      <c r="J353" s="1"/>
      <c r="M353" s="15" t="s">
        <v>2836</v>
      </c>
      <c r="N353" s="15"/>
      <c r="O353" s="15"/>
      <c r="P353" s="15" t="str" cm="1">
        <f t="array" ref="P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53" s="15" t="str" cm="1">
        <f t="array" ref="Q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canciones/nuevas/ven_ven_espiritu_de_dios.html</v>
      </c>
      <c r="S353" s="1"/>
      <c r="T353" s="1"/>
      <c r="U353" s="1"/>
      <c r="V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data-author="Andrew Cauchi"&gt;&lt;a href="canciones/nuevas/ven_ven_espiritu_de_dios.html"&gt;Ven, ven, Espíritu de Dios&lt;/a&gt;&lt;/li&gt;</v>
      </c>
      <c r="W353" s="15" t="str">
        <f>_xlfn.TEXTBEFORE(_xlfn.TEXTAFTER(CantoralDB[[#This Row],[index.html]],"&gt;"),"&gt;")&amp;"&gt;"</f>
        <v>&lt;a href="canciones/nuevas/ven_ven_espiritu_de_dios.html"&gt;</v>
      </c>
      <c r="Y353" s="1"/>
      <c r="Z353" s="1"/>
      <c r="AA353" s="1"/>
    </row>
    <row r="354" spans="1:27" x14ac:dyDescent="0.3">
      <c r="A354" s="1">
        <f>ROW(CantoralDB[[#This Row],[Título]])-1</f>
        <v>353</v>
      </c>
      <c r="B354" s="1" t="s">
        <v>2427</v>
      </c>
      <c r="C354" s="1"/>
      <c r="F354" s="1">
        <v>39</v>
      </c>
      <c r="J354" s="1"/>
      <c r="M354" s="15" t="s">
        <v>2426</v>
      </c>
      <c r="N354" s="15"/>
      <c r="O354" s="15"/>
      <c r="P354" s="15" t="str" cm="1">
        <f t="array" ref="P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54" s="15" t="str" cm="1">
        <f t="array" ref="Q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canciones/nuevas/ven_y_adorale.html</v>
      </c>
      <c r="S354" s="1"/>
      <c r="T354" s="1"/>
      <c r="U354" s="1"/>
      <c r="V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data-author="Andy Carter"&gt;&lt;a href="canciones/nuevas/ven_y_adorale.html"&gt;Ven y adórale&lt;/a&gt;&lt;/li&gt;</v>
      </c>
      <c r="W354" s="15" t="str">
        <f>_xlfn.TEXTBEFORE(_xlfn.TEXTAFTER(CantoralDB[[#This Row],[index.html]],"&gt;"),"&gt;")&amp;"&gt;"</f>
        <v>&lt;a href="canciones/nuevas/ven_y_adorale.html"&gt;</v>
      </c>
      <c r="Y354" s="1"/>
      <c r="Z354" s="1"/>
      <c r="AA354" s="1"/>
    </row>
    <row r="355" spans="1:27" x14ac:dyDescent="0.3">
      <c r="A355" s="1">
        <f>ROW(CantoralDB[[#This Row],[Título]])-1</f>
        <v>354</v>
      </c>
      <c r="B355" s="1" t="s">
        <v>2766</v>
      </c>
      <c r="C355" s="1"/>
      <c r="F355" s="1">
        <v>381</v>
      </c>
      <c r="J355" s="1"/>
      <c r="M355" s="15" t="s">
        <v>2769</v>
      </c>
      <c r="N355" s="15"/>
      <c r="O355" s="15"/>
      <c r="P355" s="15" t="str" cm="1">
        <f t="array" ref="P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55" s="15" t="str" cm="1">
        <f t="array" ref="Q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canciones/nuevas/mi_ser_alaba_al_señor.html</v>
      </c>
      <c r="S355" s="1"/>
      <c r="T355" s="1"/>
      <c r="U355" s="1"/>
      <c r="V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data-author="Annemarie Bambino"&gt;&lt;a href="canciones/nuevas/mi_ser_alaba_al_señor.html"&gt;Mi ser alaba al Señor&lt;/a&gt;&lt;/li&gt;</v>
      </c>
      <c r="W355" s="15" t="str">
        <f>_xlfn.TEXTBEFORE(_xlfn.TEXTAFTER(CantoralDB[[#This Row],[index.html]],"&gt;"),"&gt;")&amp;"&gt;"</f>
        <v>&lt;a href="canciones/nuevas/mi_ser_alaba_al_señor.html"&gt;</v>
      </c>
      <c r="Y355" s="1"/>
      <c r="Z355" s="1"/>
      <c r="AA355" s="1"/>
    </row>
    <row r="356" spans="1:27" x14ac:dyDescent="0.3">
      <c r="A356" s="1">
        <f>ROW(CantoralDB[[#This Row],[Título]])-1</f>
        <v>355</v>
      </c>
      <c r="B356" s="1" t="s">
        <v>1210</v>
      </c>
      <c r="C356" s="1"/>
      <c r="E356" s="1">
        <v>88</v>
      </c>
      <c r="H356" s="1" t="s">
        <v>1029</v>
      </c>
      <c r="J356" s="1" t="s">
        <v>608</v>
      </c>
      <c r="M356" s="15" t="s">
        <v>486</v>
      </c>
      <c r="N356" s="15"/>
      <c r="O356" s="15"/>
      <c r="P356" s="15" t="str" cm="1">
        <f t="array" ref="P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356" s="15" t="str" cm="1">
        <f t="array" ref="Q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canciones/antonio_alcalde/de_la_virgen_ha_nacido_el_niño.html</v>
      </c>
      <c r="S356" s="1"/>
      <c r="T356" s="1"/>
      <c r="U356" s="1"/>
      <c r="V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data-nold="88"&gt;&lt;a href="canciones/antonio_alcalde/de_la_virgen_ha_nacido_el_niño.html"&gt;De la Virgen ha nacido el Niño&lt;/a&gt;&lt;/li&gt;</v>
      </c>
      <c r="W356" s="15" t="str">
        <f>_xlfn.TEXTBEFORE(_xlfn.TEXTAFTER(CantoralDB[[#This Row],[index.html]],"&gt;"),"&gt;")&amp;"&gt;"</f>
        <v>&lt;a href="canciones/antonio_alcalde/de_la_virgen_ha_nacido_el_niño.html"&gt;</v>
      </c>
      <c r="Y356" s="1"/>
      <c r="Z356" s="1"/>
      <c r="AA356" s="1"/>
    </row>
    <row r="357" spans="1:27" x14ac:dyDescent="0.3">
      <c r="A357" s="1">
        <f>ROW(CantoralDB[[#This Row],[Título]])-1</f>
        <v>356</v>
      </c>
      <c r="B357" s="1" t="s">
        <v>1254</v>
      </c>
      <c r="C357" s="1"/>
      <c r="E357" s="1">
        <v>120</v>
      </c>
      <c r="J357" s="1"/>
      <c r="M357" s="15" t="s">
        <v>486</v>
      </c>
      <c r="N357" s="15"/>
      <c r="O357" s="15"/>
      <c r="P357" s="15" t="str" cm="1">
        <f t="array" ref="P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357" s="15" t="str" cm="1">
        <f t="array" ref="Q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canciones/antonio_alcalde/esta_noche_he_visto_a_dios.html</v>
      </c>
      <c r="S357" s="1"/>
      <c r="T357" s="1"/>
      <c r="U357" s="1"/>
      <c r="V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data-nold="120"&gt;&lt;a href="canciones/antonio_alcalde/esta_noche_he_visto_a_dios.html"&gt;Esta noche he visto a Dios&lt;/a&gt;&lt;/li&gt;</v>
      </c>
      <c r="W357" s="15" t="str">
        <f>_xlfn.TEXTBEFORE(_xlfn.TEXTAFTER(CantoralDB[[#This Row],[index.html]],"&gt;"),"&gt;")&amp;"&gt;"</f>
        <v>&lt;a href="canciones/antonio_alcalde/esta_noche_he_visto_a_dios.html"&gt;</v>
      </c>
      <c r="Y357" s="1"/>
      <c r="Z357" s="1"/>
      <c r="AA357" s="1"/>
    </row>
    <row r="358" spans="1:27" x14ac:dyDescent="0.3">
      <c r="A358" s="1">
        <f>ROW(CantoralDB[[#This Row],[Título]])-1</f>
        <v>357</v>
      </c>
      <c r="B358" s="1" t="s">
        <v>86</v>
      </c>
      <c r="C358" s="1" t="s">
        <v>199</v>
      </c>
      <c r="D358" s="1" t="s">
        <v>1439</v>
      </c>
      <c r="E358" s="1">
        <v>152</v>
      </c>
      <c r="G358" s="1" t="s">
        <v>209</v>
      </c>
      <c r="H358" s="1" t="s">
        <v>1030</v>
      </c>
      <c r="J358" s="1" t="s">
        <v>608</v>
      </c>
      <c r="M358" s="15" t="s">
        <v>486</v>
      </c>
      <c r="N358" s="15"/>
      <c r="O358" s="15"/>
      <c r="P358" s="15" t="str" cm="1">
        <f t="array" ref="P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358" s="15" t="str" cm="1">
        <f t="array" ref="Q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canciones/antonio_alcalde/lo_que_hemos_visto_y_oido.html</v>
      </c>
      <c r="S358" s="1"/>
      <c r="T358" s="1"/>
      <c r="U358" s="1"/>
      <c r="V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data-momento="Despedida" data-nnew="L05" data-nold="152"&gt;&lt;a href="canciones/antonio_alcalde/lo_que_hemos_visto_y_oido.html"&gt;Lo que hemos visto y oído&lt;/a&gt;&lt;/li&gt;</v>
      </c>
      <c r="W358" s="15" t="str">
        <f>_xlfn.TEXTBEFORE(_xlfn.TEXTAFTER(CantoralDB[[#This Row],[index.html]],"&gt;"),"&gt;")&amp;"&gt;"</f>
        <v>&lt;a href="canciones/antonio_alcalde/lo_que_hemos_visto_y_oido.html"&gt;</v>
      </c>
      <c r="Y358" s="1"/>
      <c r="Z358" s="1"/>
      <c r="AA358" s="1"/>
    </row>
    <row r="359" spans="1:27" x14ac:dyDescent="0.3">
      <c r="A359" s="1">
        <f>ROW(CantoralDB[[#This Row],[Título]])-1</f>
        <v>358</v>
      </c>
      <c r="B359" s="1" t="s">
        <v>1291</v>
      </c>
      <c r="C359" s="1"/>
      <c r="E359" s="1">
        <v>181</v>
      </c>
      <c r="H359" s="1" t="s">
        <v>1030</v>
      </c>
      <c r="J359" s="1" t="s">
        <v>608</v>
      </c>
      <c r="M359" s="15" t="s">
        <v>486</v>
      </c>
      <c r="N359" s="15"/>
      <c r="O359" s="15"/>
      <c r="P359" s="15" t="str" cm="1">
        <f t="array" ref="P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359" s="15" t="str" cm="1">
        <f t="array" ref="Q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canciones/antonio_alcalde/nos_has_llamado_al_desierto.html</v>
      </c>
      <c r="S359" s="1"/>
      <c r="T359" s="1"/>
      <c r="U359" s="14" t="s">
        <v>2973</v>
      </c>
      <c r="V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data-nold="181"&gt;&lt;a href="canciones/antonio_alcalde/nos_has_llamado_al_desierto.html"&gt;Nos has llamado al desierto&lt;/a&gt;&lt;/li&gt;</v>
      </c>
      <c r="W359" s="15" t="str">
        <f>_xlfn.TEXTBEFORE(_xlfn.TEXTAFTER(CantoralDB[[#This Row],[index.html]],"&gt;"),"&gt;")&amp;"&gt;"</f>
        <v>&lt;a href="canciones/antonio_alcalde/nos_has_llamado_al_desierto.html"&gt;</v>
      </c>
      <c r="Y359" s="1"/>
      <c r="Z359" s="1"/>
      <c r="AA359" s="1"/>
    </row>
    <row r="360" spans="1:27" x14ac:dyDescent="0.3">
      <c r="A360" s="1">
        <f>ROW(CantoralDB[[#This Row],[Título]])-1</f>
        <v>359</v>
      </c>
      <c r="B360" s="1" t="s">
        <v>247</v>
      </c>
      <c r="C360" s="1" t="s">
        <v>191</v>
      </c>
      <c r="D360" s="1" t="s">
        <v>746</v>
      </c>
      <c r="E360" s="1">
        <v>208</v>
      </c>
      <c r="G360" s="1" t="s">
        <v>248</v>
      </c>
      <c r="H360" s="1" t="s">
        <v>1028</v>
      </c>
      <c r="J360" s="1" t="s">
        <v>608</v>
      </c>
      <c r="M360" s="15" t="s">
        <v>486</v>
      </c>
      <c r="N360" s="15"/>
      <c r="O360" s="15"/>
      <c r="P360" s="15" t="str" cm="1">
        <f t="array" ref="P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360" s="15" t="str" cm="1">
        <f t="array" ref="Q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canciones/antonio_alcalde/peregrinos_de_la_paz_y_la_alegria.html</v>
      </c>
      <c r="S360" s="1"/>
      <c r="T360" s="1"/>
      <c r="U360" s="1"/>
      <c r="V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data-momento="Entrada" data-nnew="A26" data-nold="208"&gt;&lt;a href="canciones/antonio_alcalde/peregrinos_de_la_paz_y_la_alegria.html"&gt;Peregrinos de la paz y la alegría&lt;/a&gt;&lt;/li&gt;</v>
      </c>
      <c r="W360" s="15" t="str">
        <f>_xlfn.TEXTBEFORE(_xlfn.TEXTAFTER(CantoralDB[[#This Row],[index.html]],"&gt;"),"&gt;")&amp;"&gt;"</f>
        <v>&lt;a href="canciones/antonio_alcalde/peregrinos_de_la_paz_y_la_alegria.html"&gt;</v>
      </c>
      <c r="Y360" s="1"/>
      <c r="Z360" s="1"/>
      <c r="AA360" s="1"/>
    </row>
    <row r="361" spans="1:27" x14ac:dyDescent="0.3">
      <c r="A361" s="1">
        <f>ROW(CantoralDB[[#This Row],[Título]])-1</f>
        <v>360</v>
      </c>
      <c r="B361" s="1" t="s">
        <v>121</v>
      </c>
      <c r="C361" s="1" t="s">
        <v>993</v>
      </c>
      <c r="D361" s="1" t="s">
        <v>996</v>
      </c>
      <c r="E361" s="1">
        <v>217</v>
      </c>
      <c r="G361" s="1" t="s">
        <v>209</v>
      </c>
      <c r="H361" s="1" t="s">
        <v>1027</v>
      </c>
      <c r="J361" s="1" t="s">
        <v>608</v>
      </c>
      <c r="M361" s="15" t="s">
        <v>486</v>
      </c>
      <c r="N361" s="15"/>
      <c r="O361" s="15"/>
      <c r="P361" s="15" t="str" cm="1">
        <f t="array" ref="P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361" s="15" t="str" cm="1">
        <f t="array" ref="Q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canciones/antonio_alcalde/que_tendra_lo_pequeño.html</v>
      </c>
      <c r="S361" s="1"/>
      <c r="T361" s="1"/>
      <c r="U361" s="1"/>
      <c r="V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data-momento="Comunión" data-nnew="K59" data-nold="217"&gt;&lt;a href="canciones/antonio_alcalde/que_tendra_lo_pequeño.html"&gt;Qué tendrá lo pequeño&lt;/a&gt;&lt;/li&gt;</v>
      </c>
      <c r="W361" s="15" t="str">
        <f>_xlfn.TEXTBEFORE(_xlfn.TEXTAFTER(CantoralDB[[#This Row],[index.html]],"&gt;"),"&gt;")&amp;"&gt;"</f>
        <v>&lt;a href="canciones/antonio_alcalde/que_tendra_lo_pequeño.html"&gt;</v>
      </c>
      <c r="Y361" s="1"/>
      <c r="Z361" s="1"/>
      <c r="AA361" s="1"/>
    </row>
    <row r="362" spans="1:27" x14ac:dyDescent="0.3">
      <c r="A362" s="1">
        <f>ROW(CantoralDB[[#This Row],[Título]])-1</f>
        <v>361</v>
      </c>
      <c r="B362" s="1" t="s">
        <v>1348</v>
      </c>
      <c r="C362" s="1"/>
      <c r="E362" s="1">
        <v>291</v>
      </c>
      <c r="H362" s="1" t="s">
        <v>1030</v>
      </c>
      <c r="J362" s="1" t="s">
        <v>608</v>
      </c>
      <c r="M362" s="15" t="s">
        <v>486</v>
      </c>
      <c r="N362" s="15"/>
      <c r="O362" s="15"/>
      <c r="P362" s="15" t="str" cm="1">
        <f t="array" ref="P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362" s="15" t="str" cm="1">
        <f t="array" ref="Q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canciones/antonio_alcalde/ven_señor_a_nuestra_vida.html</v>
      </c>
      <c r="S362" s="1"/>
      <c r="T362" s="1"/>
      <c r="U362" s="14" t="s">
        <v>2974</v>
      </c>
      <c r="V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data-nold="291"&gt;&lt;a href="canciones/antonio_alcalde/ven_señor_a_nuestra_vida.html"&gt;Ven, Señor, a nuestra vida&lt;/a&gt;&lt;/li&gt;</v>
      </c>
      <c r="W362" s="15" t="str">
        <f>_xlfn.TEXTBEFORE(_xlfn.TEXTAFTER(CantoralDB[[#This Row],[index.html]],"&gt;"),"&gt;")&amp;"&gt;"</f>
        <v>&lt;a href="canciones/antonio_alcalde/ven_señor_a_nuestra_vida.html"&gt;</v>
      </c>
      <c r="AA362" s="1"/>
    </row>
    <row r="363" spans="1:27" x14ac:dyDescent="0.3">
      <c r="A363" s="1">
        <f>ROW(CantoralDB[[#This Row],[Título]])-1</f>
        <v>362</v>
      </c>
      <c r="B363" s="1" t="s">
        <v>1325</v>
      </c>
      <c r="C363" s="1"/>
      <c r="E363" s="1" t="s">
        <v>2104</v>
      </c>
      <c r="J363" s="1"/>
      <c r="M363" s="15" t="s">
        <v>486</v>
      </c>
      <c r="N363" s="15"/>
      <c r="O363" s="15"/>
      <c r="P363" s="15" t="str" cm="1">
        <f t="array" ref="P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363" s="15" t="str" cm="1">
        <f t="array" ref="Q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canciones/antonio_alcalde/señor_dios_nuestro_restauranos.html</v>
      </c>
      <c r="S363" s="1"/>
      <c r="T363" s="1"/>
      <c r="U363" s="1"/>
      <c r="V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data-nold="246b"&gt;&lt;a href="canciones/antonio_alcalde/señor_dios_nuestro_restauranos.html"&gt;Señor, Dios nuestro, restáuranos&lt;/a&gt;&lt;/li&gt;</v>
      </c>
      <c r="W363" s="15" t="str">
        <f>_xlfn.TEXTBEFORE(_xlfn.TEXTAFTER(CantoralDB[[#This Row],[index.html]],"&gt;"),"&gt;")&amp;"&gt;"</f>
        <v>&lt;a href="canciones/antonio_alcalde/señor_dios_nuestro_restauranos.html"&gt;</v>
      </c>
      <c r="AA363" s="1"/>
    </row>
    <row r="364" spans="1:27" x14ac:dyDescent="0.3">
      <c r="A364" s="1">
        <f>ROW(CantoralDB[[#This Row],[Título]])-1</f>
        <v>363</v>
      </c>
      <c r="B364" s="1" t="s">
        <v>1340</v>
      </c>
      <c r="C364" s="1"/>
      <c r="E364" s="1" t="s">
        <v>2106</v>
      </c>
      <c r="J364" s="1"/>
      <c r="M364" s="15" t="s">
        <v>486</v>
      </c>
      <c r="N364" s="15"/>
      <c r="O364" s="15"/>
      <c r="P364" s="15" t="str" cm="1">
        <f t="array" ref="P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364" s="15" t="str" cm="1">
        <f t="array" ref="Q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canciones/antonio_alcalde/unenos_señor_jesus.html</v>
      </c>
      <c r="S364" s="1"/>
      <c r="T364" s="1"/>
      <c r="U364" s="1"/>
      <c r="V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data-nold="275b"&gt;&lt;a href="canciones/antonio_alcalde/unenos_señor_jesus.html"&gt;Únenos, Señor Jesús&lt;/a&gt;&lt;/li&gt;</v>
      </c>
      <c r="W364" s="15" t="str">
        <f>_xlfn.TEXTBEFORE(_xlfn.TEXTAFTER(CantoralDB[[#This Row],[index.html]],"&gt;"),"&gt;")&amp;"&gt;"</f>
        <v>&lt;a href="canciones/antonio_alcalde/unenos_señor_jesus.html"&gt;</v>
      </c>
      <c r="AA364" s="1"/>
    </row>
    <row r="365" spans="1:27" x14ac:dyDescent="0.3">
      <c r="A365" s="1">
        <f>ROW(CantoralDB[[#This Row],[Título]])-1</f>
        <v>364</v>
      </c>
      <c r="B365" s="1" t="s">
        <v>1182</v>
      </c>
      <c r="C365" s="1"/>
      <c r="E365" s="1" t="s">
        <v>1187</v>
      </c>
      <c r="J365" s="1"/>
      <c r="M365" s="15" t="s">
        <v>486</v>
      </c>
      <c r="N365" s="15"/>
      <c r="O365" s="15"/>
      <c r="P365" s="15" t="str" cm="1">
        <f t="array" ref="P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Q365" s="15" t="str" cm="1">
        <f t="array" ref="Q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canciones/antonio_alcalde/cielos_destilad_el_rocio.html</v>
      </c>
      <c r="S365" s="1"/>
      <c r="T365" s="1"/>
      <c r="U365" s="1"/>
      <c r="V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data-author="Antonio Alcalde" data-nold="53b"&gt;&lt;a href="canciones/antonio_alcalde/cielos_destilad_el_rocio.html"&gt;Cielos, destilad el rocío&lt;/a&gt;&lt;/li&gt;</v>
      </c>
      <c r="W365" s="15" t="str">
        <f>_xlfn.TEXTBEFORE(_xlfn.TEXTAFTER(CantoralDB[[#This Row],[index.html]],"&gt;"),"&gt;")&amp;"&gt;"</f>
        <v>&lt;a href="canciones/antonio_alcalde/cielos_destilad_el_rocio.html"&gt;</v>
      </c>
      <c r="AA365" s="1"/>
    </row>
    <row r="366" spans="1:27" x14ac:dyDescent="0.3">
      <c r="A366" s="1">
        <f>ROW(CantoralDB[[#This Row],[Título]])-1</f>
        <v>365</v>
      </c>
      <c r="B366" s="1" t="s">
        <v>2173</v>
      </c>
      <c r="C366" s="15"/>
      <c r="H366" s="1" t="s">
        <v>531</v>
      </c>
      <c r="J366" s="1" t="s">
        <v>608</v>
      </c>
      <c r="M366" s="15" t="s">
        <v>577</v>
      </c>
      <c r="N366" s="15"/>
      <c r="O366" s="15"/>
      <c r="P366" s="15" t="str" cm="1">
        <f t="array" ref="P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66" s="15" t="str" cm="1">
        <f t="array" ref="Q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canciones/nuevas/todo_es_tuyo.html</v>
      </c>
      <c r="S366" s="1"/>
      <c r="T366" s="1"/>
      <c r="U366" s="14" t="s">
        <v>3014</v>
      </c>
      <c r="V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data-author="Athenas"&gt;&lt;a href="canciones/nuevas/todo_es_tuyo.html"&gt;Todo es tuyo&lt;/a&gt;&lt;/li&gt;</v>
      </c>
      <c r="W366" s="15" t="str">
        <f>_xlfn.TEXTBEFORE(_xlfn.TEXTAFTER(CantoralDB[[#This Row],[index.html]],"&gt;"),"&gt;")&amp;"&gt;"</f>
        <v>&lt;a href="canciones/nuevas/todo_es_tuyo.html"&gt;</v>
      </c>
      <c r="AA366" s="1"/>
    </row>
    <row r="367" spans="1:27" x14ac:dyDescent="0.3">
      <c r="A367" s="1">
        <f>ROW(CantoralDB[[#This Row],[Título]])-1</f>
        <v>366</v>
      </c>
      <c r="B367" s="1" t="s">
        <v>237</v>
      </c>
      <c r="C367" s="1" t="s">
        <v>200</v>
      </c>
      <c r="D367" s="1" t="s">
        <v>1051</v>
      </c>
      <c r="G367" s="1" t="s">
        <v>209</v>
      </c>
      <c r="H367" s="1" t="s">
        <v>1027</v>
      </c>
      <c r="J367" s="1" t="s">
        <v>608</v>
      </c>
      <c r="M367" s="15" t="s">
        <v>577</v>
      </c>
      <c r="N367" s="15"/>
      <c r="O367" s="15"/>
      <c r="P367" s="15" t="str" cm="1">
        <f t="array" ref="P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367" s="15" t="str" cm="1">
        <f t="array" ref="Q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canciones/nsb/quiero_caminar_contigo_maria.html</v>
      </c>
      <c r="S367" s="1"/>
      <c r="T367" s="1"/>
      <c r="U367" s="1"/>
      <c r="V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 data-momento="María" data-nnew="M17"&gt;&lt;a href="canciones/nsb/quiero_caminar_contigo_maria.html"&gt;Quiero caminar contigo, María&lt;/a&gt;&lt;/li&gt;</v>
      </c>
      <c r="W367" s="15" t="str">
        <f>_xlfn.TEXTBEFORE(_xlfn.TEXTAFTER(CantoralDB[[#This Row],[index.html]],"&gt;"),"&gt;")&amp;"&gt;"</f>
        <v>&lt;a href="canciones/nsb/quiero_caminar_contigo_maria.html"&gt;</v>
      </c>
      <c r="AA367" s="1"/>
    </row>
    <row r="368" spans="1:27" x14ac:dyDescent="0.3">
      <c r="A368" s="1">
        <f>ROW(CantoralDB[[#This Row],[Título]])-1</f>
        <v>367</v>
      </c>
      <c r="B368" s="1" t="s">
        <v>2155</v>
      </c>
      <c r="C368" s="15"/>
      <c r="H368" s="1" t="s">
        <v>1030</v>
      </c>
      <c r="J368" s="1" t="s">
        <v>608</v>
      </c>
      <c r="M368" s="15" t="s">
        <v>577</v>
      </c>
      <c r="N368" s="15"/>
      <c r="O368" s="15"/>
      <c r="P368" s="15" t="str" cm="1">
        <f t="array" ref="P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68" s="15" t="str" cm="1">
        <f t="array" ref="Q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canciones/nuevas/acaso_no_estoy_yo_aqui_que_soy_tu_madre.html</v>
      </c>
      <c r="S368" s="1"/>
      <c r="T368" s="1"/>
      <c r="U368" s="14" t="s">
        <v>3000</v>
      </c>
      <c r="V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data-author="Athenas"&gt;&lt;a href="canciones/nuevas/acaso_no_estoy_yo_aqui_que_soy_tu_madre.html"&gt;Acaso no estoy yo aquí que soy tu madre&lt;/a&gt;&lt;/li&gt;</v>
      </c>
      <c r="W368" s="15" t="str">
        <f>_xlfn.TEXTBEFORE(_xlfn.TEXTAFTER(CantoralDB[[#This Row],[index.html]],"&gt;"),"&gt;")&amp;"&gt;"</f>
        <v>&lt;a href="canciones/nuevas/acaso_no_estoy_yo_aqui_que_soy_tu_madre.html"&gt;</v>
      </c>
      <c r="AA368" s="1"/>
    </row>
    <row r="369" spans="1:27" x14ac:dyDescent="0.3">
      <c r="A369" s="1">
        <f>ROW(CantoralDB[[#This Row],[Título]])-1</f>
        <v>368</v>
      </c>
      <c r="B369" s="1" t="s">
        <v>2680</v>
      </c>
      <c r="C369" s="1"/>
      <c r="F369" s="1">
        <v>296</v>
      </c>
      <c r="J369" s="1"/>
      <c r="M369" s="15" t="s">
        <v>2681</v>
      </c>
      <c r="N369" s="15"/>
      <c r="O369" s="15"/>
      <c r="P369" s="15" t="str" cm="1">
        <f t="array" ref="P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69" s="15" t="str" cm="1">
        <f t="array" ref="Q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canciones/nuevas/jesus_y_la_samaritana.html</v>
      </c>
      <c r="S369" s="1"/>
      <c r="T369" s="1"/>
      <c r="U369" s="1"/>
      <c r="V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data-author="Benedetto Conte"&gt;&lt;a href="canciones/nuevas/jesus_y_la_samaritana.html"&gt;Jesús y la samaritana&lt;/a&gt;&lt;/li&gt;</v>
      </c>
      <c r="W369" s="15" t="str">
        <f>_xlfn.TEXTBEFORE(_xlfn.TEXTAFTER(CantoralDB[[#This Row],[index.html]],"&gt;"),"&gt;")&amp;"&gt;"</f>
        <v>&lt;a href="canciones/nuevas/jesus_y_la_samaritana.html"&gt;</v>
      </c>
      <c r="AA369" s="1"/>
    </row>
    <row r="370" spans="1:27" x14ac:dyDescent="0.3">
      <c r="A370" s="1">
        <f>ROW(CantoralDB[[#This Row],[Título]])-1</f>
        <v>369</v>
      </c>
      <c r="B370" s="1" t="s">
        <v>2171</v>
      </c>
      <c r="C370" s="1"/>
      <c r="F370" s="1">
        <v>380</v>
      </c>
      <c r="H370" s="1" t="s">
        <v>1028</v>
      </c>
      <c r="J370" s="1" t="s">
        <v>608</v>
      </c>
      <c r="M370" s="15" t="s">
        <v>2681</v>
      </c>
      <c r="N370" s="15"/>
      <c r="O370" s="15"/>
      <c r="P370" s="15" t="str" cm="1">
        <f t="array" ref="P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70" s="15" t="str" cm="1">
        <f t="array" ref="Q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canciones/nuevas/shalom_te_doy_la_paz.html</v>
      </c>
      <c r="S370" s="1"/>
      <c r="T370" s="1"/>
      <c r="U370" s="14" t="s">
        <v>3012</v>
      </c>
      <c r="V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data-author="Benedetto Conte"&gt;&lt;a href="canciones/nuevas/shalom_te_doy_la_paz.html"&gt;Shalom, te doy la paz&lt;/a&gt;&lt;/li&gt;</v>
      </c>
      <c r="W370" s="15" t="str">
        <f>_xlfn.TEXTBEFORE(_xlfn.TEXTAFTER(CantoralDB[[#This Row],[index.html]],"&gt;"),"&gt;")&amp;"&gt;"</f>
        <v>&lt;a href="canciones/nuevas/shalom_te_doy_la_paz.html"&gt;</v>
      </c>
      <c r="AA370" s="1"/>
    </row>
    <row r="371" spans="1:27" x14ac:dyDescent="0.3">
      <c r="A371" s="1">
        <f>ROW(CantoralDB[[#This Row],[Título]])-1</f>
        <v>370</v>
      </c>
      <c r="B371" s="1" t="s">
        <v>2438</v>
      </c>
      <c r="C371" s="1"/>
      <c r="F371" s="1">
        <v>50</v>
      </c>
      <c r="J371" s="1"/>
      <c r="M371" s="15" t="s">
        <v>2439</v>
      </c>
      <c r="N371" s="15"/>
      <c r="O371" s="15"/>
      <c r="P371" s="15" t="str" cm="1">
        <f t="array" ref="P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71" s="15" t="str" cm="1">
        <f t="array" ref="Q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canciones/nuevas/escucha_señor_mi_oracion.html</v>
      </c>
      <c r="S371" s="1"/>
      <c r="T371" s="1"/>
      <c r="U371" s="1"/>
      <c r="V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data-author="Bill Sprouse"&gt;&lt;a href="canciones/nuevas/escucha_señor_mi_oracion.html"&gt;Escucha, Señor, mi oración&lt;/a&gt;&lt;/li&gt;</v>
      </c>
      <c r="W371" s="15" t="str">
        <f>_xlfn.TEXTBEFORE(_xlfn.TEXTAFTER(CantoralDB[[#This Row],[index.html]],"&gt;"),"&gt;")&amp;"&gt;"</f>
        <v>&lt;a href="canciones/nuevas/escucha_señor_mi_oracion.html"&gt;</v>
      </c>
      <c r="AA371" s="1"/>
    </row>
    <row r="372" spans="1:27" x14ac:dyDescent="0.3">
      <c r="A372" s="1">
        <f>ROW(CantoralDB[[#This Row],[Título]])-1</f>
        <v>371</v>
      </c>
      <c r="B372" s="1" t="s">
        <v>2799</v>
      </c>
      <c r="C372" s="1"/>
      <c r="F372" s="1">
        <v>406</v>
      </c>
      <c r="J372" s="1"/>
      <c r="M372" s="15" t="s">
        <v>2800</v>
      </c>
      <c r="N372" s="15"/>
      <c r="O372" s="15"/>
      <c r="P372" s="15" t="str" cm="1">
        <f t="array" ref="P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72" s="15" t="str" cm="1">
        <f t="array" ref="Q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canciones/nuevas/imagina.html</v>
      </c>
      <c r="S372" s="1"/>
      <c r="T372" s="1"/>
      <c r="U372" s="1"/>
      <c r="V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data-author="Blest"&gt;&lt;a href="canciones/nuevas/imagina.html"&gt;Imagina&lt;/a&gt;&lt;/li&gt;</v>
      </c>
      <c r="W372" s="15" t="str">
        <f>_xlfn.TEXTBEFORE(_xlfn.TEXTAFTER(CantoralDB[[#This Row],[index.html]],"&gt;"),"&gt;")&amp;"&gt;"</f>
        <v>&lt;a href="canciones/nuevas/imagina.html"&gt;</v>
      </c>
      <c r="AA372" s="1"/>
    </row>
    <row r="373" spans="1:27" x14ac:dyDescent="0.3">
      <c r="A373" s="1">
        <f>ROW(CantoralDB[[#This Row],[Título]])-1</f>
        <v>372</v>
      </c>
      <c r="B373" s="1" t="s">
        <v>2781</v>
      </c>
      <c r="C373" s="1"/>
      <c r="F373" s="1">
        <v>390</v>
      </c>
      <c r="J373" s="1"/>
      <c r="M373" s="15" t="s">
        <v>2780</v>
      </c>
      <c r="N373" s="15"/>
      <c r="O373" s="15"/>
      <c r="P373" s="15" t="str" cm="1">
        <f t="array" ref="P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73" s="15" t="str" cm="1">
        <f t="array" ref="Q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canciones/nuevas/bendito_sea_el_señor.html</v>
      </c>
      <c r="S373" s="1"/>
      <c r="T373" s="1"/>
      <c r="U373" s="1"/>
      <c r="V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Fitts"&gt;&lt;a href="canciones/nuevas/bendito_sea_el_señor.html"&gt;Bendito sea el Señor&lt;/a&gt;&lt;/li&gt;</v>
      </c>
      <c r="W373" s="15" t="str">
        <f>_xlfn.TEXTBEFORE(_xlfn.TEXTAFTER(CantoralDB[[#This Row],[index.html]],"&gt;"),"&gt;")&amp;"&gt;"</f>
        <v>&lt;a href="canciones/nuevas/bendito_sea_el_señor.html"&gt;</v>
      </c>
      <c r="AA373" s="1"/>
    </row>
    <row r="374" spans="1:27" x14ac:dyDescent="0.3">
      <c r="A374" s="1">
        <f>ROW(CantoralDB[[#This Row],[Título]])-1</f>
        <v>373</v>
      </c>
      <c r="B374" s="1" t="s">
        <v>180</v>
      </c>
      <c r="C374" s="1" t="s">
        <v>993</v>
      </c>
      <c r="D374" s="1" t="s">
        <v>702</v>
      </c>
      <c r="F374" s="1">
        <v>303</v>
      </c>
      <c r="G374" s="1" t="s">
        <v>209</v>
      </c>
      <c r="H374" s="1" t="s">
        <v>531</v>
      </c>
      <c r="J374" s="1" t="s">
        <v>608</v>
      </c>
      <c r="M374" s="15" t="s">
        <v>589</v>
      </c>
      <c r="N374" s="15"/>
      <c r="O374" s="15"/>
      <c r="P374" s="15" t="str" cm="1">
        <f t="array" ref="P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374" s="15" t="str" cm="1">
        <f t="array" ref="Q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canciones/nsb/el_vendra_y_te_salvara.html</v>
      </c>
      <c r="S374" s="1" t="s">
        <v>829</v>
      </c>
      <c r="T374" s="1"/>
      <c r="U374" s="1"/>
      <c r="V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Fitts y Gary Sadler" data-momento="Comunión" data-nnew="K29"&gt;&lt;a href="canciones/nsb/el_vendra_y_te_salvara.html"&gt;Él vendrá y te salvará&lt;/a&gt;&lt;/li&gt;</v>
      </c>
      <c r="W374" s="15" t="str">
        <f>_xlfn.TEXTBEFORE(_xlfn.TEXTAFTER(CantoralDB[[#This Row],[index.html]],"&gt;"),"&gt;")&amp;"&gt;"</f>
        <v>&lt;a href="canciones/nsb/el_vendra_y_te_salvara.html"&gt;</v>
      </c>
      <c r="AA374" s="1"/>
    </row>
    <row r="375" spans="1:27" x14ac:dyDescent="0.3">
      <c r="A375" s="1">
        <f>ROW(CantoralDB[[#This Row],[Título]])-1</f>
        <v>374</v>
      </c>
      <c r="B375" s="1" t="s">
        <v>885</v>
      </c>
      <c r="C375" s="1"/>
      <c r="F375" s="1">
        <v>320</v>
      </c>
      <c r="J375" s="1"/>
      <c r="M375" s="15" t="s">
        <v>2700</v>
      </c>
      <c r="N375" s="15"/>
      <c r="O375" s="15"/>
      <c r="P375" s="15" t="str" cm="1">
        <f t="array" ref="P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75" s="15" t="str" cm="1">
        <f t="array" ref="Q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S375" s="1"/>
      <c r="T375" s="1"/>
      <c r="U375" s="1"/>
      <c r="V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data-author="Bob Probert"&gt;&lt;a href="canciones/nuevas/bendecid_al_señor.html"&gt;Bendecid al Señor&lt;/a&gt;&lt;/li&gt;</v>
      </c>
      <c r="W375" s="15" t="str">
        <f>_xlfn.TEXTBEFORE(_xlfn.TEXTAFTER(CantoralDB[[#This Row],[index.html]],"&gt;"),"&gt;")&amp;"&gt;"</f>
        <v>&lt;a href="canciones/nuevas/bendecid_al_señor.html"&gt;</v>
      </c>
      <c r="AA375" s="1"/>
    </row>
    <row r="376" spans="1:27" x14ac:dyDescent="0.3">
      <c r="A376" s="1">
        <f>ROW(CantoralDB[[#This Row],[Título]])-1</f>
        <v>375</v>
      </c>
      <c r="B376" s="1" t="s">
        <v>2775</v>
      </c>
      <c r="C376" s="1"/>
      <c r="F376" s="1">
        <v>387</v>
      </c>
      <c r="J376" s="1"/>
      <c r="M376" s="15" t="s">
        <v>2777</v>
      </c>
      <c r="N376" s="15"/>
      <c r="O376" s="15"/>
      <c r="P376" s="15" t="str" cm="1">
        <f t="array" ref="P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76" s="15" t="str" cm="1">
        <f t="array" ref="Q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canciones/nuevas/gracias_yo_te_dare.html</v>
      </c>
      <c r="S376" s="1"/>
      <c r="T376" s="1"/>
      <c r="U376" s="1"/>
      <c r="V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data-author="Brent Chambers"&gt;&lt;a href="canciones/nuevas/gracias_yo_te_dare.html"&gt;Gracias yo te daré&lt;/a&gt;&lt;/li&gt;</v>
      </c>
      <c r="W376" s="15" t="str">
        <f>_xlfn.TEXTBEFORE(_xlfn.TEXTAFTER(CantoralDB[[#This Row],[index.html]],"&gt;"),"&gt;")&amp;"&gt;"</f>
        <v>&lt;a href="canciones/nuevas/gracias_yo_te_dare.html"&gt;</v>
      </c>
      <c r="AA376" s="1"/>
    </row>
    <row r="377" spans="1:27" x14ac:dyDescent="0.3">
      <c r="A377" s="1">
        <f>ROW(CantoralDB[[#This Row],[Título]])-1</f>
        <v>376</v>
      </c>
      <c r="B377" s="1" t="s">
        <v>2811</v>
      </c>
      <c r="C377" s="1"/>
      <c r="F377" s="1">
        <v>414</v>
      </c>
      <c r="J377" s="1"/>
      <c r="M377" s="15" t="s">
        <v>2814</v>
      </c>
      <c r="N377" s="15"/>
      <c r="O377" s="15"/>
      <c r="P377" s="15" t="str" cm="1">
        <f t="array" ref="P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377" s="15" t="str" cm="1">
        <f t="array" ref="Q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canciones/nuevas/ven_es_hora_de_adorarle.html</v>
      </c>
      <c r="S377" s="1"/>
      <c r="T377" s="1"/>
      <c r="U377" s="1"/>
      <c r="V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data-author="Brian Doerksen"&gt;&lt;a href="canciones/nuevas/ven_es_hora_de_adorarle.html"&gt;Ven, es hora de adorarle&lt;/a&gt;&lt;/li&gt;</v>
      </c>
      <c r="W377" s="15" t="str">
        <f>_xlfn.TEXTBEFORE(_xlfn.TEXTAFTER(CantoralDB[[#This Row],[index.html]],"&gt;"),"&gt;")&amp;"&gt;"</f>
        <v>&lt;a href="canciones/nuevas/ven_es_hora_de_adorarle.html"&gt;</v>
      </c>
      <c r="AA377" s="1"/>
    </row>
    <row r="378" spans="1:27" x14ac:dyDescent="0.3">
      <c r="A378" s="1">
        <f>ROW(CantoralDB[[#This Row],[Título]])-1</f>
        <v>377</v>
      </c>
      <c r="B378" s="1" t="s">
        <v>2851</v>
      </c>
      <c r="C378" s="1"/>
      <c r="H378" s="1" t="s">
        <v>531</v>
      </c>
      <c r="I378" s="1" t="s">
        <v>2960</v>
      </c>
      <c r="J378" s="1" t="s">
        <v>608</v>
      </c>
      <c r="M378" s="15" t="s">
        <v>499</v>
      </c>
      <c r="N378" s="15" t="s">
        <v>2850</v>
      </c>
      <c r="O378" s="15">
        <v>1</v>
      </c>
      <c r="P378" s="15" t="str" cm="1">
        <f t="array" ref="P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378" s="15" t="str" cm="1">
        <f t="array" ref="Q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canciones/brotes_de_olivo/señor_mirame.html</v>
      </c>
      <c r="S378" s="1"/>
      <c r="T378" s="1"/>
      <c r="U378" s="1"/>
      <c r="V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href="canciones/brotes_de_olivo/señor_mirame.html"&gt;Señor, mírame&lt;/a&gt;&lt;/li&gt;</v>
      </c>
      <c r="W378" s="15" t="str">
        <f>_xlfn.TEXTBEFORE(_xlfn.TEXTAFTER(CantoralDB[[#This Row],[index.html]],"&gt;"),"&gt;")&amp;"&gt;"</f>
        <v>&lt;a href="canciones/brotes_de_olivo/señor_mirame.html"&gt;</v>
      </c>
      <c r="AA378" s="1"/>
    </row>
    <row r="379" spans="1:27" x14ac:dyDescent="0.3">
      <c r="A379" s="1">
        <f>ROW(CantoralDB[[#This Row],[Título]])-1</f>
        <v>378</v>
      </c>
      <c r="B379" s="1" t="s">
        <v>1582</v>
      </c>
      <c r="C379" s="1"/>
      <c r="H379" s="1" t="s">
        <v>531</v>
      </c>
      <c r="J379" s="1" t="s">
        <v>608</v>
      </c>
      <c r="M379" s="15" t="s">
        <v>499</v>
      </c>
      <c r="N379" s="15" t="s">
        <v>2850</v>
      </c>
      <c r="O379" s="15">
        <v>2</v>
      </c>
      <c r="P379" s="15" t="str" cm="1">
        <f t="array" ref="P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379" s="15" t="str" cm="1">
        <f t="array" ref="Q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canciones/brotes_de_olivo/ten_piedad.html</v>
      </c>
      <c r="S379" s="1"/>
      <c r="T379" s="1"/>
      <c r="U379" s="1"/>
      <c r="V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href="canciones/brotes_de_olivo/ten_piedad.html"&gt;Ten piedad&lt;/a&gt;&lt;/li&gt;</v>
      </c>
      <c r="W379" s="15" t="str">
        <f>_xlfn.TEXTBEFORE(_xlfn.TEXTAFTER(CantoralDB[[#This Row],[index.html]],"&gt;"),"&gt;")&amp;"&gt;"</f>
        <v>&lt;a href="canciones/brotes_de_olivo/ten_piedad.html"&gt;</v>
      </c>
      <c r="AA379" s="1"/>
    </row>
    <row r="380" spans="1:27" x14ac:dyDescent="0.3">
      <c r="A380" s="1">
        <f>ROW(CantoralDB[[#This Row],[Título]])-1</f>
        <v>379</v>
      </c>
      <c r="B380" s="1" t="s">
        <v>2852</v>
      </c>
      <c r="C380" s="1"/>
      <c r="H380" s="1" t="s">
        <v>531</v>
      </c>
      <c r="J380" s="1" t="s">
        <v>608</v>
      </c>
      <c r="M380" s="15" t="s">
        <v>499</v>
      </c>
      <c r="N380" s="15" t="s">
        <v>2850</v>
      </c>
      <c r="O380" s="15">
        <v>3</v>
      </c>
      <c r="P380" s="15" t="str" cm="1">
        <f t="array" ref="P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380" s="15" t="str" cm="1">
        <f t="array" ref="Q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canciones/brotes_de_olivo/he_oido_tu_voz.html</v>
      </c>
      <c r="S380" s="1"/>
      <c r="T380" s="1"/>
      <c r="U380" s="1"/>
      <c r="V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href="canciones/brotes_de_olivo/he_oido_tu_voz.html"&gt;He oído tu voz&lt;/a&gt;&lt;/li&gt;</v>
      </c>
      <c r="W380" s="15" t="str">
        <f>_xlfn.TEXTBEFORE(_xlfn.TEXTAFTER(CantoralDB[[#This Row],[index.html]],"&gt;"),"&gt;")&amp;"&gt;"</f>
        <v>&lt;a href="canciones/brotes_de_olivo/he_oido_tu_voz.html"&gt;</v>
      </c>
      <c r="AA380" s="1"/>
    </row>
    <row r="381" spans="1:27" x14ac:dyDescent="0.3">
      <c r="A381" s="1">
        <f>ROW(CantoralDB[[#This Row],[Título]])-1</f>
        <v>380</v>
      </c>
      <c r="B381" s="1" t="s">
        <v>2853</v>
      </c>
      <c r="C381" s="1"/>
      <c r="H381" s="1" t="s">
        <v>1027</v>
      </c>
      <c r="J381" s="1" t="s">
        <v>608</v>
      </c>
      <c r="M381" s="15" t="s">
        <v>499</v>
      </c>
      <c r="N381" s="15" t="s">
        <v>2850</v>
      </c>
      <c r="O381" s="15">
        <v>4</v>
      </c>
      <c r="P381" s="15" t="str" cm="1">
        <f t="array" ref="P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381" s="15" t="str" cm="1">
        <f t="array" ref="Q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canciones/brotes_de_olivo/pan_y_vino_de_amor.html</v>
      </c>
      <c r="S381" s="1"/>
      <c r="T381" s="1"/>
      <c r="U381" s="1"/>
      <c r="V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href="canciones/brotes_de_olivo/pan_y_vino_de_amor.html"&gt;Pan y vino de amor&lt;/a&gt;&lt;/li&gt;</v>
      </c>
      <c r="W381" s="15" t="str">
        <f>_xlfn.TEXTBEFORE(_xlfn.TEXTAFTER(CantoralDB[[#This Row],[index.html]],"&gt;"),"&gt;")&amp;"&gt;"</f>
        <v>&lt;a href="canciones/brotes_de_olivo/pan_y_vino_de_amor.html"&gt;</v>
      </c>
      <c r="AA381" s="1"/>
    </row>
    <row r="382" spans="1:27" x14ac:dyDescent="0.3">
      <c r="A382" s="1">
        <f>ROW(CantoralDB[[#This Row],[Título]])-1</f>
        <v>381</v>
      </c>
      <c r="B382" s="1" t="s">
        <v>196</v>
      </c>
      <c r="C382" s="1"/>
      <c r="H382" s="1" t="s">
        <v>531</v>
      </c>
      <c r="I382" s="1" t="s">
        <v>2962</v>
      </c>
      <c r="J382" s="1" t="s">
        <v>608</v>
      </c>
      <c r="M382" s="15" t="s">
        <v>499</v>
      </c>
      <c r="N382" s="15" t="s">
        <v>2850</v>
      </c>
      <c r="O382" s="15">
        <v>5</v>
      </c>
      <c r="P382" s="15" t="str" cm="1">
        <f t="array" ref="P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382" s="15" t="str" cm="1">
        <f t="array" ref="Q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canciones/brotes_de_olivo/santo.html</v>
      </c>
      <c r="S382" s="1"/>
      <c r="T382" s="1"/>
      <c r="U382" s="1"/>
      <c r="V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href="canciones/brotes_de_olivo/santo.html"&gt;Santo&lt;/a&gt;&lt;/li&gt;</v>
      </c>
      <c r="W382" s="15" t="str">
        <f>_xlfn.TEXTBEFORE(_xlfn.TEXTAFTER(CantoralDB[[#This Row],[index.html]],"&gt;"),"&gt;")&amp;"&gt;"</f>
        <v>&lt;a href="canciones/brotes_de_olivo/santo.html"&gt;</v>
      </c>
      <c r="AA382" s="1"/>
    </row>
    <row r="383" spans="1:27" x14ac:dyDescent="0.3">
      <c r="A383" s="1">
        <f>ROW(CantoralDB[[#This Row],[Título]])-1</f>
        <v>382</v>
      </c>
      <c r="B383" s="1" t="s">
        <v>1556</v>
      </c>
      <c r="C383" s="1"/>
      <c r="H383" s="1" t="s">
        <v>531</v>
      </c>
      <c r="J383" s="1" t="s">
        <v>608</v>
      </c>
      <c r="M383" s="15" t="s">
        <v>499</v>
      </c>
      <c r="N383" s="15" t="s">
        <v>2850</v>
      </c>
      <c r="O383" s="15">
        <v>6</v>
      </c>
      <c r="P383" s="15" t="str" cm="1">
        <f t="array" ref="P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383" s="15" t="str" cm="1">
        <f t="array" ref="Q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canciones/brotes_de_olivo/padre_nuestro.html</v>
      </c>
      <c r="S383" s="1"/>
      <c r="T383" s="1"/>
      <c r="U383" s="1"/>
      <c r="V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href="canciones/brotes_de_olivo/padre_nuestro.html"&gt;Padre nuestro&lt;/a&gt;&lt;/li&gt;</v>
      </c>
      <c r="W383" s="15" t="str">
        <f>_xlfn.TEXTBEFORE(_xlfn.TEXTAFTER(CantoralDB[[#This Row],[index.html]],"&gt;"),"&gt;")&amp;"&gt;"</f>
        <v>&lt;a href="canciones/brotes_de_olivo/padre_nuestro.html"&gt;</v>
      </c>
      <c r="AA383" s="1"/>
    </row>
    <row r="384" spans="1:27" x14ac:dyDescent="0.3">
      <c r="A384" s="1">
        <f>ROW(CantoralDB[[#This Row],[Título]])-1</f>
        <v>383</v>
      </c>
      <c r="B384" s="1" t="s">
        <v>2854</v>
      </c>
      <c r="C384" s="1"/>
      <c r="H384" s="1" t="s">
        <v>473</v>
      </c>
      <c r="I384" s="1" t="s">
        <v>2960</v>
      </c>
      <c r="J384" s="1" t="s">
        <v>608</v>
      </c>
      <c r="M384" s="15" t="s">
        <v>499</v>
      </c>
      <c r="N384" s="15" t="s">
        <v>2850</v>
      </c>
      <c r="O384" s="15">
        <v>7</v>
      </c>
      <c r="P384" s="15" t="str" cm="1">
        <f t="array" ref="P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384" s="15" t="str" cm="1">
        <f t="array" ref="Q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canciones/brotes_de_olivo/ven_junto_a_mi.html</v>
      </c>
      <c r="S384" s="1"/>
      <c r="T384" s="1"/>
      <c r="U384" s="1"/>
      <c r="V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href="canciones/brotes_de_olivo/ven_junto_a_mi.html"&gt;Ven junto a mí&lt;/a&gt;&lt;/li&gt;</v>
      </c>
      <c r="W384" s="15" t="str">
        <f>_xlfn.TEXTBEFORE(_xlfn.TEXTAFTER(CantoralDB[[#This Row],[index.html]],"&gt;"),"&gt;")&amp;"&gt;"</f>
        <v>&lt;a href="canciones/brotes_de_olivo/ven_junto_a_mi.html"&gt;</v>
      </c>
      <c r="AA384" s="1"/>
    </row>
    <row r="385" spans="1:27" x14ac:dyDescent="0.3">
      <c r="A385" s="1">
        <f>ROW(CantoralDB[[#This Row],[Título]])-1</f>
        <v>384</v>
      </c>
      <c r="B385" s="1" t="s">
        <v>2855</v>
      </c>
      <c r="C385" s="1"/>
      <c r="H385" s="1" t="s">
        <v>1027</v>
      </c>
      <c r="J385" s="1" t="s">
        <v>608</v>
      </c>
      <c r="M385" s="15" t="s">
        <v>499</v>
      </c>
      <c r="N385" s="15" t="s">
        <v>2850</v>
      </c>
      <c r="O385" s="15">
        <v>8</v>
      </c>
      <c r="P385" s="15" t="str" cm="1">
        <f t="array" ref="P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385" s="15" t="str" cm="1">
        <f t="array" ref="Q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canciones/brotes_de_olivo/nadie_contesto.html</v>
      </c>
      <c r="S385" s="1"/>
      <c r="T385" s="1"/>
      <c r="U385" s="1"/>
      <c r="V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href="canciones/brotes_de_olivo/nadie_contesto.html"&gt;Nadie contestó&lt;/a&gt;&lt;/li&gt;</v>
      </c>
      <c r="W385" s="15" t="str">
        <f>_xlfn.TEXTBEFORE(_xlfn.TEXTAFTER(CantoralDB[[#This Row],[index.html]],"&gt;"),"&gt;")&amp;"&gt;"</f>
        <v>&lt;a href="canciones/brotes_de_olivo/nadie_contesto.html"&gt;</v>
      </c>
      <c r="AA385" s="1"/>
    </row>
    <row r="386" spans="1:27" x14ac:dyDescent="0.3">
      <c r="A386" s="1">
        <f>ROW(CantoralDB[[#This Row],[Título]])-1</f>
        <v>385</v>
      </c>
      <c r="B386" s="1" t="s">
        <v>2856</v>
      </c>
      <c r="C386" s="1"/>
      <c r="H386" s="1" t="s">
        <v>531</v>
      </c>
      <c r="I386" s="1" t="s">
        <v>2960</v>
      </c>
      <c r="J386" s="1" t="s">
        <v>608</v>
      </c>
      <c r="M386" s="15" t="s">
        <v>499</v>
      </c>
      <c r="N386" s="15" t="s">
        <v>2850</v>
      </c>
      <c r="O386" s="15">
        <v>9</v>
      </c>
      <c r="P386" s="15" t="str" cm="1">
        <f t="array" ref="P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386" s="15" t="str" cm="1">
        <f t="array" ref="Q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canciones/brotes_de_olivo/tras_las_huellas_del_padre.html</v>
      </c>
      <c r="S386" s="1"/>
      <c r="T386" s="1"/>
      <c r="U386" s="1"/>
      <c r="V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href="canciones/brotes_de_olivo/tras_las_huellas_del_padre.html"&gt;Tras las huellas del Padre&lt;/a&gt;&lt;/li&gt;</v>
      </c>
      <c r="W386" s="15" t="str">
        <f>_xlfn.TEXTBEFORE(_xlfn.TEXTAFTER(CantoralDB[[#This Row],[index.html]],"&gt;"),"&gt;")&amp;"&gt;"</f>
        <v>&lt;a href="canciones/brotes_de_olivo/tras_las_huellas_del_padre.html"&gt;</v>
      </c>
      <c r="AA386" s="1"/>
    </row>
    <row r="387" spans="1:27" x14ac:dyDescent="0.3">
      <c r="A387" s="1">
        <f>ROW(CantoralDB[[#This Row],[Título]])-1</f>
        <v>386</v>
      </c>
      <c r="B387" s="1" t="s">
        <v>2857</v>
      </c>
      <c r="C387" s="1"/>
      <c r="H387" s="1" t="s">
        <v>531</v>
      </c>
      <c r="I387" s="1" t="s">
        <v>2960</v>
      </c>
      <c r="J387" s="1" t="s">
        <v>608</v>
      </c>
      <c r="M387" s="15" t="s">
        <v>499</v>
      </c>
      <c r="N387" s="15" t="s">
        <v>2850</v>
      </c>
      <c r="O387" s="15">
        <v>10</v>
      </c>
      <c r="P387" s="15" t="str" cm="1">
        <f t="array" ref="P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387" s="15" t="str" cm="1">
        <f t="array" ref="Q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canciones/brotes_de_olivo/tierra.html</v>
      </c>
      <c r="S387" s="1"/>
      <c r="T387" s="1"/>
      <c r="U387" s="1"/>
      <c r="V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href="canciones/brotes_de_olivo/tierra.html"&gt;Tierra&lt;/a&gt;&lt;/li&gt;</v>
      </c>
      <c r="W387" s="15" t="str">
        <f>_xlfn.TEXTBEFORE(_xlfn.TEXTAFTER(CantoralDB[[#This Row],[index.html]],"&gt;"),"&gt;")&amp;"&gt;"</f>
        <v>&lt;a href="canciones/brotes_de_olivo/tierra.html"&gt;</v>
      </c>
      <c r="AA387" s="1"/>
    </row>
    <row r="388" spans="1:27" x14ac:dyDescent="0.3">
      <c r="A388" s="1">
        <f>ROW(CantoralDB[[#This Row],[Título]])-1</f>
        <v>387</v>
      </c>
      <c r="B388" s="1" t="s">
        <v>2858</v>
      </c>
      <c r="C388" s="1"/>
      <c r="J388" s="1"/>
      <c r="M388" s="15" t="s">
        <v>499</v>
      </c>
      <c r="N388" s="15" t="s">
        <v>2850</v>
      </c>
      <c r="O388" s="15">
        <v>11</v>
      </c>
      <c r="P388" s="15" t="str" cm="1">
        <f t="array" ref="P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388" s="15" t="str" cm="1">
        <f t="array" ref="Q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canciones/brotes_de_olivo/sinfonia_de_las_vocales.html</v>
      </c>
      <c r="S388" s="1"/>
      <c r="T388" s="1"/>
      <c r="U388" s="1"/>
      <c r="V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href="canciones/brotes_de_olivo/sinfonia_de_las_vocales.html"&gt;Sinfonía de las vocales&lt;/a&gt;&lt;/li&gt;</v>
      </c>
      <c r="W388" s="15" t="str">
        <f>_xlfn.TEXTBEFORE(_xlfn.TEXTAFTER(CantoralDB[[#This Row],[index.html]],"&gt;"),"&gt;")&amp;"&gt;"</f>
        <v>&lt;a href="canciones/brotes_de_olivo/sinfonia_de_las_vocales.html"&gt;</v>
      </c>
      <c r="AA388" s="1"/>
    </row>
    <row r="389" spans="1:27" x14ac:dyDescent="0.3">
      <c r="A389" s="1">
        <f>ROW(CantoralDB[[#This Row],[Título]])-1</f>
        <v>388</v>
      </c>
      <c r="B389" s="1" t="s">
        <v>2859</v>
      </c>
      <c r="C389" s="1"/>
      <c r="H389" s="1" t="s">
        <v>531</v>
      </c>
      <c r="J389" s="1" t="s">
        <v>608</v>
      </c>
      <c r="M389" s="15" t="s">
        <v>499</v>
      </c>
      <c r="N389" s="15" t="s">
        <v>2850</v>
      </c>
      <c r="O389" s="15">
        <v>12</v>
      </c>
      <c r="P389" s="15" t="str" cm="1">
        <f t="array" ref="P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389" s="15" t="str" cm="1">
        <f t="array" ref="Q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canciones/brotes_de_olivo/todos_juntos.html</v>
      </c>
      <c r="S389" s="1"/>
      <c r="T389" s="1"/>
      <c r="U389" s="1"/>
      <c r="V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href="canciones/brotes_de_olivo/todos_juntos.html"&gt;Todos juntos&lt;/a&gt;&lt;/li&gt;</v>
      </c>
      <c r="W389" s="15" t="str">
        <f>_xlfn.TEXTBEFORE(_xlfn.TEXTAFTER(CantoralDB[[#This Row],[index.html]],"&gt;"),"&gt;")&amp;"&gt;"</f>
        <v>&lt;a href="canciones/brotes_de_olivo/todos_juntos.html"&gt;</v>
      </c>
      <c r="AA389" s="1"/>
    </row>
    <row r="390" spans="1:27" x14ac:dyDescent="0.3">
      <c r="A390" s="1">
        <f>ROW(CantoralDB[[#This Row],[Título]])-1</f>
        <v>389</v>
      </c>
      <c r="B390" s="1" t="s">
        <v>2860</v>
      </c>
      <c r="C390" s="1"/>
      <c r="J390" s="1"/>
      <c r="M390" s="15" t="s">
        <v>499</v>
      </c>
      <c r="N390" s="15" t="s">
        <v>2850</v>
      </c>
      <c r="O390" s="15">
        <v>13</v>
      </c>
      <c r="P390" s="15" t="str" cm="1">
        <f t="array" ref="P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390" s="15" t="str" cm="1">
        <f t="array" ref="Q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canciones/brotes_de_olivo/y_el_septimo_descanso.html</v>
      </c>
      <c r="S390" s="1"/>
      <c r="T390" s="1"/>
      <c r="U390" s="1"/>
      <c r="V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href="canciones/brotes_de_olivo/y_el_septimo_descanso.html"&gt;Y el séptimo descansó&lt;/a&gt;&lt;/li&gt;</v>
      </c>
      <c r="W390" s="15" t="str">
        <f>_xlfn.TEXTBEFORE(_xlfn.TEXTAFTER(CantoralDB[[#This Row],[index.html]],"&gt;"),"&gt;")&amp;"&gt;"</f>
        <v>&lt;a href="canciones/brotes_de_olivo/y_el_septimo_descanso.html"&gt;</v>
      </c>
      <c r="AA390" s="1"/>
    </row>
    <row r="391" spans="1:27" x14ac:dyDescent="0.3">
      <c r="A391" s="1">
        <f>ROW(CantoralDB[[#This Row],[Título]])-1</f>
        <v>390</v>
      </c>
      <c r="B391" s="1" t="s">
        <v>2370</v>
      </c>
      <c r="C391" s="1"/>
      <c r="H391" s="1" t="s">
        <v>531</v>
      </c>
      <c r="J391" s="1" t="s">
        <v>608</v>
      </c>
      <c r="M391" s="15" t="s">
        <v>499</v>
      </c>
      <c r="N391" s="15" t="s">
        <v>2369</v>
      </c>
      <c r="O391" s="15">
        <v>1</v>
      </c>
      <c r="P391" s="15" t="str" cm="1">
        <f t="array" ref="P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391" s="15" t="str" cm="1">
        <f t="array" ref="Q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canciones/brotes_de_olivo/allanad_los_caminos.html</v>
      </c>
      <c r="S391" s="1"/>
      <c r="T391" s="1"/>
      <c r="U391" s="1"/>
      <c r="V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href="canciones/brotes_de_olivo/allanad_los_caminos.html"&gt;Allanad los caminos&lt;/a&gt;&lt;/li&gt;</v>
      </c>
      <c r="W391" s="15" t="str">
        <f>_xlfn.TEXTBEFORE(_xlfn.TEXTAFTER(CantoralDB[[#This Row],[index.html]],"&gt;"),"&gt;")&amp;"&gt;"</f>
        <v>&lt;a href="canciones/brotes_de_olivo/allanad_los_caminos.html"&gt;</v>
      </c>
      <c r="AA391" s="1"/>
    </row>
    <row r="392" spans="1:27" x14ac:dyDescent="0.3">
      <c r="A392" s="1">
        <f>ROW(CantoralDB[[#This Row],[Título]])-1</f>
        <v>391</v>
      </c>
      <c r="B392" s="1" t="s">
        <v>2371</v>
      </c>
      <c r="C392" s="1"/>
      <c r="H392" s="1" t="s">
        <v>1027</v>
      </c>
      <c r="I392" s="1" t="s">
        <v>2961</v>
      </c>
      <c r="J392" s="1" t="s">
        <v>608</v>
      </c>
      <c r="M392" s="15" t="s">
        <v>499</v>
      </c>
      <c r="N392" s="15" t="s">
        <v>2369</v>
      </c>
      <c r="O392" s="15">
        <v>2</v>
      </c>
      <c r="P392" s="15" t="str" cm="1">
        <f t="array" ref="P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392" s="15" t="str" cm="1">
        <f t="array" ref="Q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canciones/brotes_de_olivo/las_bodas_de_cana.html</v>
      </c>
      <c r="S392" s="1"/>
      <c r="T392" s="1"/>
      <c r="U392" s="1"/>
      <c r="V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href="canciones/brotes_de_olivo/las_bodas_de_cana.html"&gt;Las bodas de Caná&lt;/a&gt;&lt;/li&gt;</v>
      </c>
      <c r="W392" s="15" t="str">
        <f>_xlfn.TEXTBEFORE(_xlfn.TEXTAFTER(CantoralDB[[#This Row],[index.html]],"&gt;"),"&gt;")&amp;"&gt;"</f>
        <v>&lt;a href="canciones/brotes_de_olivo/las_bodas_de_cana.html"&gt;</v>
      </c>
      <c r="AA392" s="1"/>
    </row>
    <row r="393" spans="1:27" x14ac:dyDescent="0.3">
      <c r="A393" s="1">
        <f>ROW(CantoralDB[[#This Row],[Título]])-1</f>
        <v>392</v>
      </c>
      <c r="B393" s="1" t="s">
        <v>2372</v>
      </c>
      <c r="C393" s="1"/>
      <c r="H393" s="1" t="s">
        <v>531</v>
      </c>
      <c r="J393" s="1" t="s">
        <v>608</v>
      </c>
      <c r="M393" s="15" t="s">
        <v>499</v>
      </c>
      <c r="N393" s="15" t="s">
        <v>2369</v>
      </c>
      <c r="O393" s="15">
        <v>3</v>
      </c>
      <c r="P393" s="15" t="str" cm="1">
        <f t="array" ref="P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393" s="15" t="str" cm="1">
        <f t="array" ref="Q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canciones/brotes_de_olivo/el_soplo_de_dios.html</v>
      </c>
      <c r="S393" s="1"/>
      <c r="T393" s="1"/>
      <c r="U393" s="1"/>
      <c r="V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href="canciones/brotes_de_olivo/el_soplo_de_dios.html"&gt;El soplo de Dios&lt;/a&gt;&lt;/li&gt;</v>
      </c>
      <c r="W393" s="15" t="str">
        <f>_xlfn.TEXTBEFORE(_xlfn.TEXTAFTER(CantoralDB[[#This Row],[index.html]],"&gt;"),"&gt;")&amp;"&gt;"</f>
        <v>&lt;a href="canciones/brotes_de_olivo/el_soplo_de_dios.html"&gt;</v>
      </c>
      <c r="AA393" s="1"/>
    </row>
    <row r="394" spans="1:27" x14ac:dyDescent="0.3">
      <c r="A394" s="1">
        <f>ROW(CantoralDB[[#This Row],[Título]])-1</f>
        <v>393</v>
      </c>
      <c r="B394" s="1" t="s">
        <v>2373</v>
      </c>
      <c r="C394" s="1"/>
      <c r="H394" s="1" t="s">
        <v>531</v>
      </c>
      <c r="I394" s="1" t="s">
        <v>2961</v>
      </c>
      <c r="J394" s="1" t="s">
        <v>608</v>
      </c>
      <c r="M394" s="15" t="s">
        <v>499</v>
      </c>
      <c r="N394" s="15" t="s">
        <v>2369</v>
      </c>
      <c r="O394" s="15">
        <v>4</v>
      </c>
      <c r="P394" s="15" t="str" cm="1">
        <f t="array" ref="P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394" s="15" t="str" cm="1">
        <f t="array" ref="Q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canciones/brotes_de_olivo/el_agua_viva.html</v>
      </c>
      <c r="S394" s="1"/>
      <c r="T394" s="1"/>
      <c r="U394" s="1"/>
      <c r="V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href="canciones/brotes_de_olivo/el_agua_viva.html"&gt;El agua viva&lt;/a&gt;&lt;/li&gt;</v>
      </c>
      <c r="W394" s="15" t="str">
        <f>_xlfn.TEXTBEFORE(_xlfn.TEXTAFTER(CantoralDB[[#This Row],[index.html]],"&gt;"),"&gt;")&amp;"&gt;"</f>
        <v>&lt;a href="canciones/brotes_de_olivo/el_agua_viva.html"&gt;</v>
      </c>
      <c r="AA394" s="1"/>
    </row>
    <row r="395" spans="1:27" x14ac:dyDescent="0.3">
      <c r="A395" s="1">
        <f>ROW(CantoralDB[[#This Row],[Título]])-1</f>
        <v>394</v>
      </c>
      <c r="B395" s="1" t="s">
        <v>2374</v>
      </c>
      <c r="C395" s="1"/>
      <c r="J395" s="1"/>
      <c r="M395" s="15" t="s">
        <v>499</v>
      </c>
      <c r="N395" s="15" t="s">
        <v>2369</v>
      </c>
      <c r="O395" s="15">
        <v>5</v>
      </c>
      <c r="P395" s="15" t="str" cm="1">
        <f t="array" ref="P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395" s="15" t="str" cm="1">
        <f t="array" ref="Q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canciones/brotes_de_olivo/la_piscina_probatica.html</v>
      </c>
      <c r="S395" s="1"/>
      <c r="T395" s="1"/>
      <c r="U395" s="1"/>
      <c r="V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href="canciones/brotes_de_olivo/la_piscina_probatica.html"&gt;La piscina probática&lt;/a&gt;&lt;/li&gt;</v>
      </c>
      <c r="W395" s="15" t="str">
        <f>_xlfn.TEXTBEFORE(_xlfn.TEXTAFTER(CantoralDB[[#This Row],[index.html]],"&gt;"),"&gt;")&amp;"&gt;"</f>
        <v>&lt;a href="canciones/brotes_de_olivo/la_piscina_probatica.html"&gt;</v>
      </c>
      <c r="AA395" s="1"/>
    </row>
    <row r="396" spans="1:27" x14ac:dyDescent="0.3">
      <c r="A396" s="1">
        <f>ROW(CantoralDB[[#This Row],[Título]])-1</f>
        <v>395</v>
      </c>
      <c r="B396" s="1" t="s">
        <v>2375</v>
      </c>
      <c r="C396" s="1"/>
      <c r="H396" s="1" t="s">
        <v>1027</v>
      </c>
      <c r="I396" s="1" t="s">
        <v>2962</v>
      </c>
      <c r="J396" s="1" t="s">
        <v>608</v>
      </c>
      <c r="M396" s="15" t="s">
        <v>499</v>
      </c>
      <c r="N396" s="15" t="s">
        <v>2369</v>
      </c>
      <c r="O396" s="15">
        <v>6</v>
      </c>
      <c r="P396" s="15" t="str" cm="1">
        <f t="array" ref="P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396" s="15" t="str" cm="1">
        <f t="array" ref="Q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canciones/brotes_de_olivo/el_pan_de_vida.html</v>
      </c>
      <c r="S396" s="1"/>
      <c r="T396" s="1"/>
      <c r="U396" s="1"/>
      <c r="V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href="canciones/brotes_de_olivo/el_pan_de_vida.html"&gt;El pan de vida&lt;/a&gt;&lt;/li&gt;</v>
      </c>
      <c r="W396" s="15" t="str">
        <f>_xlfn.TEXTBEFORE(_xlfn.TEXTAFTER(CantoralDB[[#This Row],[index.html]],"&gt;"),"&gt;")&amp;"&gt;"</f>
        <v>&lt;a href="canciones/brotes_de_olivo/el_pan_de_vida.html"&gt;</v>
      </c>
      <c r="AA396" s="1"/>
    </row>
    <row r="397" spans="1:27" x14ac:dyDescent="0.3">
      <c r="A397" s="1">
        <f>ROW(CantoralDB[[#This Row],[Título]])-1</f>
        <v>396</v>
      </c>
      <c r="B397" s="1" t="s">
        <v>2376</v>
      </c>
      <c r="C397" s="1"/>
      <c r="H397" s="1" t="s">
        <v>473</v>
      </c>
      <c r="I397" s="1" t="s">
        <v>2960</v>
      </c>
      <c r="J397" s="1" t="s">
        <v>608</v>
      </c>
      <c r="M397" s="15" t="s">
        <v>499</v>
      </c>
      <c r="N397" s="15" t="s">
        <v>2369</v>
      </c>
      <c r="O397" s="15">
        <v>7</v>
      </c>
      <c r="P397" s="15" t="str" cm="1">
        <f t="array" ref="P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397" s="15" t="str" cm="1">
        <f t="array" ref="Q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canciones/brotes_de_olivo/quien_tirara_la_primera_piedra.html</v>
      </c>
      <c r="S397" s="1"/>
      <c r="T397" s="1"/>
      <c r="U397" s="1"/>
      <c r="V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href="canciones/brotes_de_olivo/quien_tirara_la_primera_piedra.html"&gt;Quién tirará la primera piedra&lt;/a&gt;&lt;/li&gt;</v>
      </c>
      <c r="W397" s="15" t="str">
        <f>_xlfn.TEXTBEFORE(_xlfn.TEXTAFTER(CantoralDB[[#This Row],[index.html]],"&gt;"),"&gt;")&amp;"&gt;"</f>
        <v>&lt;a href="canciones/brotes_de_olivo/quien_tirara_la_primera_piedra.html"&gt;</v>
      </c>
      <c r="AA397" s="1"/>
    </row>
    <row r="398" spans="1:27" x14ac:dyDescent="0.3">
      <c r="A398" s="1">
        <f>ROW(CantoralDB[[#This Row],[Título]])-1</f>
        <v>397</v>
      </c>
      <c r="B398" s="1" t="s">
        <v>2377</v>
      </c>
      <c r="C398" s="1"/>
      <c r="H398" s="1" t="s">
        <v>531</v>
      </c>
      <c r="I398" s="1" t="s">
        <v>2962</v>
      </c>
      <c r="J398" s="1" t="s">
        <v>608</v>
      </c>
      <c r="M398" s="15" t="s">
        <v>499</v>
      </c>
      <c r="N398" s="15" t="s">
        <v>2369</v>
      </c>
      <c r="O398" s="15">
        <v>8</v>
      </c>
      <c r="P398" s="15" t="str" cm="1">
        <f t="array" ref="P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398" s="15" t="str" cm="1">
        <f t="array" ref="Q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canciones/brotes_de_olivo/el_buen_pastor.html</v>
      </c>
      <c r="S398" s="1"/>
      <c r="T398" s="1"/>
      <c r="U398" s="1"/>
      <c r="V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href="canciones/brotes_de_olivo/el_buen_pastor.html"&gt;El buen pastor&lt;/a&gt;&lt;/li&gt;</v>
      </c>
      <c r="W398" s="15" t="str">
        <f>_xlfn.TEXTBEFORE(_xlfn.TEXTAFTER(CantoralDB[[#This Row],[index.html]],"&gt;"),"&gt;")&amp;"&gt;"</f>
        <v>&lt;a href="canciones/brotes_de_olivo/el_buen_pastor.html"&gt;</v>
      </c>
      <c r="AA398" s="1"/>
    </row>
    <row r="399" spans="1:27" x14ac:dyDescent="0.3">
      <c r="A399" s="1">
        <f>ROW(CantoralDB[[#This Row],[Título]])-1</f>
        <v>398</v>
      </c>
      <c r="B399" s="1" t="s">
        <v>2378</v>
      </c>
      <c r="C399" s="1"/>
      <c r="H399" s="1" t="s">
        <v>531</v>
      </c>
      <c r="I399" s="1" t="s">
        <v>2963</v>
      </c>
      <c r="J399" s="1" t="s">
        <v>608</v>
      </c>
      <c r="M399" s="15" t="s">
        <v>499</v>
      </c>
      <c r="N399" s="15" t="s">
        <v>2369</v>
      </c>
      <c r="O399" s="15">
        <v>9</v>
      </c>
      <c r="P399" s="15" t="str" cm="1">
        <f t="array" ref="P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399" s="15" t="str" cm="1">
        <f t="array" ref="Q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canciones/brotes_de_olivo/vivir_en_el_señor.html</v>
      </c>
      <c r="S399" s="1"/>
      <c r="T399" s="1"/>
      <c r="U399" s="1"/>
      <c r="V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href="canciones/brotes_de_olivo/vivir_en_el_señor.html"&gt;Vivir en el Señor&lt;/a&gt;&lt;/li&gt;</v>
      </c>
      <c r="W399" s="15" t="str">
        <f>_xlfn.TEXTBEFORE(_xlfn.TEXTAFTER(CantoralDB[[#This Row],[index.html]],"&gt;"),"&gt;")&amp;"&gt;"</f>
        <v>&lt;a href="canciones/brotes_de_olivo/vivir_en_el_señor.html"&gt;</v>
      </c>
      <c r="AA399" s="1"/>
    </row>
    <row r="400" spans="1:27" x14ac:dyDescent="0.3">
      <c r="A400" s="1">
        <f>ROW(CantoralDB[[#This Row],[Título]])-1</f>
        <v>399</v>
      </c>
      <c r="B400" s="1" t="s">
        <v>2379</v>
      </c>
      <c r="C400" s="1"/>
      <c r="H400" s="1" t="s">
        <v>1027</v>
      </c>
      <c r="J400" s="1" t="s">
        <v>608</v>
      </c>
      <c r="M400" s="15" t="s">
        <v>499</v>
      </c>
      <c r="N400" s="15" t="s">
        <v>2369</v>
      </c>
      <c r="O400" s="15">
        <v>10</v>
      </c>
      <c r="P400" s="15" t="str" cm="1">
        <f t="array" ref="P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400" s="15" t="str" cm="1">
        <f t="array" ref="Q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canciones/brotes_de_olivo/amaos_unos_a_otros.html</v>
      </c>
      <c r="S400" s="1"/>
      <c r="T400" s="1"/>
      <c r="U400" s="1"/>
      <c r="V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href="canciones/brotes_de_olivo/amaos_unos_a_otros.html"&gt;Amaos unos a otros&lt;/a&gt;&lt;/li&gt;</v>
      </c>
      <c r="W400" s="15" t="str">
        <f>_xlfn.TEXTBEFORE(_xlfn.TEXTAFTER(CantoralDB[[#This Row],[index.html]],"&gt;"),"&gt;")&amp;"&gt;"</f>
        <v>&lt;a href="canciones/brotes_de_olivo/amaos_unos_a_otros.html"&gt;</v>
      </c>
      <c r="AA400" s="1"/>
    </row>
    <row r="401" spans="1:27" x14ac:dyDescent="0.3">
      <c r="A401" s="1">
        <f>ROW(CantoralDB[[#This Row],[Título]])-1</f>
        <v>400</v>
      </c>
      <c r="B401" s="1" t="s">
        <v>2380</v>
      </c>
      <c r="C401" s="1"/>
      <c r="H401" s="1" t="s">
        <v>1030</v>
      </c>
      <c r="I401" s="1" t="s">
        <v>2961</v>
      </c>
      <c r="J401" s="1" t="s">
        <v>608</v>
      </c>
      <c r="M401" s="15" t="s">
        <v>499</v>
      </c>
      <c r="N401" s="15" t="s">
        <v>2369</v>
      </c>
      <c r="O401" s="15">
        <v>11</v>
      </c>
      <c r="P401" s="15" t="str" cm="1">
        <f t="array" ref="P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401" s="15" t="str" cm="1">
        <f t="array" ref="Q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canciones/brotes_de_olivo/yo_soy_el_que_sirve.html</v>
      </c>
      <c r="S401" s="1"/>
      <c r="T401" s="1"/>
      <c r="U401" s="1"/>
      <c r="V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href="canciones/brotes_de_olivo/yo_soy_el_que_sirve.html"&gt;Yo soy el que sirve&lt;/a&gt;&lt;/li&gt;</v>
      </c>
      <c r="W401" s="15" t="str">
        <f>_xlfn.TEXTBEFORE(_xlfn.TEXTAFTER(CantoralDB[[#This Row],[index.html]],"&gt;"),"&gt;")&amp;"&gt;"</f>
        <v>&lt;a href="canciones/brotes_de_olivo/yo_soy_el_que_sirve.html"&gt;</v>
      </c>
      <c r="AA401" s="1"/>
    </row>
    <row r="402" spans="1:27" x14ac:dyDescent="0.3">
      <c r="A402" s="1">
        <f>ROW(CantoralDB[[#This Row],[Título]])-1</f>
        <v>401</v>
      </c>
      <c r="B402" s="1" t="s">
        <v>2381</v>
      </c>
      <c r="C402" s="1"/>
      <c r="H402" s="1" t="s">
        <v>531</v>
      </c>
      <c r="I402" s="1" t="s">
        <v>2962</v>
      </c>
      <c r="J402" s="1" t="s">
        <v>608</v>
      </c>
      <c r="M402" s="15" t="s">
        <v>499</v>
      </c>
      <c r="N402" s="15" t="s">
        <v>2369</v>
      </c>
      <c r="O402" s="15">
        <v>12</v>
      </c>
      <c r="P402" s="15" t="str" cm="1">
        <f t="array" ref="P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402" s="15" t="str" cm="1">
        <f t="array" ref="Q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canciones/brotes_de_olivo/la_vid_y_los_sarmientos.html</v>
      </c>
      <c r="S402" s="1"/>
      <c r="T402" s="1"/>
      <c r="U402" s="1"/>
      <c r="V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href="canciones/brotes_de_olivo/la_vid_y_los_sarmientos.html"&gt;La vid y los sarmientos&lt;/a&gt;&lt;/li&gt;</v>
      </c>
      <c r="W402" s="15" t="str">
        <f>_xlfn.TEXTBEFORE(_xlfn.TEXTAFTER(CantoralDB[[#This Row],[index.html]],"&gt;"),"&gt;")&amp;"&gt;"</f>
        <v>&lt;a href="canciones/brotes_de_olivo/la_vid_y_los_sarmientos.html"&gt;</v>
      </c>
      <c r="AA402" s="1"/>
    </row>
    <row r="403" spans="1:27" x14ac:dyDescent="0.3">
      <c r="A403" s="1">
        <f>ROW(CantoralDB[[#This Row],[Título]])-1</f>
        <v>402</v>
      </c>
      <c r="B403" s="1" t="s">
        <v>2382</v>
      </c>
      <c r="C403" s="1"/>
      <c r="H403" s="1" t="s">
        <v>1030</v>
      </c>
      <c r="I403" s="1" t="s">
        <v>2960</v>
      </c>
      <c r="J403" s="1" t="s">
        <v>608</v>
      </c>
      <c r="M403" s="15" t="s">
        <v>499</v>
      </c>
      <c r="N403" s="15" t="s">
        <v>2369</v>
      </c>
      <c r="O403" s="15">
        <v>13</v>
      </c>
      <c r="P403" s="15" t="str" cm="1">
        <f t="array" ref="P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403" s="15" t="str" cm="1">
        <f t="array" ref="Q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canciones/brotes_de_olivo/siempre_estare_con_vosotros.html</v>
      </c>
      <c r="S403" s="1"/>
      <c r="T403" s="1"/>
      <c r="U403" s="1"/>
      <c r="V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href="canciones/brotes_de_olivo/siempre_estare_con_vosotros.html"&gt;Siempre estaré con vosotros&lt;/a&gt;&lt;/li&gt;</v>
      </c>
      <c r="W403" s="15" t="str">
        <f>_xlfn.TEXTBEFORE(_xlfn.TEXTAFTER(CantoralDB[[#This Row],[index.html]],"&gt;"),"&gt;")&amp;"&gt;"</f>
        <v>&lt;a href="canciones/brotes_de_olivo/siempre_estare_con_vosotros.html"&gt;</v>
      </c>
      <c r="AA403" s="1"/>
    </row>
    <row r="404" spans="1:27" x14ac:dyDescent="0.3">
      <c r="A404" s="1">
        <f>ROW(CantoralDB[[#This Row],[Título]])-1</f>
        <v>403</v>
      </c>
      <c r="B404" s="1" t="s">
        <v>2383</v>
      </c>
      <c r="C404" s="1"/>
      <c r="H404" s="1" t="s">
        <v>531</v>
      </c>
      <c r="I404" s="1" t="s">
        <v>2961</v>
      </c>
      <c r="J404" s="1" t="s">
        <v>608</v>
      </c>
      <c r="M404" s="15" t="s">
        <v>499</v>
      </c>
      <c r="N404" s="15" t="s">
        <v>2369</v>
      </c>
      <c r="O404" s="15">
        <v>14</v>
      </c>
      <c r="P404" s="15" t="str" cm="1">
        <f t="array" ref="P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404" s="15" t="str" cm="1">
        <f t="array" ref="Q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canciones/brotes_de_olivo/el_juicio_de_cristo.html</v>
      </c>
      <c r="S404" s="1"/>
      <c r="T404" s="1"/>
      <c r="U404" s="1"/>
      <c r="V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href="canciones/brotes_de_olivo/el_juicio_de_cristo.html"&gt;El juicio de Cristo&lt;/a&gt;&lt;/li&gt;</v>
      </c>
      <c r="W404" s="15" t="str">
        <f>_xlfn.TEXTBEFORE(_xlfn.TEXTAFTER(CantoralDB[[#This Row],[index.html]],"&gt;"),"&gt;")&amp;"&gt;"</f>
        <v>&lt;a href="canciones/brotes_de_olivo/el_juicio_de_cristo.html"&gt;</v>
      </c>
      <c r="AA404" s="1"/>
    </row>
    <row r="405" spans="1:27" x14ac:dyDescent="0.3">
      <c r="A405" s="1">
        <f>ROW(CantoralDB[[#This Row],[Título]])-1</f>
        <v>404</v>
      </c>
      <c r="B405" s="1" t="s">
        <v>2384</v>
      </c>
      <c r="C405" s="1"/>
      <c r="H405" s="1" t="s">
        <v>473</v>
      </c>
      <c r="J405" s="1" t="s">
        <v>608</v>
      </c>
      <c r="M405" s="15" t="s">
        <v>499</v>
      </c>
      <c r="N405" s="15" t="s">
        <v>2369</v>
      </c>
      <c r="O405" s="15">
        <v>15</v>
      </c>
      <c r="P405" s="15" t="str" cm="1">
        <f t="array" ref="P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405" s="15" t="str" cm="1">
        <f t="array" ref="Q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R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canciones/brotes_de_olivo/aleluya_el_señor_resucito.html</v>
      </c>
      <c r="S405" s="1"/>
      <c r="T405" s="1"/>
      <c r="U405" s="1"/>
      <c r="V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href="canciones/brotes_de_olivo/aleluya_el_señor_resucito.html"&gt;Aleluya, el Señor resucitó&lt;/a&gt;&lt;/li&gt;</v>
      </c>
      <c r="W405" s="15" t="str">
        <f>_xlfn.TEXTBEFORE(_xlfn.TEXTAFTER(CantoralDB[[#This Row],[index.html]],"&gt;"),"&gt;")&amp;"&gt;"</f>
        <v>&lt;a href="canciones/brotes_de_olivo/aleluya_el_señor_resucito.html"&gt;</v>
      </c>
      <c r="AA405" s="1"/>
    </row>
    <row r="406" spans="1:27" x14ac:dyDescent="0.3">
      <c r="A406" s="1">
        <f>ROW(CantoralDB[[#This Row],[Título]])-1</f>
        <v>405</v>
      </c>
      <c r="B406" s="1" t="s">
        <v>15</v>
      </c>
      <c r="C406" s="1" t="s">
        <v>194</v>
      </c>
      <c r="D406" s="1" t="s">
        <v>1374</v>
      </c>
      <c r="E406" s="1">
        <v>405</v>
      </c>
      <c r="G406" s="1" t="s">
        <v>209</v>
      </c>
      <c r="H406" s="1" t="s">
        <v>1030</v>
      </c>
      <c r="J406" s="1" t="s">
        <v>608</v>
      </c>
      <c r="M406" s="15" t="s">
        <v>499</v>
      </c>
      <c r="N406" s="15"/>
      <c r="O406" s="15"/>
      <c r="P406" s="15" t="str" cm="1">
        <f t="array" ref="P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406" s="15" t="str" cm="1">
        <f t="array" ref="Q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canciones/brotes_de_olivo/aleluya_cantara.html</v>
      </c>
      <c r="S406" s="1"/>
      <c r="T406" s="1"/>
      <c r="U406" s="1"/>
      <c r="V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data-momento="Aleluya" data-nnew="E04" data-nold="405"&gt;&lt;a href="canciones/brotes_de_olivo/aleluya_cantara.html"&gt;Aleluya cantará&lt;/a&gt;&lt;/li&gt;</v>
      </c>
      <c r="W406" s="15" t="str">
        <f>_xlfn.TEXTBEFORE(_xlfn.TEXTAFTER(CantoralDB[[#This Row],[index.html]],"&gt;"),"&gt;")&amp;"&gt;"</f>
        <v>&lt;a href="canciones/brotes_de_olivo/aleluya_cantara.html"&gt;</v>
      </c>
      <c r="AA406" s="1"/>
    </row>
    <row r="407" spans="1:27" x14ac:dyDescent="0.3">
      <c r="A407" s="1">
        <f>ROW(CantoralDB[[#This Row],[Título]])-1</f>
        <v>406</v>
      </c>
      <c r="B407" s="1" t="s">
        <v>49</v>
      </c>
      <c r="C407" s="1" t="s">
        <v>993</v>
      </c>
      <c r="D407" s="1" t="s">
        <v>698</v>
      </c>
      <c r="E407" s="1">
        <v>419</v>
      </c>
      <c r="G407" s="1" t="s">
        <v>209</v>
      </c>
      <c r="H407" s="1" t="s">
        <v>1027</v>
      </c>
      <c r="J407" s="1" t="s">
        <v>608</v>
      </c>
      <c r="M407" s="15" t="s">
        <v>499</v>
      </c>
      <c r="N407" s="15"/>
      <c r="O407" s="15"/>
      <c r="P407" s="15" t="str" cm="1">
        <f t="array" ref="P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407" s="15" t="str" cm="1">
        <f t="array" ref="Q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canciones/brotes_de_olivo/el_calor_de_tu_palabra.html</v>
      </c>
      <c r="S407" s="1"/>
      <c r="T407" s="1"/>
      <c r="U407" s="1"/>
      <c r="V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data-nnew="K25" data-nold="419"&gt;&lt;a href="canciones/brotes_de_olivo/el_calor_de_tu_palabra.html"&gt;El calor de tu palabra&lt;/a&gt;&lt;/li&gt;</v>
      </c>
      <c r="W407" s="15" t="str">
        <f>_xlfn.TEXTBEFORE(_xlfn.TEXTAFTER(CantoralDB[[#This Row],[index.html]],"&gt;"),"&gt;")&amp;"&gt;"</f>
        <v>&lt;a href="canciones/brotes_de_olivo/el_calor_de_tu_palabra.html"&gt;</v>
      </c>
      <c r="AA407" s="1"/>
    </row>
    <row r="408" spans="1:27" x14ac:dyDescent="0.3">
      <c r="A408" s="1">
        <f>ROW(CantoralDB[[#This Row],[Título]])-1</f>
        <v>407</v>
      </c>
      <c r="B408" s="1" t="s">
        <v>59</v>
      </c>
      <c r="C408" s="1" t="s">
        <v>201</v>
      </c>
      <c r="D408" s="1" t="s">
        <v>654</v>
      </c>
      <c r="E408" s="1">
        <v>423</v>
      </c>
      <c r="G408" s="1" t="s">
        <v>209</v>
      </c>
      <c r="H408" s="1" t="s">
        <v>1027</v>
      </c>
      <c r="J408" s="1" t="s">
        <v>608</v>
      </c>
      <c r="M408" s="15" t="s">
        <v>499</v>
      </c>
      <c r="N408" s="15"/>
      <c r="O408" s="15"/>
      <c r="P408" s="15" t="str" cm="1">
        <f t="array" ref="P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408" s="15" t="str" cm="1">
        <f t="array" ref="Q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canciones/brotes_de_olivo/en_mi_debilidad.html</v>
      </c>
      <c r="S408" s="1" t="s">
        <v>830</v>
      </c>
      <c r="T408" s="1"/>
      <c r="U408" s="1"/>
      <c r="V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data-nnew="D16" data-nold="423"&gt;&lt;a href="canciones/brotes_de_olivo/en_mi_debilidad.html"&gt;En mi debilidad&lt;/a&gt;&lt;/li&gt;</v>
      </c>
      <c r="W408" s="15" t="str">
        <f>_xlfn.TEXTBEFORE(_xlfn.TEXTAFTER(CantoralDB[[#This Row],[index.html]],"&gt;"),"&gt;")&amp;"&gt;"</f>
        <v>&lt;a href="canciones/brotes_de_olivo/en_mi_debilidad.html"&gt;</v>
      </c>
      <c r="AA408" s="1"/>
    </row>
    <row r="409" spans="1:27" x14ac:dyDescent="0.3">
      <c r="A409" s="1">
        <f>ROW(CantoralDB[[#This Row],[Título]])-1</f>
        <v>408</v>
      </c>
      <c r="B409" s="1" t="s">
        <v>95</v>
      </c>
      <c r="C409" s="1" t="s">
        <v>201</v>
      </c>
      <c r="D409" s="1" t="s">
        <v>664</v>
      </c>
      <c r="E409" s="1">
        <v>438</v>
      </c>
      <c r="F409" s="1">
        <v>317</v>
      </c>
      <c r="G409" s="1" t="s">
        <v>209</v>
      </c>
      <c r="H409" s="1" t="s">
        <v>531</v>
      </c>
      <c r="J409" s="1" t="s">
        <v>608</v>
      </c>
      <c r="M409" s="15" t="s">
        <v>499</v>
      </c>
      <c r="N409" s="15"/>
      <c r="O409" s="15"/>
      <c r="P409" s="15" t="str" cm="1">
        <f t="array" ref="P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409" s="15" t="str" cm="1">
        <f t="array" ref="Q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canciones/brotes_de_olivo/nada_nos_separara.html</v>
      </c>
      <c r="S409" s="1"/>
      <c r="T409" s="1"/>
      <c r="U409" s="1"/>
      <c r="V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data-nnew="D26" data-nold="438"&gt;&lt;a href="canciones/brotes_de_olivo/nada_nos_separara.html"&gt;Nada nos separará&lt;/a&gt;&lt;/li&gt;</v>
      </c>
      <c r="W409" s="15" t="str">
        <f>_xlfn.TEXTBEFORE(_xlfn.TEXTAFTER(CantoralDB[[#This Row],[index.html]],"&gt;"),"&gt;")&amp;"&gt;"</f>
        <v>&lt;a href="canciones/brotes_de_olivo/nada_nos_separara.html"&gt;</v>
      </c>
      <c r="AA409" s="1"/>
    </row>
    <row r="410" spans="1:27" x14ac:dyDescent="0.3">
      <c r="A410" s="1">
        <f>ROW(CantoralDB[[#This Row],[Título]])-1</f>
        <v>409</v>
      </c>
      <c r="B410" s="1" t="s">
        <v>2398</v>
      </c>
      <c r="C410" s="1"/>
      <c r="F410" s="1">
        <v>13</v>
      </c>
      <c r="J410" s="1"/>
      <c r="M410" s="15" t="s">
        <v>499</v>
      </c>
      <c r="N410" s="15"/>
      <c r="O410" s="15"/>
      <c r="P410" s="15" t="str" cm="1">
        <f t="array" ref="P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410" s="15" t="str" cm="1">
        <f t="array" ref="Q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canciones/brotes_de_olivo/se_que_voy_contigo.html</v>
      </c>
      <c r="S410" s="1"/>
      <c r="T410" s="1"/>
      <c r="U410" s="1"/>
      <c r="V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href="canciones/brotes_de_olivo/se_que_voy_contigo.html"&gt;Sé que voy contigo&lt;/a&gt;&lt;/li&gt;</v>
      </c>
      <c r="W410" s="15" t="str">
        <f>_xlfn.TEXTBEFORE(_xlfn.TEXTAFTER(CantoralDB[[#This Row],[index.html]],"&gt;"),"&gt;")&amp;"&gt;"</f>
        <v>&lt;a href="canciones/brotes_de_olivo/se_que_voy_contigo.html"&gt;</v>
      </c>
      <c r="AA410" s="1"/>
    </row>
    <row r="411" spans="1:27" x14ac:dyDescent="0.3">
      <c r="A411" s="1">
        <f>ROW(CantoralDB[[#This Row],[Título]])-1</f>
        <v>410</v>
      </c>
      <c r="B411" s="1" t="s">
        <v>2584</v>
      </c>
      <c r="C411" s="1"/>
      <c r="F411" s="1">
        <v>185</v>
      </c>
      <c r="J411" s="1"/>
      <c r="M411" s="15" t="s">
        <v>499</v>
      </c>
      <c r="N411" s="15"/>
      <c r="O411" s="15"/>
      <c r="P411" s="15" t="str" cm="1">
        <f t="array" ref="P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411" s="15" t="str" cm="1">
        <f t="array" ref="Q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canciones/brotes_de_olivo/bendita_la_nacion.html</v>
      </c>
      <c r="S411" s="1"/>
      <c r="T411" s="1"/>
      <c r="U411" s="1"/>
      <c r="V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href="canciones/brotes_de_olivo/bendita_la_nacion.html"&gt;Bendita la nación&lt;/a&gt;&lt;/li&gt;</v>
      </c>
      <c r="W411" s="15" t="str">
        <f>_xlfn.TEXTBEFORE(_xlfn.TEXTAFTER(CantoralDB[[#This Row],[index.html]],"&gt;"),"&gt;")&amp;"&gt;"</f>
        <v>&lt;a href="canciones/brotes_de_olivo/bendita_la_nacion.html"&gt;</v>
      </c>
      <c r="AA411" s="1"/>
    </row>
    <row r="412" spans="1:27" x14ac:dyDescent="0.3">
      <c r="A412" s="1">
        <f>ROW(CantoralDB[[#This Row],[Título]])-1</f>
        <v>411</v>
      </c>
      <c r="B412" s="1" t="s">
        <v>2695</v>
      </c>
      <c r="C412" s="1"/>
      <c r="F412" s="1">
        <v>311</v>
      </c>
      <c r="J412" s="1"/>
      <c r="M412" s="15" t="s">
        <v>499</v>
      </c>
      <c r="N412" s="15"/>
      <c r="O412" s="15"/>
      <c r="P412" s="15" t="str" cm="1">
        <f t="array" ref="P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412" s="15" t="str" cm="1">
        <f t="array" ref="Q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canciones/brotes_de_olivo/dame_vida.html</v>
      </c>
      <c r="S412" s="1"/>
      <c r="T412" s="1"/>
      <c r="U412" s="1"/>
      <c r="V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Olivo"&gt;&lt;a href="canciones/brotes_de_olivo/dame_vida.html"&gt;Dame vida&lt;/a&gt;&lt;/li&gt;</v>
      </c>
      <c r="W412" s="15" t="str">
        <f>_xlfn.TEXTBEFORE(_xlfn.TEXTAFTER(CantoralDB[[#This Row],[index.html]],"&gt;"),"&gt;")&amp;"&gt;"</f>
        <v>&lt;a href="canciones/brotes_de_olivo/dame_vida.html"&gt;</v>
      </c>
      <c r="AA412" s="1"/>
    </row>
    <row r="413" spans="1:27" x14ac:dyDescent="0.3">
      <c r="A413" s="1">
        <f>ROW(CantoralDB[[#This Row],[Título]])-1</f>
        <v>412</v>
      </c>
      <c r="B413" s="1" t="s">
        <v>236</v>
      </c>
      <c r="C413" s="1" t="s">
        <v>993</v>
      </c>
      <c r="D413" s="1" t="s">
        <v>710</v>
      </c>
      <c r="F413" s="1">
        <v>339</v>
      </c>
      <c r="G413" s="1" t="s">
        <v>216</v>
      </c>
      <c r="H413" s="1" t="s">
        <v>531</v>
      </c>
      <c r="J413" s="1" t="s">
        <v>608</v>
      </c>
      <c r="M413" s="15" t="s">
        <v>499</v>
      </c>
      <c r="N413" s="15"/>
      <c r="O413" s="15"/>
      <c r="P413" s="15" t="str" cm="1">
        <f t="array" ref="P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413" s="15" t="str" cm="1">
        <f t="array" ref="Q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canciones/brotes_de_olivo/hoy_señor_te_dare.html</v>
      </c>
      <c r="S413" s="1"/>
      <c r="T413" s="1"/>
      <c r="U413" s="1"/>
      <c r="V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data-nnew="K37"&gt;&lt;a href="canciones/brotes_de_olivo/hoy_señor_te_dare.html"&gt;Hoy, Señor, te daré&lt;/a&gt;&lt;/li&gt;</v>
      </c>
      <c r="W413" s="15" t="str">
        <f>_xlfn.TEXTBEFORE(_xlfn.TEXTAFTER(CantoralDB[[#This Row],[index.html]],"&gt;"),"&gt;")&amp;"&gt;"</f>
        <v>&lt;a href="canciones/brotes_de_olivo/hoy_señor_te_dare.html"&gt;</v>
      </c>
      <c r="AA413" s="1"/>
    </row>
    <row r="414" spans="1:27" x14ac:dyDescent="0.3">
      <c r="A414" s="1">
        <f>ROW(CantoralDB[[#This Row],[Título]])-1</f>
        <v>413</v>
      </c>
      <c r="B414" s="1" t="s">
        <v>227</v>
      </c>
      <c r="C414" s="1" t="s">
        <v>192</v>
      </c>
      <c r="D414" s="1" t="s">
        <v>1367</v>
      </c>
      <c r="F414" s="1">
        <v>431</v>
      </c>
      <c r="G414" s="1" t="s">
        <v>216</v>
      </c>
      <c r="H414" s="1" t="s">
        <v>531</v>
      </c>
      <c r="J414" s="1" t="s">
        <v>608</v>
      </c>
      <c r="M414" s="15" t="s">
        <v>499</v>
      </c>
      <c r="N414" s="15"/>
      <c r="O414" s="15"/>
      <c r="P414" s="15" t="str" cm="1">
        <f t="array" ref="P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414" s="15" t="str" cm="1">
        <f t="array" ref="Q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canciones/brotes_de_olivo/agua_lavame.html</v>
      </c>
      <c r="S414" s="1"/>
      <c r="T414" s="1"/>
      <c r="U414" s="1"/>
      <c r="V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data-momento="Perdón - Agua" data-nnew="B01"&gt;&lt;a href="canciones/brotes_de_olivo/agua_lavame.html"&gt;Agua, lávame&lt;/a&gt;&lt;/li&gt;</v>
      </c>
      <c r="W414" s="15" t="str">
        <f>_xlfn.TEXTBEFORE(_xlfn.TEXTAFTER(CantoralDB[[#This Row],[index.html]],"&gt;"),"&gt;")&amp;"&gt;"</f>
        <v>&lt;a href="canciones/brotes_de_olivo/agua_lavame.html"&gt;</v>
      </c>
      <c r="AA414" s="1"/>
    </row>
    <row r="415" spans="1:27" x14ac:dyDescent="0.3">
      <c r="A415" s="1">
        <f>ROW(CantoralDB[[#This Row],[Título]])-1</f>
        <v>414</v>
      </c>
      <c r="B415" s="1" t="s">
        <v>228</v>
      </c>
      <c r="C415" s="1" t="s">
        <v>201</v>
      </c>
      <c r="D415" s="1" t="s">
        <v>661</v>
      </c>
      <c r="G415" s="1" t="s">
        <v>216</v>
      </c>
      <c r="H415" s="1" t="s">
        <v>531</v>
      </c>
      <c r="J415" s="1" t="s">
        <v>608</v>
      </c>
      <c r="M415" s="15" t="s">
        <v>499</v>
      </c>
      <c r="N415" s="15"/>
      <c r="O415" s="15"/>
      <c r="P415" s="15" t="str" cm="1">
        <f t="array" ref="P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415" s="15" t="str" cm="1">
        <f t="array" ref="Q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canciones/brotes_de_olivo/me_levantare.html</v>
      </c>
      <c r="S415" s="1" t="s">
        <v>843</v>
      </c>
      <c r="T415" s="1"/>
      <c r="U415" s="1"/>
      <c r="V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data-nnew="D23"&gt;&lt;a href="canciones/brotes_de_olivo/me_levantare.html"&gt;Me levantaré&lt;/a&gt;&lt;/li&gt;</v>
      </c>
      <c r="W415" s="15" t="str">
        <f>_xlfn.TEXTBEFORE(_xlfn.TEXTAFTER(CantoralDB[[#This Row],[index.html]],"&gt;"),"&gt;")&amp;"&gt;"</f>
        <v>&lt;a href="canciones/brotes_de_olivo/me_levantare.html"&gt;</v>
      </c>
      <c r="AA415" s="1"/>
    </row>
    <row r="416" spans="1:27" x14ac:dyDescent="0.3">
      <c r="A416" s="1">
        <f>ROW(CantoralDB[[#This Row],[Título]])-1</f>
        <v>415</v>
      </c>
      <c r="B416" s="1" t="s">
        <v>643</v>
      </c>
      <c r="C416" s="1" t="s">
        <v>201</v>
      </c>
      <c r="D416" s="1" t="s">
        <v>663</v>
      </c>
      <c r="G416" s="1" t="s">
        <v>644</v>
      </c>
      <c r="H416" s="1" t="s">
        <v>531</v>
      </c>
      <c r="I416" s="1" t="s">
        <v>2961</v>
      </c>
      <c r="J416" s="1" t="s">
        <v>608</v>
      </c>
      <c r="M416" s="15" t="s">
        <v>499</v>
      </c>
      <c r="N416" s="15"/>
      <c r="O416" s="15"/>
      <c r="P416" s="15" t="str" cm="1">
        <f t="array" ref="P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416" s="15" t="str" cm="1">
        <f t="array" ref="Q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canciones/brotes_de_olivo/nada_has_pensado.html</v>
      </c>
      <c r="S416" s="1" t="s">
        <v>845</v>
      </c>
      <c r="T416" s="1"/>
      <c r="U416" s="1"/>
      <c r="V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data-nnew="D25"&gt;&lt;a href="canciones/brotes_de_olivo/nada_has_pensado.html"&gt;Nada has pensado&lt;/a&gt;&lt;/li&gt;</v>
      </c>
      <c r="W416" s="15" t="str">
        <f>_xlfn.TEXTBEFORE(_xlfn.TEXTAFTER(CantoralDB[[#This Row],[index.html]],"&gt;"),"&gt;")&amp;"&gt;"</f>
        <v>&lt;a href="canciones/brotes_de_olivo/nada_has_pensado.html"&gt;</v>
      </c>
      <c r="AA416" s="1"/>
    </row>
    <row r="417" spans="1:27" x14ac:dyDescent="0.3">
      <c r="A417" s="1">
        <f>ROW(CantoralDB[[#This Row],[Título]])-1</f>
        <v>416</v>
      </c>
      <c r="B417" s="1" t="s">
        <v>265</v>
      </c>
      <c r="C417" s="1" t="s">
        <v>199</v>
      </c>
      <c r="D417" s="1" t="s">
        <v>1457</v>
      </c>
      <c r="G417" s="1" t="s">
        <v>266</v>
      </c>
      <c r="H417" s="1" t="s">
        <v>531</v>
      </c>
      <c r="J417" s="1" t="s">
        <v>608</v>
      </c>
      <c r="M417" s="15" t="s">
        <v>499</v>
      </c>
      <c r="N417" s="15"/>
      <c r="O417" s="15"/>
      <c r="P417" s="15" t="str" cm="1">
        <f t="array" ref="P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417" s="15" t="str" cm="1">
        <f t="array" ref="Q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canciones/brotes_de_olivo/que_sea_mi_vida_la_sal.html</v>
      </c>
      <c r="S417" s="1" t="s">
        <v>815</v>
      </c>
      <c r="T417" s="1"/>
      <c r="U417" s="1"/>
      <c r="V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data-momento="Despedida" data-nnew="L07"&gt;&lt;a href="canciones/brotes_de_olivo/que_sea_mi_vida_la_sal.html"&gt;Que sea mi vida la sal&lt;/a&gt;&lt;/li&gt;</v>
      </c>
      <c r="W417" s="15" t="str">
        <f>_xlfn.TEXTBEFORE(_xlfn.TEXTAFTER(CantoralDB[[#This Row],[index.html]],"&gt;"),"&gt;")&amp;"&gt;"</f>
        <v>&lt;a href="canciones/brotes_de_olivo/que_sea_mi_vida_la_sal.html"&gt;</v>
      </c>
      <c r="AA417" s="1"/>
    </row>
    <row r="418" spans="1:27" x14ac:dyDescent="0.3">
      <c r="A418" s="1">
        <f>ROW(CantoralDB[[#This Row],[Título]])-1</f>
        <v>417</v>
      </c>
      <c r="B418" s="1" t="s">
        <v>563</v>
      </c>
      <c r="C418" s="1" t="s">
        <v>201</v>
      </c>
      <c r="D418" s="1" t="s">
        <v>678</v>
      </c>
      <c r="G418" s="1" t="s">
        <v>553</v>
      </c>
      <c r="H418" s="1" t="s">
        <v>473</v>
      </c>
      <c r="J418" s="1" t="s">
        <v>608</v>
      </c>
      <c r="M418" s="15" t="s">
        <v>499</v>
      </c>
      <c r="N418" s="15"/>
      <c r="O418" s="15"/>
      <c r="P418" s="15" t="str" cm="1">
        <f t="array" ref="P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418" s="15" t="str" cm="1">
        <f t="array" ref="Q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canciones/brotes_de_olivo/ven_no_apartes_de_mi_los_ojos.html</v>
      </c>
      <c r="S418" s="1"/>
      <c r="T418" s="1"/>
      <c r="U418" s="1"/>
      <c r="V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data-momento="Antífonas" data-nnew="D40"&gt;&lt;a href="canciones/brotes_de_olivo/ven_no_apartes_de_mi_los_ojos.html"&gt;Ven, no apartes de mí los ojos&lt;/a&gt;&lt;/li&gt;</v>
      </c>
      <c r="W418" s="15" t="str">
        <f>_xlfn.TEXTBEFORE(_xlfn.TEXTAFTER(CantoralDB[[#This Row],[index.html]],"&gt;"),"&gt;")&amp;"&gt;"</f>
        <v>&lt;a href="canciones/brotes_de_olivo/ven_no_apartes_de_mi_los_ojos.html"&gt;</v>
      </c>
      <c r="AA418" s="1"/>
    </row>
    <row r="419" spans="1:27" x14ac:dyDescent="0.3">
      <c r="A419" s="1">
        <f>ROW(CantoralDB[[#This Row],[Título]])-1</f>
        <v>418</v>
      </c>
      <c r="B419" s="1" t="s">
        <v>214</v>
      </c>
      <c r="C419" s="1" t="s">
        <v>993</v>
      </c>
      <c r="D419" s="1" t="s">
        <v>704</v>
      </c>
      <c r="G419" s="1" t="s">
        <v>213</v>
      </c>
      <c r="H419" s="1" t="s">
        <v>1027</v>
      </c>
      <c r="J419" s="1" t="s">
        <v>608</v>
      </c>
      <c r="M419" s="15" t="s">
        <v>499</v>
      </c>
      <c r="N419" s="15"/>
      <c r="O419" s="15"/>
      <c r="P419" s="15" t="str" cm="1">
        <f t="array" ref="P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Q419" s="15" t="str" cm="1">
        <f t="array" ref="Q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canciones/brotes_de_olivo/enviame.html</v>
      </c>
      <c r="S419" s="1"/>
      <c r="T419" s="1"/>
      <c r="U419" s="1"/>
      <c r="V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data-author="Brotes de Olivo" data-momento="Comunión" data-nnew="K31"&gt;&lt;a href="canciones/brotes_de_olivo/enviame.html"&gt;Envíame&lt;/a&gt;&lt;/li&gt;</v>
      </c>
      <c r="W419" s="15" t="str">
        <f>_xlfn.TEXTBEFORE(_xlfn.TEXTAFTER(CantoralDB[[#This Row],[index.html]],"&gt;"),"&gt;")&amp;"&gt;"</f>
        <v>&lt;a href="canciones/brotes_de_olivo/enviame.html"&gt;</v>
      </c>
      <c r="AA419" s="1"/>
    </row>
    <row r="420" spans="1:27" x14ac:dyDescent="0.3">
      <c r="A420" s="1">
        <f>ROW(CantoralDB[[#This Row],[Título]])-1</f>
        <v>419</v>
      </c>
      <c r="B420" s="1" t="s">
        <v>2603</v>
      </c>
      <c r="C420" s="1"/>
      <c r="F420" s="1">
        <v>209</v>
      </c>
      <c r="J420" s="1"/>
      <c r="M420" s="15" t="s">
        <v>2604</v>
      </c>
      <c r="N420" s="15"/>
      <c r="O420" s="15"/>
      <c r="P420" s="15" t="str" cm="1">
        <f t="array" ref="P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20" s="15" t="str" cm="1">
        <f t="array" ref="Q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canciones/nuevas/ahora_es_tiempo.html</v>
      </c>
      <c r="S420" s="1"/>
      <c r="T420" s="1"/>
      <c r="U420" s="1"/>
      <c r="V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data-author="Bruce y Jude Borneman"&gt;&lt;a href="canciones/nuevas/ahora_es_tiempo.html"&gt;Ahora es tiempo&lt;/a&gt;&lt;/li&gt;</v>
      </c>
      <c r="W420" s="15" t="str">
        <f>_xlfn.TEXTBEFORE(_xlfn.TEXTAFTER(CantoralDB[[#This Row],[index.html]],"&gt;"),"&gt;")&amp;"&gt;"</f>
        <v>&lt;a href="canciones/nuevas/ahora_es_tiempo.html"&gt;</v>
      </c>
      <c r="AA420" s="1"/>
    </row>
    <row r="421" spans="1:27" x14ac:dyDescent="0.3">
      <c r="A421" s="1">
        <f>ROW(CantoralDB[[#This Row],[Título]])-1</f>
        <v>420</v>
      </c>
      <c r="B421" s="1" t="s">
        <v>1169</v>
      </c>
      <c r="C421" s="1"/>
      <c r="E421" s="1">
        <v>30</v>
      </c>
      <c r="H421" s="1" t="s">
        <v>1028</v>
      </c>
      <c r="J421" s="1" t="s">
        <v>608</v>
      </c>
      <c r="M421" s="15" t="s">
        <v>2082</v>
      </c>
      <c r="N421" s="15"/>
      <c r="O421" s="15"/>
      <c r="P421" s="15" t="str" cm="1">
        <f t="array" ref="P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21" s="15" t="str" cm="1">
        <f t="array" ref="Q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canciones/nsb/arriba_nubes_negras.html</v>
      </c>
      <c r="S421" s="1"/>
      <c r="T421" s="1"/>
      <c r="U421" s="1"/>
      <c r="V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data-author="Cantos S Cateq" data-nold="30"&gt;&lt;a href="canciones/nsb/arriba_nubes_negras.html"&gt;Arriba nubes negras&lt;/a&gt;&lt;/li&gt;</v>
      </c>
      <c r="W421" s="15" t="str">
        <f>_xlfn.TEXTBEFORE(_xlfn.TEXTAFTER(CantoralDB[[#This Row],[index.html]],"&gt;"),"&gt;")&amp;"&gt;"</f>
        <v>&lt;a href="canciones/nsb/arriba_nubes_negras.html"&gt;</v>
      </c>
      <c r="AA421" s="1"/>
    </row>
    <row r="422" spans="1:27" x14ac:dyDescent="0.3">
      <c r="A422" s="1">
        <f>ROW(CantoralDB[[#This Row],[Título]])-1</f>
        <v>421</v>
      </c>
      <c r="B422" s="1" t="s">
        <v>1204</v>
      </c>
      <c r="C422" s="1"/>
      <c r="E422" s="1">
        <v>81</v>
      </c>
      <c r="H422" s="1" t="s">
        <v>1030</v>
      </c>
      <c r="J422" s="1" t="s">
        <v>608</v>
      </c>
      <c r="M422" s="15" t="s">
        <v>2082</v>
      </c>
      <c r="N422" s="15"/>
      <c r="O422" s="15"/>
      <c r="P422" s="15" t="str" cm="1">
        <f t="array" ref="P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422" s="15" t="str" cm="1">
        <f t="array" ref="Q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canciones/nsb/de_jerusalen_bajaba_a_jerico.html</v>
      </c>
      <c r="S422" s="1"/>
      <c r="T422" s="1"/>
      <c r="U422" s="14" t="s">
        <v>1479</v>
      </c>
      <c r="V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data-author="Cantos S Cateq" data-nold="81"&gt;&lt;a href="canciones/nsb/de_jerusalen_bajaba_a_jerico.html"&gt;De Jerusalén bajaba a Jericó&lt;/a&gt;&lt;/li&gt;</v>
      </c>
      <c r="W422" s="15" t="str">
        <f>_xlfn.TEXTBEFORE(_xlfn.TEXTAFTER(CantoralDB[[#This Row],[index.html]],"&gt;"),"&gt;")&amp;"&gt;"</f>
        <v>&lt;a href="canciones/nsb/de_jerusalen_bajaba_a_jerico.html"&gt;</v>
      </c>
      <c r="AA422" s="1"/>
    </row>
    <row r="423" spans="1:27" x14ac:dyDescent="0.3">
      <c r="A423" s="1">
        <f>ROW(CantoralDB[[#This Row],[Título]])-1</f>
        <v>422</v>
      </c>
      <c r="B423" s="1" t="s">
        <v>2707</v>
      </c>
      <c r="C423" s="1"/>
      <c r="F423" s="1">
        <v>326</v>
      </c>
      <c r="J423" s="1"/>
      <c r="M423" s="15" t="s">
        <v>2708</v>
      </c>
      <c r="N423" s="15"/>
      <c r="O423" s="15"/>
      <c r="P423" s="15" t="str" cm="1">
        <f t="array" ref="P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23" s="15" t="str" cm="1">
        <f t="array" ref="Q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canciones/nuevas/hosanna.html</v>
      </c>
      <c r="S423" s="1"/>
      <c r="T423" s="1"/>
      <c r="U423" s="1"/>
      <c r="V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data-author="Carl Tuttle"&gt;&lt;a href="canciones/nuevas/hosanna.html"&gt;Hosanna&lt;/a&gt;&lt;/li&gt;</v>
      </c>
      <c r="W423" s="15" t="str">
        <f>_xlfn.TEXTBEFORE(_xlfn.TEXTAFTER(CantoralDB[[#This Row],[index.html]],"&gt;"),"&gt;")&amp;"&gt;"</f>
        <v>&lt;a href="canciones/nuevas/hosanna.html"&gt;</v>
      </c>
      <c r="AA423" s="1"/>
    </row>
    <row r="424" spans="1:27" x14ac:dyDescent="0.3">
      <c r="A424" s="1">
        <f>ROW(CantoralDB[[#This Row],[Título]])-1</f>
        <v>423</v>
      </c>
      <c r="B424" s="1" t="s">
        <v>6</v>
      </c>
      <c r="C424" s="1" t="s">
        <v>191</v>
      </c>
      <c r="D424" s="1" t="s">
        <v>1365</v>
      </c>
      <c r="E424" s="1">
        <v>8</v>
      </c>
      <c r="G424" s="1" t="s">
        <v>209</v>
      </c>
      <c r="H424" s="1" t="s">
        <v>1027</v>
      </c>
      <c r="I424" s="1" t="s">
        <v>2962</v>
      </c>
      <c r="J424" s="1" t="s">
        <v>608</v>
      </c>
      <c r="M424" s="15" t="s">
        <v>479</v>
      </c>
      <c r="N424" s="15"/>
      <c r="O424" s="15"/>
      <c r="P424" s="15" t="str" cm="1">
        <f t="array" ref="P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424" s="15" t="str" cm="1">
        <f t="array" ref="Q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canciones/carmelo_erdozain/abre_tu_tienda_al_señor.html</v>
      </c>
      <c r="S424" s="1"/>
      <c r="T424" s="1"/>
      <c r="U424" s="1"/>
      <c r="V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data-nnew="A03" data-nold="8"&gt;&lt;a href="canciones/carmelo_erdozain/abre_tu_tienda_al_señor.html"&gt;Abre tu tienda al Señor&lt;/a&gt;&lt;/li&gt;</v>
      </c>
      <c r="W424" s="15" t="str">
        <f>_xlfn.TEXTBEFORE(_xlfn.TEXTAFTER(CantoralDB[[#This Row],[index.html]],"&gt;"),"&gt;")&amp;"&gt;"</f>
        <v>&lt;a href="canciones/carmelo_erdozain/abre_tu_tienda_al_señor.html"&gt;</v>
      </c>
      <c r="AA424" s="1"/>
    </row>
    <row r="425" spans="1:27" x14ac:dyDescent="0.3">
      <c r="A425" s="1">
        <f>ROW(CantoralDB[[#This Row],[Título]])-1</f>
        <v>424</v>
      </c>
      <c r="B425" s="1" t="s">
        <v>19</v>
      </c>
      <c r="C425" s="1" t="s">
        <v>194</v>
      </c>
      <c r="D425" s="1" t="s">
        <v>1379</v>
      </c>
      <c r="E425" s="1">
        <v>13</v>
      </c>
      <c r="G425" s="1" t="s">
        <v>209</v>
      </c>
      <c r="H425" s="1" t="s">
        <v>1027</v>
      </c>
      <c r="I425" s="1" t="s">
        <v>2962</v>
      </c>
      <c r="J425" s="1" t="s">
        <v>608</v>
      </c>
      <c r="M425" s="15" t="s">
        <v>479</v>
      </c>
      <c r="N425" s="15"/>
      <c r="O425" s="15"/>
      <c r="P425" s="15" t="str" cm="1">
        <f t="array" ref="P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425" s="15" t="str" cm="1">
        <f t="array" ref="Q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canciones/carmelo_erdozain/aleluya_es_la_fiesta_del_señor.html</v>
      </c>
      <c r="S425" s="1"/>
      <c r="T425" s="1"/>
      <c r="U425" s="1"/>
      <c r="V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data-momento="Aleluya" data-nnew="E08" data-nold="13"&gt;&lt;a href="canciones/carmelo_erdozain/aleluya_es_la_fiesta_del_señor.html"&gt;Aleluya, es la fiesta del Señor&lt;/a&gt;&lt;/li&gt;</v>
      </c>
      <c r="W425" s="15" t="str">
        <f>_xlfn.TEXTBEFORE(_xlfn.TEXTAFTER(CantoralDB[[#This Row],[index.html]],"&gt;"),"&gt;")&amp;"&gt;"</f>
        <v>&lt;a href="canciones/carmelo_erdozain/aleluya_es_la_fiesta_del_señor.html"&gt;</v>
      </c>
      <c r="AA425" s="1"/>
    </row>
    <row r="426" spans="1:27" x14ac:dyDescent="0.3">
      <c r="A426" s="1">
        <f>ROW(CantoralDB[[#This Row],[Título]])-1</f>
        <v>425</v>
      </c>
      <c r="B426" s="1" t="s">
        <v>1165</v>
      </c>
      <c r="C426" s="1" t="s">
        <v>195</v>
      </c>
      <c r="D426" s="1" t="s">
        <v>1384</v>
      </c>
      <c r="E426" s="1">
        <v>24</v>
      </c>
      <c r="G426" s="1" t="s">
        <v>209</v>
      </c>
      <c r="H426" s="1" t="s">
        <v>531</v>
      </c>
      <c r="I426" s="1" t="s">
        <v>2962</v>
      </c>
      <c r="J426" s="1" t="s">
        <v>608</v>
      </c>
      <c r="M426" s="15" t="s">
        <v>479</v>
      </c>
      <c r="N426" s="15"/>
      <c r="O426" s="15"/>
      <c r="P426" s="15" t="str" cm="1">
        <f t="array" ref="P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426" s="15" t="str" cm="1">
        <f t="array" ref="Q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canciones/carmelo_erdozain/ante_ti_señor.html</v>
      </c>
      <c r="S426" s="1"/>
      <c r="T426" s="1"/>
      <c r="U426" s="1"/>
      <c r="V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data-momento="Ofertorio" data-nnew="F03" data-nold="24"&gt;&lt;a href="canciones/carmelo_erdozain/ante_ti_señor.html"&gt;Ante ti, Señor&lt;/a&gt;&lt;/li&gt;</v>
      </c>
      <c r="W426" s="15" t="str">
        <f>_xlfn.TEXTBEFORE(_xlfn.TEXTAFTER(CantoralDB[[#This Row],[index.html]],"&gt;"),"&gt;")&amp;"&gt;"</f>
        <v>&lt;a href="canciones/carmelo_erdozain/ante_ti_señor.html"&gt;</v>
      </c>
      <c r="AA426" s="1"/>
    </row>
    <row r="427" spans="1:27" x14ac:dyDescent="0.3">
      <c r="A427" s="1">
        <f>ROW(CantoralDB[[#This Row],[Título]])-1</f>
        <v>426</v>
      </c>
      <c r="B427" s="1" t="s">
        <v>1176</v>
      </c>
      <c r="C427" s="1"/>
      <c r="E427" s="1">
        <v>44</v>
      </c>
      <c r="H427" s="1" t="s">
        <v>531</v>
      </c>
      <c r="J427" s="1" t="s">
        <v>608</v>
      </c>
      <c r="M427" s="15" t="s">
        <v>479</v>
      </c>
      <c r="N427" s="15"/>
      <c r="O427" s="15"/>
      <c r="P427" s="15" t="str" cm="1">
        <f t="array" ref="P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427" s="15" t="str" cm="1">
        <f t="array" ref="Q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canciones/carmelo_erdozain/con_nosotros_esta_el_señor.html</v>
      </c>
      <c r="S427" s="1"/>
      <c r="T427" s="1"/>
      <c r="U427" s="1"/>
      <c r="V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data-nold="44"&gt;&lt;a href="canciones/carmelo_erdozain/con_nosotros_esta_el_señor.html"&gt;Con nosotros está el Señor&lt;/a&gt;&lt;/li&gt;</v>
      </c>
      <c r="W427" s="15" t="str">
        <f>_xlfn.TEXTBEFORE(_xlfn.TEXTAFTER(CantoralDB[[#This Row],[index.html]],"&gt;"),"&gt;")&amp;"&gt;"</f>
        <v>&lt;a href="canciones/carmelo_erdozain/con_nosotros_esta_el_señor.html"&gt;</v>
      </c>
      <c r="AA427" s="1"/>
    </row>
    <row r="428" spans="1:27" x14ac:dyDescent="0.3">
      <c r="A428" s="1">
        <f>ROW(CantoralDB[[#This Row],[Título]])-1</f>
        <v>427</v>
      </c>
      <c r="B428" s="1" t="s">
        <v>35</v>
      </c>
      <c r="C428" s="1" t="s">
        <v>201</v>
      </c>
      <c r="D428" s="1" t="s">
        <v>648</v>
      </c>
      <c r="E428" s="1">
        <v>51</v>
      </c>
      <c r="G428" s="1" t="s">
        <v>209</v>
      </c>
      <c r="H428" s="1" t="s">
        <v>531</v>
      </c>
      <c r="I428" s="1" t="s">
        <v>2961</v>
      </c>
      <c r="J428" s="1" t="s">
        <v>608</v>
      </c>
      <c r="M428" s="15" t="s">
        <v>479</v>
      </c>
      <c r="N428" s="15"/>
      <c r="O428" s="15"/>
      <c r="P428" s="15" t="str" cm="1">
        <f t="array" ref="P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428" s="15" t="str" cm="1">
        <f t="array" ref="Q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canciones/carmelo_erdozain/compartir_junto_al_señor.html</v>
      </c>
      <c r="S428" s="1"/>
      <c r="T428" s="1"/>
      <c r="U428" s="1"/>
      <c r="V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data-nnew="D10" data-nold="51"&gt;&lt;a href="canciones/carmelo_erdozain/compartir_junto_al_señor.html"&gt;Compartir junto al Señor&lt;/a&gt;&lt;/li&gt;</v>
      </c>
      <c r="W428" s="15" t="str">
        <f>_xlfn.TEXTBEFORE(_xlfn.TEXTAFTER(CantoralDB[[#This Row],[index.html]],"&gt;"),"&gt;")&amp;"&gt;"</f>
        <v>&lt;a href="canciones/carmelo_erdozain/compartir_junto_al_señor.html"&gt;</v>
      </c>
      <c r="AA428" s="1"/>
    </row>
    <row r="429" spans="1:27" x14ac:dyDescent="0.3">
      <c r="A429" s="1">
        <f>ROW(CantoralDB[[#This Row],[Título]])-1</f>
        <v>428</v>
      </c>
      <c r="B429" s="1" t="s">
        <v>33</v>
      </c>
      <c r="C429" s="1" t="s">
        <v>993</v>
      </c>
      <c r="D429" s="1" t="s">
        <v>688</v>
      </c>
      <c r="E429" s="1">
        <v>52</v>
      </c>
      <c r="G429" s="1" t="s">
        <v>209</v>
      </c>
      <c r="H429" s="1" t="s">
        <v>473</v>
      </c>
      <c r="I429" s="1" t="s">
        <v>2961</v>
      </c>
      <c r="J429" s="1" t="s">
        <v>608</v>
      </c>
      <c r="M429" s="15" t="s">
        <v>479</v>
      </c>
      <c r="N429" s="15"/>
      <c r="O429" s="15"/>
      <c r="P429" s="15" t="str" cm="1">
        <f t="array" ref="P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429" s="15" t="str" cm="1">
        <f t="array" ref="Q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canciones/carmelo_erdozain/cerca_esta_el_señor.html</v>
      </c>
      <c r="S429" s="1" t="s">
        <v>814</v>
      </c>
      <c r="T429" s="1"/>
      <c r="U429" s="1"/>
      <c r="V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data-nnew="K15" data-nold="52"&gt;&lt;a href="canciones/carmelo_erdozain/cerca_esta_el_señor.html"&gt;Cerca está el Señor&lt;/a&gt;&lt;/li&gt;</v>
      </c>
      <c r="W429" s="15" t="str">
        <f>_xlfn.TEXTBEFORE(_xlfn.TEXTAFTER(CantoralDB[[#This Row],[index.html]],"&gt;"),"&gt;")&amp;"&gt;"</f>
        <v>&lt;a href="canciones/carmelo_erdozain/cerca_esta_el_señor.html"&gt;</v>
      </c>
      <c r="AA429" s="1"/>
    </row>
    <row r="430" spans="1:27" x14ac:dyDescent="0.3">
      <c r="A430" s="1">
        <f>ROW(CantoralDB[[#This Row],[Título]])-1</f>
        <v>429</v>
      </c>
      <c r="B430" s="1" t="s">
        <v>1184</v>
      </c>
      <c r="C430" s="1"/>
      <c r="E430" s="1">
        <v>55</v>
      </c>
      <c r="H430" s="1" t="s">
        <v>1028</v>
      </c>
      <c r="J430" s="1" t="s">
        <v>608</v>
      </c>
      <c r="M430" s="15" t="s">
        <v>479</v>
      </c>
      <c r="N430" s="15"/>
      <c r="O430" s="15"/>
      <c r="P430" s="15" t="str" cm="1">
        <f t="array" ref="P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430" s="15" t="str" cm="1">
        <f t="array" ref="Q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canciones/carmelo_erdozain/cristo_fue_sincero.html</v>
      </c>
      <c r="S430" s="1"/>
      <c r="T430" s="1"/>
      <c r="U430" s="1"/>
      <c r="V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data-nold="55"&gt;&lt;a href="canciones/carmelo_erdozain/cristo_fue_sincero.html"&gt;Cristo fue sincero&lt;/a&gt;&lt;/li&gt;</v>
      </c>
      <c r="W430" s="15" t="str">
        <f>_xlfn.TEXTBEFORE(_xlfn.TEXTAFTER(CantoralDB[[#This Row],[index.html]],"&gt;"),"&gt;")&amp;"&gt;"</f>
        <v>&lt;a href="canciones/carmelo_erdozain/cristo_fue_sincero.html"&gt;</v>
      </c>
      <c r="AA430" s="1"/>
    </row>
    <row r="431" spans="1:27" x14ac:dyDescent="0.3">
      <c r="A431" s="1">
        <f>ROW(CantoralDB[[#This Row],[Título]])-1</f>
        <v>430</v>
      </c>
      <c r="B431" s="1" t="s">
        <v>1186</v>
      </c>
      <c r="C431" s="1"/>
      <c r="E431" s="1">
        <v>57</v>
      </c>
      <c r="H431" s="1" t="s">
        <v>1029</v>
      </c>
      <c r="J431" s="1" t="s">
        <v>608</v>
      </c>
      <c r="M431" s="15" t="s">
        <v>479</v>
      </c>
      <c r="N431" s="15"/>
      <c r="O431" s="15"/>
      <c r="P431" s="15" t="str" cm="1">
        <f t="array" ref="P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431" s="15" t="str" cm="1">
        <f t="array" ref="Q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canciones/carmelo_erdozain/cristo_se_entrego_por_nosotros.html</v>
      </c>
      <c r="S431" s="1"/>
      <c r="T431" s="1"/>
      <c r="U431" s="1"/>
      <c r="V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data-nold="57"&gt;&lt;a href="canciones/carmelo_erdozain/cristo_se_entrego_por_nosotros.html"&gt;Cristo se entregó por nosotros&lt;/a&gt;&lt;/li&gt;</v>
      </c>
      <c r="W431" s="15" t="str">
        <f>_xlfn.TEXTBEFORE(_xlfn.TEXTAFTER(CantoralDB[[#This Row],[index.html]],"&gt;"),"&gt;")&amp;"&gt;"</f>
        <v>&lt;a href="canciones/carmelo_erdozain/cristo_se_entrego_por_nosotros.html"&gt;</v>
      </c>
      <c r="AA431" s="1"/>
    </row>
    <row r="432" spans="1:27" x14ac:dyDescent="0.3">
      <c r="A432" s="1">
        <f>ROW(CantoralDB[[#This Row],[Título]])-1</f>
        <v>431</v>
      </c>
      <c r="B432" s="1" t="s">
        <v>1188</v>
      </c>
      <c r="C432" s="1"/>
      <c r="E432" s="1">
        <v>58</v>
      </c>
      <c r="H432" s="1" t="s">
        <v>1028</v>
      </c>
      <c r="J432" s="1" t="s">
        <v>608</v>
      </c>
      <c r="M432" s="15" t="s">
        <v>479</v>
      </c>
      <c r="N432" s="15"/>
      <c r="O432" s="15"/>
      <c r="P432" s="15" t="str" cm="1">
        <f t="array" ref="P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432" s="15" t="str" cm="1">
        <f t="array" ref="Q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canciones/carmelo_erdozain/cristo_es_la_imagen_de_dios.html</v>
      </c>
      <c r="S432" s="1"/>
      <c r="T432" s="1"/>
      <c r="U432" s="1"/>
      <c r="V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data-nold="58"&gt;&lt;a href="canciones/carmelo_erdozain/cristo_es_la_imagen_de_dios.html"&gt;Cristo es la imagen de Dios&lt;/a&gt;&lt;/li&gt;</v>
      </c>
      <c r="W432" s="15" t="str">
        <f>_xlfn.TEXTBEFORE(_xlfn.TEXTAFTER(CantoralDB[[#This Row],[index.html]],"&gt;"),"&gt;")&amp;"&gt;"</f>
        <v>&lt;a href="canciones/carmelo_erdozain/cristo_es_la_imagen_de_dios.html"&gt;</v>
      </c>
      <c r="AA432" s="1"/>
    </row>
    <row r="433" spans="1:27" x14ac:dyDescent="0.3">
      <c r="A433" s="1">
        <f>ROW(CantoralDB[[#This Row],[Título]])-1</f>
        <v>432</v>
      </c>
      <c r="B433" s="1" t="s">
        <v>41</v>
      </c>
      <c r="C433" s="1" t="s">
        <v>201</v>
      </c>
      <c r="D433" s="1" t="s">
        <v>649</v>
      </c>
      <c r="E433" s="1">
        <v>59</v>
      </c>
      <c r="G433" s="1" t="s">
        <v>209</v>
      </c>
      <c r="H433" s="1" t="s">
        <v>473</v>
      </c>
      <c r="I433" s="1" t="s">
        <v>2959</v>
      </c>
      <c r="J433" s="1" t="s">
        <v>608</v>
      </c>
      <c r="M433" s="15" t="s">
        <v>479</v>
      </c>
      <c r="N433" s="15"/>
      <c r="O433" s="15"/>
      <c r="P433" s="15" t="str" cm="1">
        <f t="array" ref="P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433" s="15" t="str" cm="1">
        <f t="array" ref="Q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canciones/carmelo_erdozain/cristo_por_nosotros.html</v>
      </c>
      <c r="S433" s="1" t="s">
        <v>818</v>
      </c>
      <c r="T433" s="1"/>
      <c r="U433" s="1"/>
      <c r="V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data-nnew="D11" data-nold="59"&gt;&lt;a href="canciones/carmelo_erdozain/cristo_por_nosotros.html"&gt;Cristo por nosotros&lt;/a&gt;&lt;/li&gt;</v>
      </c>
      <c r="W433" s="15" t="str">
        <f>_xlfn.TEXTBEFORE(_xlfn.TEXTAFTER(CantoralDB[[#This Row],[index.html]],"&gt;"),"&gt;")&amp;"&gt;"</f>
        <v>&lt;a href="canciones/carmelo_erdozain/cristo_por_nosotros.html"&gt;</v>
      </c>
      <c r="AA433" s="1"/>
    </row>
    <row r="434" spans="1:27" x14ac:dyDescent="0.3">
      <c r="A434" s="1">
        <f>ROW(CantoralDB[[#This Row],[Título]])-1</f>
        <v>433</v>
      </c>
      <c r="B434" s="1" t="s">
        <v>40</v>
      </c>
      <c r="C434" s="1" t="s">
        <v>993</v>
      </c>
      <c r="D434" s="1" t="s">
        <v>692</v>
      </c>
      <c r="E434" s="1">
        <v>63</v>
      </c>
      <c r="G434" s="1" t="s">
        <v>209</v>
      </c>
      <c r="H434" s="1" t="s">
        <v>531</v>
      </c>
      <c r="J434" s="1" t="s">
        <v>608</v>
      </c>
      <c r="M434" s="15" t="s">
        <v>479</v>
      </c>
      <c r="N434" s="15"/>
      <c r="O434" s="15"/>
      <c r="P434" s="15" t="str" cm="1">
        <f t="array" ref="P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434" s="15" t="str" cm="1">
        <f t="array" ref="Q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canciones/carmelo_erdozain/cristo_nos_da_la_libertad.html</v>
      </c>
      <c r="S434" s="1"/>
      <c r="T434" s="1"/>
      <c r="U434" s="1"/>
      <c r="V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data-nnew="K19" data-nold="63"&gt;&lt;a href="canciones/carmelo_erdozain/cristo_nos_da_la_libertad.html"&gt;Cristo nos da la libertad&lt;/a&gt;&lt;/li&gt;</v>
      </c>
      <c r="W434" s="15" t="str">
        <f>_xlfn.TEXTBEFORE(_xlfn.TEXTAFTER(CantoralDB[[#This Row],[index.html]],"&gt;"),"&gt;")&amp;"&gt;"</f>
        <v>&lt;a href="canciones/carmelo_erdozain/cristo_nos_da_la_libertad.html"&gt;</v>
      </c>
      <c r="AA434" s="1"/>
    </row>
    <row r="435" spans="1:27" x14ac:dyDescent="0.3">
      <c r="A435" s="1">
        <f>ROW(CantoralDB[[#This Row],[Título]])-1</f>
        <v>434</v>
      </c>
      <c r="B435" s="1" t="s">
        <v>1194</v>
      </c>
      <c r="C435" s="1"/>
      <c r="E435" s="1">
        <v>68</v>
      </c>
      <c r="H435" s="1" t="s">
        <v>1030</v>
      </c>
      <c r="J435" s="1" t="s">
        <v>608</v>
      </c>
      <c r="M435" s="15" t="s">
        <v>479</v>
      </c>
      <c r="N435" s="15"/>
      <c r="O435" s="15"/>
      <c r="P435" s="15" t="str" cm="1">
        <f t="array" ref="P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435" s="15" t="str" cm="1">
        <f t="array" ref="Q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canciones/carmelo_erdozain/cuantos_años_han_de_pasar.html</v>
      </c>
      <c r="S435" s="1"/>
      <c r="T435" s="1"/>
      <c r="U435" s="1"/>
      <c r="V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data-nold="68"&gt;&lt;a href="canciones/carmelo_erdozain/cuantos_años_han_de_pasar.html"&gt;Cuántos años han de pasar&lt;/a&gt;&lt;/li&gt;</v>
      </c>
      <c r="W435" s="15" t="str">
        <f>_xlfn.TEXTBEFORE(_xlfn.TEXTAFTER(CantoralDB[[#This Row],[index.html]],"&gt;"),"&gt;")&amp;"&gt;"</f>
        <v>&lt;a href="canciones/carmelo_erdozain/cuantos_años_han_de_pasar.html"&gt;</v>
      </c>
      <c r="AA435" s="1"/>
    </row>
    <row r="436" spans="1:27" x14ac:dyDescent="0.3">
      <c r="A436" s="1">
        <f>ROW(CantoralDB[[#This Row],[Título]])-1</f>
        <v>435</v>
      </c>
      <c r="B436" s="1" t="s">
        <v>1207</v>
      </c>
      <c r="C436" s="1"/>
      <c r="E436" s="1">
        <v>82</v>
      </c>
      <c r="H436" s="1" t="s">
        <v>1030</v>
      </c>
      <c r="J436" s="1" t="s">
        <v>608</v>
      </c>
      <c r="M436" s="15" t="s">
        <v>479</v>
      </c>
      <c r="N436" s="15"/>
      <c r="O436" s="15"/>
      <c r="P436" s="15" t="str" cm="1">
        <f t="array" ref="P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436" s="15" t="str" cm="1">
        <f t="array" ref="Q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canciones/carmelo_erdozain/dios_te_salve_maria.html</v>
      </c>
      <c r="S436" s="1"/>
      <c r="T436" s="1"/>
      <c r="U436" s="1"/>
      <c r="V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data-nold="82"&gt;&lt;a href="canciones/carmelo_erdozain/dios_te_salve_maria.html"&gt;Dios te salve, María&lt;/a&gt;&lt;/li&gt;</v>
      </c>
      <c r="W436" s="15" t="str">
        <f>_xlfn.TEXTBEFORE(_xlfn.TEXTAFTER(CantoralDB[[#This Row],[index.html]],"&gt;"),"&gt;")&amp;"&gt;"</f>
        <v>&lt;a href="canciones/carmelo_erdozain/dios_te_salve_maria.html"&gt;</v>
      </c>
      <c r="AA436" s="1"/>
    </row>
    <row r="437" spans="1:27" x14ac:dyDescent="0.3">
      <c r="A437" s="1">
        <f>ROW(CantoralDB[[#This Row],[Título]])-1</f>
        <v>436</v>
      </c>
      <c r="B437" s="1" t="s">
        <v>1209</v>
      </c>
      <c r="C437" s="1"/>
      <c r="E437" s="1">
        <v>87</v>
      </c>
      <c r="H437" s="1" t="s">
        <v>1030</v>
      </c>
      <c r="J437" s="1" t="s">
        <v>608</v>
      </c>
      <c r="M437" s="15" t="s">
        <v>479</v>
      </c>
      <c r="N437" s="15"/>
      <c r="O437" s="15"/>
      <c r="P437" s="15" t="str" cm="1">
        <f t="array" ref="P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437" s="15" t="str" cm="1">
        <f t="array" ref="Q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canciones/carmelo_erdozain/dios_te_salve_maria_llena_eres_de_gracia.html</v>
      </c>
      <c r="S437" s="1"/>
      <c r="T437" s="1"/>
      <c r="U437" s="1"/>
      <c r="V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data-nold="87"&gt;&lt;a href="canciones/carmelo_erdozain/dios_te_salve_maria_llena_eres_de_gracia.html"&gt;Dios te salve, María, llena eres de gracia&lt;/a&gt;&lt;/li&gt;</v>
      </c>
      <c r="W437" s="15" t="str">
        <f>_xlfn.TEXTBEFORE(_xlfn.TEXTAFTER(CantoralDB[[#This Row],[index.html]],"&gt;"),"&gt;")&amp;"&gt;"</f>
        <v>&lt;a href="canciones/carmelo_erdozain/dios_te_salve_maria_llena_eres_de_gracia.html"&gt;</v>
      </c>
      <c r="AA437" s="1"/>
    </row>
    <row r="438" spans="1:27" x14ac:dyDescent="0.3">
      <c r="A438" s="1">
        <f>ROW(CantoralDB[[#This Row],[Título]])-1</f>
        <v>437</v>
      </c>
      <c r="B438" s="1" t="s">
        <v>2891</v>
      </c>
      <c r="C438" s="1" t="s">
        <v>201</v>
      </c>
      <c r="D438" s="1" t="s">
        <v>655</v>
      </c>
      <c r="E438" s="1">
        <v>116</v>
      </c>
      <c r="G438" s="1" t="s">
        <v>209</v>
      </c>
      <c r="H438" s="1" t="s">
        <v>1027</v>
      </c>
      <c r="J438" s="1" t="s">
        <v>608</v>
      </c>
      <c r="M438" s="15" t="s">
        <v>479</v>
      </c>
      <c r="N438" s="15"/>
      <c r="O438" s="15"/>
      <c r="P438" s="15" t="str" cm="1">
        <f t="array" ref="P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438" s="15" t="str" cm="1">
        <f t="array" ref="Q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canciones/carmelo_erdozain/escucha_tu_la_palabra_de_dios.html</v>
      </c>
      <c r="S438" s="1"/>
      <c r="T438" s="1"/>
      <c r="U438" s="1"/>
      <c r="V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data-nnew="D17" data-nold="116"&gt;&lt;a href="canciones/carmelo_erdozain/escucha_tu_la_palabra_de_dios.html"&gt;Escucha tú la Palabra de Dios&lt;/a&gt;&lt;/li&gt;</v>
      </c>
      <c r="W438" s="15" t="str">
        <f>_xlfn.TEXTBEFORE(_xlfn.TEXTAFTER(CantoralDB[[#This Row],[index.html]],"&gt;"),"&gt;")&amp;"&gt;"</f>
        <v>&lt;a href="canciones/carmelo_erdozain/escucha_tu_la_palabra_de_dios.html"&gt;</v>
      </c>
      <c r="AA438" s="1"/>
    </row>
    <row r="439" spans="1:27" x14ac:dyDescent="0.3">
      <c r="A439" s="1">
        <f>ROW(CantoralDB[[#This Row],[Título]])-1</f>
        <v>438</v>
      </c>
      <c r="B439" s="1" t="s">
        <v>1257</v>
      </c>
      <c r="C439" s="1"/>
      <c r="E439" s="1">
        <v>126</v>
      </c>
      <c r="H439" s="1" t="s">
        <v>1028</v>
      </c>
      <c r="J439" s="1" t="s">
        <v>608</v>
      </c>
      <c r="M439" s="15" t="s">
        <v>479</v>
      </c>
      <c r="N439" s="15"/>
      <c r="O439" s="15"/>
      <c r="P439" s="15" t="str" cm="1">
        <f t="array" ref="P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439" s="15" t="str" cm="1">
        <f t="array" ref="Q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canciones/carmelo_erdozain/gracias_señor_por_tu_palabra.html</v>
      </c>
      <c r="S439" s="1"/>
      <c r="T439" s="1"/>
      <c r="U439" s="1"/>
      <c r="V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data-nold="126"&gt;&lt;a href="canciones/carmelo_erdozain/gracias_señor_por_tu_palabra.html"&gt;Gracias, Señor, por tu Palabra&lt;/a&gt;&lt;/li&gt;</v>
      </c>
      <c r="W439" s="15" t="str">
        <f>_xlfn.TEXTBEFORE(_xlfn.TEXTAFTER(CantoralDB[[#This Row],[index.html]],"&gt;"),"&gt;")&amp;"&gt;"</f>
        <v>&lt;a href="canciones/carmelo_erdozain/gracias_señor_por_tu_palabra.html"&gt;</v>
      </c>
      <c r="AA439" s="1"/>
    </row>
    <row r="440" spans="1:27" x14ac:dyDescent="0.3">
      <c r="A440" s="1">
        <f>ROW(CantoralDB[[#This Row],[Título]])-1</f>
        <v>439</v>
      </c>
      <c r="B440" s="1" t="s">
        <v>75</v>
      </c>
      <c r="C440" s="1" t="s">
        <v>211</v>
      </c>
      <c r="D440" s="1" t="s">
        <v>1430</v>
      </c>
      <c r="E440" s="1">
        <v>136</v>
      </c>
      <c r="G440" s="1" t="s">
        <v>209</v>
      </c>
      <c r="H440" s="1" t="s">
        <v>1027</v>
      </c>
      <c r="I440" s="1" t="s">
        <v>2959</v>
      </c>
      <c r="J440" s="1" t="s">
        <v>608</v>
      </c>
      <c r="M440" s="15" t="s">
        <v>479</v>
      </c>
      <c r="N440" s="15"/>
      <c r="O440" s="15"/>
      <c r="P440" s="15" t="str" cm="1">
        <f t="array" ref="P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440" s="15" t="str" cm="1">
        <f t="array" ref="Q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canciones/carmelo_erdozain/hosanna_hosanna_hosanna.html</v>
      </c>
      <c r="S440" s="1" t="s">
        <v>838</v>
      </c>
      <c r="T440" s="1"/>
      <c r="U440" s="1"/>
      <c r="V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data-momento="Especiales" data-nnew="P02" data-nold="136"&gt;&lt;a href="canciones/carmelo_erdozain/hosanna_hosanna_hosanna.html"&gt;Hosanna, hosanna, hosanna&lt;/a&gt;&lt;/li&gt;</v>
      </c>
      <c r="W440" s="15" t="str">
        <f>_xlfn.TEXTBEFORE(_xlfn.TEXTAFTER(CantoralDB[[#This Row],[index.html]],"&gt;"),"&gt;")&amp;"&gt;"</f>
        <v>&lt;a href="canciones/carmelo_erdozain/hosanna_hosanna_hosanna.html"&gt;</v>
      </c>
      <c r="AA440" s="1"/>
    </row>
    <row r="441" spans="1:27" x14ac:dyDescent="0.3">
      <c r="A441" s="1">
        <f>ROW(CantoralDB[[#This Row],[Título]])-1</f>
        <v>440</v>
      </c>
      <c r="B441" s="1" t="s">
        <v>1265</v>
      </c>
      <c r="C441" s="1"/>
      <c r="E441" s="1">
        <v>137</v>
      </c>
      <c r="H441" s="1" t="s">
        <v>531</v>
      </c>
      <c r="J441" s="1" t="s">
        <v>608</v>
      </c>
      <c r="M441" s="15" t="s">
        <v>479</v>
      </c>
      <c r="N441" s="15"/>
      <c r="O441" s="15"/>
      <c r="P441" s="15" t="str" cm="1">
        <f t="array" ref="P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441" s="15" t="str" cm="1">
        <f t="array" ref="Q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canciones/carmelo_erdozain/hoy_me_siento_peregrino.html</v>
      </c>
      <c r="S441" s="1"/>
      <c r="T441" s="1"/>
      <c r="U441" s="1"/>
      <c r="V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data-nold="137"&gt;&lt;a href="canciones/carmelo_erdozain/hoy_me_siento_peregrino.html"&gt;Hoy me siento peregrino&lt;/a&gt;&lt;/li&gt;</v>
      </c>
      <c r="W441" s="15" t="str">
        <f>_xlfn.TEXTBEFORE(_xlfn.TEXTAFTER(CantoralDB[[#This Row],[index.html]],"&gt;"),"&gt;")&amp;"&gt;"</f>
        <v>&lt;a href="canciones/carmelo_erdozain/hoy_me_siento_peregrino.html"&gt;</v>
      </c>
      <c r="AA441" s="1"/>
    </row>
    <row r="442" spans="1:27" x14ac:dyDescent="0.3">
      <c r="A442" s="1">
        <f>ROW(CantoralDB[[#This Row],[Título]])-1</f>
        <v>441</v>
      </c>
      <c r="B442" s="1" t="s">
        <v>77</v>
      </c>
      <c r="C442" s="1" t="s">
        <v>993</v>
      </c>
      <c r="D442" s="1" t="s">
        <v>711</v>
      </c>
      <c r="E442" s="1">
        <v>138</v>
      </c>
      <c r="G442" s="1" t="s">
        <v>209</v>
      </c>
      <c r="H442" s="1" t="s">
        <v>531</v>
      </c>
      <c r="I442" s="1" t="s">
        <v>2961</v>
      </c>
      <c r="J442" s="1" t="s">
        <v>608</v>
      </c>
      <c r="M442" s="15" t="s">
        <v>479</v>
      </c>
      <c r="N442" s="15"/>
      <c r="O442" s="15"/>
      <c r="P442" s="15" t="str" cm="1">
        <f t="array" ref="P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442" s="15" t="str" cm="1">
        <f t="array" ref="Q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canciones/carmelo_erdozain/hoy_vuelvo_de_lejos.html</v>
      </c>
      <c r="S442" s="1" t="s">
        <v>839</v>
      </c>
      <c r="T442" s="1"/>
      <c r="U442" s="1"/>
      <c r="V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data-nnew="K38" data-nold="138"&gt;&lt;a href="canciones/carmelo_erdozain/hoy_vuelvo_de_lejos.html"&gt;Hoy vuelvo de lejos&lt;/a&gt;&lt;/li&gt;</v>
      </c>
      <c r="W442" s="15" t="str">
        <f>_xlfn.TEXTBEFORE(_xlfn.TEXTAFTER(CantoralDB[[#This Row],[index.html]],"&gt;"),"&gt;")&amp;"&gt;"</f>
        <v>&lt;a href="canciones/carmelo_erdozain/hoy_vuelvo_de_lejos.html"&gt;</v>
      </c>
      <c r="AA442" s="1"/>
    </row>
    <row r="443" spans="1:27" x14ac:dyDescent="0.3">
      <c r="A443" s="1">
        <f>ROW(CantoralDB[[#This Row],[Título]])-1</f>
        <v>442</v>
      </c>
      <c r="B443" s="1" t="s">
        <v>1273</v>
      </c>
      <c r="C443" s="1"/>
      <c r="E443" s="1">
        <v>154</v>
      </c>
      <c r="H443" s="1" t="s">
        <v>1027</v>
      </c>
      <c r="J443" s="1" t="s">
        <v>608</v>
      </c>
      <c r="M443" s="15" t="s">
        <v>479</v>
      </c>
      <c r="N443" s="15"/>
      <c r="O443" s="15"/>
      <c r="P443" s="15" t="str" cm="1">
        <f t="array" ref="P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443" s="15" t="str" cm="1">
        <f t="array" ref="Q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canciones/carmelo_erdozain/las_puertas_de_la_nueva_ciudad.html</v>
      </c>
      <c r="S443" s="1"/>
      <c r="T443" s="1"/>
      <c r="U443" s="1"/>
      <c r="V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data-nold="154"&gt;&lt;a href="canciones/carmelo_erdozain/las_puertas_de_la_nueva_ciudad.html"&gt;Las puertas de la nueva ciudad&lt;/a&gt;&lt;/li&gt;</v>
      </c>
      <c r="W443" s="15" t="str">
        <f>_xlfn.TEXTBEFORE(_xlfn.TEXTAFTER(CantoralDB[[#This Row],[index.html]],"&gt;"),"&gt;")&amp;"&gt;"</f>
        <v>&lt;a href="canciones/carmelo_erdozain/las_puertas_de_la_nueva_ciudad.html"&gt;</v>
      </c>
      <c r="AA443" s="1"/>
    </row>
    <row r="444" spans="1:27" x14ac:dyDescent="0.3">
      <c r="A444" s="1">
        <f>ROW(CantoralDB[[#This Row],[Título]])-1</f>
        <v>443</v>
      </c>
      <c r="B444" s="1" t="s">
        <v>1275</v>
      </c>
      <c r="C444" s="1"/>
      <c r="E444" s="1">
        <v>156</v>
      </c>
      <c r="H444" s="1" t="s">
        <v>1030</v>
      </c>
      <c r="J444" s="1" t="s">
        <v>608</v>
      </c>
      <c r="M444" s="15" t="s">
        <v>479</v>
      </c>
      <c r="N444" s="15"/>
      <c r="O444" s="15"/>
      <c r="P444" s="15" t="str" cm="1">
        <f t="array" ref="P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444" s="15" t="str" cm="1">
        <f t="array" ref="Q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canciones/carmelo_erdozain/levantate_pueblo_mio.html</v>
      </c>
      <c r="S444" s="1"/>
      <c r="T444" s="1"/>
      <c r="U444" s="1"/>
      <c r="V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data-nold="156"&gt;&lt;a href="canciones/carmelo_erdozain/levantate_pueblo_mio.html"&gt;Levántate, pueblo mío&lt;/a&gt;&lt;/li&gt;</v>
      </c>
      <c r="W444" s="15" t="str">
        <f>_xlfn.TEXTBEFORE(_xlfn.TEXTAFTER(CantoralDB[[#This Row],[index.html]],"&gt;"),"&gt;")&amp;"&gt;"</f>
        <v>&lt;a href="canciones/carmelo_erdozain/levantate_pueblo_mio.html"&gt;</v>
      </c>
      <c r="AA444" s="1"/>
    </row>
    <row r="445" spans="1:27" x14ac:dyDescent="0.3">
      <c r="A445" s="1">
        <f>ROW(CantoralDB[[#This Row],[Título]])-1</f>
        <v>444</v>
      </c>
      <c r="B445" s="1" t="s">
        <v>1276</v>
      </c>
      <c r="C445" s="1"/>
      <c r="E445" s="1">
        <v>159</v>
      </c>
      <c r="H445" s="1" t="s">
        <v>531</v>
      </c>
      <c r="J445" s="1" t="s">
        <v>608</v>
      </c>
      <c r="M445" s="15" t="s">
        <v>479</v>
      </c>
      <c r="N445" s="15"/>
      <c r="O445" s="15"/>
      <c r="P445" s="15" t="str" cm="1">
        <f t="array" ref="P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445" s="15" t="str" cm="1">
        <f t="array" ref="Q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canciones/carmelo_erdozain/llego_la_noche.html</v>
      </c>
      <c r="S445" s="1"/>
      <c r="T445" s="1"/>
      <c r="U445" s="1"/>
      <c r="V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data-nold="159"&gt;&lt;a href="canciones/carmelo_erdozain/llego_la_noche.html"&gt;Llegó la noche&lt;/a&gt;&lt;/li&gt;</v>
      </c>
      <c r="W445" s="15" t="str">
        <f>_xlfn.TEXTBEFORE(_xlfn.TEXTAFTER(CantoralDB[[#This Row],[index.html]],"&gt;"),"&gt;")&amp;"&gt;"</f>
        <v>&lt;a href="canciones/carmelo_erdozain/llego_la_noche.html"&gt;</v>
      </c>
      <c r="AA445" s="1"/>
    </row>
    <row r="446" spans="1:27" x14ac:dyDescent="0.3">
      <c r="A446" s="1">
        <f>ROW(CantoralDB[[#This Row],[Título]])-1</f>
        <v>445</v>
      </c>
      <c r="B446" s="1" t="s">
        <v>1280</v>
      </c>
      <c r="C446" s="1"/>
      <c r="E446" s="1">
        <v>167</v>
      </c>
      <c r="J446" s="1"/>
      <c r="M446" s="15" t="s">
        <v>479</v>
      </c>
      <c r="N446" s="15"/>
      <c r="O446" s="15"/>
      <c r="P446" s="15" t="str" cm="1">
        <f t="array" ref="P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446" s="15" t="str" cm="1">
        <f t="array" ref="Q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canciones/carmelo_erdozain/mas_alla_las_redes_mas_alla.html</v>
      </c>
      <c r="S446" s="1"/>
      <c r="T446" s="1"/>
      <c r="U446" s="1"/>
      <c r="V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data-nold="167"&gt;&lt;a href="canciones/carmelo_erdozain/mas_alla_las_redes_mas_alla.html"&gt;Más allá, las redes más allá&lt;/a&gt;&lt;/li&gt;</v>
      </c>
      <c r="W446" s="15" t="str">
        <f>_xlfn.TEXTBEFORE(_xlfn.TEXTAFTER(CantoralDB[[#This Row],[index.html]],"&gt;"),"&gt;")&amp;"&gt;"</f>
        <v>&lt;a href="canciones/carmelo_erdozain/mas_alla_las_redes_mas_alla.html"&gt;</v>
      </c>
      <c r="AA446" s="1"/>
    </row>
    <row r="447" spans="1:27" x14ac:dyDescent="0.3">
      <c r="A447" s="1">
        <f>ROW(CantoralDB[[#This Row],[Título]])-1</f>
        <v>446</v>
      </c>
      <c r="B447" s="1" t="s">
        <v>1289</v>
      </c>
      <c r="C447" s="1"/>
      <c r="E447" s="1">
        <v>179</v>
      </c>
      <c r="H447" s="1" t="s">
        <v>1028</v>
      </c>
      <c r="J447" s="1" t="s">
        <v>608</v>
      </c>
      <c r="M447" s="15" t="s">
        <v>479</v>
      </c>
      <c r="N447" s="15"/>
      <c r="O447" s="15"/>
      <c r="P447" s="15" t="str" cm="1">
        <f t="array" ref="P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447" s="15" t="str" cm="1">
        <f t="array" ref="Q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canciones/carmelo_erdozain/nochebuena_nochebuena.html</v>
      </c>
      <c r="S447" s="1"/>
      <c r="T447" s="1"/>
      <c r="U447" s="1"/>
      <c r="V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data-nold="179"&gt;&lt;a href="canciones/carmelo_erdozain/nochebuena_nochebuena.html"&gt;Nochebuena, nochebuena&lt;/a&gt;&lt;/li&gt;</v>
      </c>
      <c r="W447" s="15" t="str">
        <f>_xlfn.TEXTBEFORE(_xlfn.TEXTAFTER(CantoralDB[[#This Row],[index.html]],"&gt;"),"&gt;")&amp;"&gt;"</f>
        <v>&lt;a href="canciones/carmelo_erdozain/nochebuena_nochebuena.html"&gt;</v>
      </c>
      <c r="AA447" s="1"/>
    </row>
    <row r="448" spans="1:27" x14ac:dyDescent="0.3">
      <c r="A448" s="1">
        <f>ROW(CantoralDB[[#This Row],[Título]])-1</f>
        <v>447</v>
      </c>
      <c r="B448" s="1" t="s">
        <v>2123</v>
      </c>
      <c r="C448" s="1"/>
      <c r="E448" s="1">
        <v>184</v>
      </c>
      <c r="H448" s="1" t="s">
        <v>1030</v>
      </c>
      <c r="J448" s="1" t="s">
        <v>608</v>
      </c>
      <c r="M448" s="15" t="s">
        <v>479</v>
      </c>
      <c r="N448" s="15"/>
      <c r="O448" s="15"/>
      <c r="P448" s="15" t="str" cm="1">
        <f t="array" ref="P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448" s="15" t="str" cm="1">
        <f t="array" ref="Q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canciones/carmelo_erdozain/oi_tu_voz.html</v>
      </c>
      <c r="S448" s="1"/>
      <c r="T448" s="1"/>
      <c r="U448" s="14" t="s">
        <v>2976</v>
      </c>
      <c r="V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data-nold="184"&gt;&lt;a href="canciones/carmelo_erdozain/oi_tu_voz.html"&gt;Oí tu voz&lt;/a&gt;&lt;/li&gt;</v>
      </c>
      <c r="W448" s="15" t="str">
        <f>_xlfn.TEXTBEFORE(_xlfn.TEXTAFTER(CantoralDB[[#This Row],[index.html]],"&gt;"),"&gt;")&amp;"&gt;"</f>
        <v>&lt;a href="canciones/carmelo_erdozain/oi_tu_voz.html"&gt;</v>
      </c>
      <c r="AA448" s="1"/>
    </row>
    <row r="449" spans="1:27" x14ac:dyDescent="0.3">
      <c r="A449" s="1">
        <f>ROW(CantoralDB[[#This Row],[Título]])-1</f>
        <v>448</v>
      </c>
      <c r="B449" s="1" t="s">
        <v>100</v>
      </c>
      <c r="C449" s="1" t="s">
        <v>201</v>
      </c>
      <c r="D449" s="1" t="s">
        <v>668</v>
      </c>
      <c r="E449" s="1">
        <v>189</v>
      </c>
      <c r="G449" s="1" t="s">
        <v>209</v>
      </c>
      <c r="H449" s="1" t="s">
        <v>1028</v>
      </c>
      <c r="J449" s="1" t="s">
        <v>608</v>
      </c>
      <c r="M449" s="15" t="s">
        <v>479</v>
      </c>
      <c r="N449" s="15"/>
      <c r="O449" s="15"/>
      <c r="P449" s="15" t="str" cm="1">
        <f t="array" ref="P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449" s="15" t="str" cm="1">
        <f t="array" ref="Q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canciones/carmelo_erdozain/oh_mi_dios_crea_en_mi.html</v>
      </c>
      <c r="S449" s="1" t="s">
        <v>850</v>
      </c>
      <c r="T449" s="1"/>
      <c r="U449" s="1"/>
      <c r="V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data-momento="Antífonas" data-nnew="D30" data-nold="189"&gt;&lt;a href="canciones/carmelo_erdozain/oh_mi_dios_crea_en_mi.html"&gt;Oh, mi Dios, crea en mí&lt;/a&gt;&lt;/li&gt;</v>
      </c>
      <c r="W449" s="15" t="str">
        <f>_xlfn.TEXTBEFORE(_xlfn.TEXTAFTER(CantoralDB[[#This Row],[index.html]],"&gt;"),"&gt;")&amp;"&gt;"</f>
        <v>&lt;a href="canciones/carmelo_erdozain/oh_mi_dios_crea_en_mi.html"&gt;</v>
      </c>
      <c r="AA449" s="1"/>
    </row>
    <row r="450" spans="1:27" x14ac:dyDescent="0.3">
      <c r="A450" s="1">
        <f>ROW(CantoralDB[[#This Row],[Título]])-1</f>
        <v>449</v>
      </c>
      <c r="B450" s="1" t="s">
        <v>118</v>
      </c>
      <c r="C450" s="1" t="s">
        <v>993</v>
      </c>
      <c r="D450" s="1" t="s">
        <v>995</v>
      </c>
      <c r="E450" s="1">
        <v>211</v>
      </c>
      <c r="G450" s="1" t="s">
        <v>209</v>
      </c>
      <c r="H450" s="1" t="s">
        <v>1030</v>
      </c>
      <c r="J450" s="1" t="s">
        <v>608</v>
      </c>
      <c r="M450" s="15" t="s">
        <v>479</v>
      </c>
      <c r="N450" s="15"/>
      <c r="O450" s="15"/>
      <c r="P450" s="15" t="str" cm="1">
        <f t="array" ref="P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450" s="15" t="str" cm="1">
        <f t="array" ref="Q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canciones/carmelo_erdozain/purificame_señor.html</v>
      </c>
      <c r="S450" s="1"/>
      <c r="T450" s="1"/>
      <c r="U450" s="1"/>
      <c r="V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data-momento="Comunión" data-nnew="K58" data-nold="211"&gt;&lt;a href="canciones/carmelo_erdozain/purificame_señor.html"&gt;Purifícame, Señor&lt;/a&gt;&lt;/li&gt;</v>
      </c>
      <c r="W450" s="15" t="str">
        <f>_xlfn.TEXTBEFORE(_xlfn.TEXTAFTER(CantoralDB[[#This Row],[index.html]],"&gt;"),"&gt;")&amp;"&gt;"</f>
        <v>&lt;a href="canciones/carmelo_erdozain/purificame_señor.html"&gt;</v>
      </c>
      <c r="AA450" s="1"/>
    </row>
    <row r="451" spans="1:27" x14ac:dyDescent="0.3">
      <c r="A451" s="1">
        <f>ROW(CantoralDB[[#This Row],[Título]])-1</f>
        <v>450</v>
      </c>
      <c r="B451" s="1" t="s">
        <v>1323</v>
      </c>
      <c r="C451" s="1"/>
      <c r="E451" s="1">
        <v>244</v>
      </c>
      <c r="H451" s="1" t="s">
        <v>1030</v>
      </c>
      <c r="J451" s="1" t="s">
        <v>608</v>
      </c>
      <c r="M451" s="15" t="s">
        <v>479</v>
      </c>
      <c r="N451" s="15"/>
      <c r="O451" s="15"/>
      <c r="P451" s="15" t="str" cm="1">
        <f t="array" ref="P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451" s="15" t="str" cm="1">
        <f t="array" ref="Q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canciones/carmelo_erdozain/se_acerca_el_reino_de_dios.html</v>
      </c>
      <c r="S451" s="1"/>
      <c r="T451" s="1"/>
      <c r="U451" s="14" t="s">
        <v>2977</v>
      </c>
      <c r="V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data-nold="244"&gt;&lt;a href="canciones/carmelo_erdozain/se_acerca_el_reino_de_dios.html"&gt;Se acerca el reino de Dios&lt;/a&gt;&lt;/li&gt;</v>
      </c>
      <c r="W451" s="15" t="str">
        <f>_xlfn.TEXTBEFORE(_xlfn.TEXTAFTER(CantoralDB[[#This Row],[index.html]],"&gt;"),"&gt;")&amp;"&gt;"</f>
        <v>&lt;a href="canciones/carmelo_erdozain/se_acerca_el_reino_de_dios.html"&gt;</v>
      </c>
      <c r="AA451" s="1"/>
    </row>
    <row r="452" spans="1:27" x14ac:dyDescent="0.3">
      <c r="A452" s="1">
        <f>ROW(CantoralDB[[#This Row],[Título]])-1</f>
        <v>451</v>
      </c>
      <c r="B452" s="1" t="s">
        <v>2911</v>
      </c>
      <c r="C452" s="1"/>
      <c r="E452" s="1">
        <v>261</v>
      </c>
      <c r="H452" s="1" t="s">
        <v>1027</v>
      </c>
      <c r="J452" s="1" t="s">
        <v>608</v>
      </c>
      <c r="M452" s="15" t="s">
        <v>479</v>
      </c>
      <c r="N452" s="15"/>
      <c r="O452" s="15"/>
      <c r="P452" s="15" t="str" cm="1">
        <f t="array" ref="P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452" s="15" t="str" cm="1">
        <f t="array" ref="Q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canciones/carmelo_erdozain/arriesgate.html</v>
      </c>
      <c r="S452" s="1"/>
      <c r="T452" s="1"/>
      <c r="U452" s="1"/>
      <c r="V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data-nold="261"&gt;&lt;a href="canciones/carmelo_erdozain/arriesgate.html"&gt;Arriésgate&lt;/a&gt;&lt;/li&gt;</v>
      </c>
      <c r="W452" s="15" t="str">
        <f>_xlfn.TEXTBEFORE(_xlfn.TEXTAFTER(CantoralDB[[#This Row],[index.html]],"&gt;"),"&gt;")&amp;"&gt;"</f>
        <v>&lt;a href="canciones/carmelo_erdozain/arriesgate.html"&gt;</v>
      </c>
      <c r="AA452" s="1"/>
    </row>
    <row r="453" spans="1:27" x14ac:dyDescent="0.3">
      <c r="A453" s="1">
        <f>ROW(CantoralDB[[#This Row],[Título]])-1</f>
        <v>452</v>
      </c>
      <c r="B453" s="1" t="s">
        <v>160</v>
      </c>
      <c r="C453" s="1" t="s">
        <v>191</v>
      </c>
      <c r="D453" s="1" t="s">
        <v>761</v>
      </c>
      <c r="E453" s="1">
        <v>283</v>
      </c>
      <c r="G453" s="1" t="s">
        <v>209</v>
      </c>
      <c r="H453" s="1" t="s">
        <v>1029</v>
      </c>
      <c r="J453" s="1" t="s">
        <v>608</v>
      </c>
      <c r="M453" s="15" t="s">
        <v>479</v>
      </c>
      <c r="N453" s="15"/>
      <c r="O453" s="15"/>
      <c r="P453" s="15" t="str" cm="1">
        <f t="array" ref="P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453" s="15" t="str" cm="1">
        <f t="array" ref="Q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canciones/carmelo_erdozain/ven_salvador.html</v>
      </c>
      <c r="S453" s="1"/>
      <c r="T453" s="1"/>
      <c r="U453" s="1"/>
      <c r="V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data-nnew="A41" data-nold="283"&gt;&lt;a href="canciones/carmelo_erdozain/ven_salvador.html"&gt;Ven, Salvador&lt;/a&gt;&lt;/li&gt;</v>
      </c>
      <c r="W453" s="15" t="str">
        <f>_xlfn.TEXTBEFORE(_xlfn.TEXTAFTER(CantoralDB[[#This Row],[index.html]],"&gt;"),"&gt;")&amp;"&gt;"</f>
        <v>&lt;a href="canciones/carmelo_erdozain/ven_salvador.html"&gt;</v>
      </c>
      <c r="AA453" s="1"/>
    </row>
    <row r="454" spans="1:27" x14ac:dyDescent="0.3">
      <c r="A454" s="1">
        <f>ROW(CantoralDB[[#This Row],[Título]])-1</f>
        <v>453</v>
      </c>
      <c r="B454" s="1" t="s">
        <v>156</v>
      </c>
      <c r="C454" s="1" t="s">
        <v>191</v>
      </c>
      <c r="D454" s="1" t="s">
        <v>756</v>
      </c>
      <c r="E454" s="1">
        <v>284</v>
      </c>
      <c r="G454" s="1" t="s">
        <v>209</v>
      </c>
      <c r="H454" s="1" t="s">
        <v>531</v>
      </c>
      <c r="J454" s="1" t="s">
        <v>608</v>
      </c>
      <c r="M454" s="15" t="s">
        <v>479</v>
      </c>
      <c r="N454" s="15"/>
      <c r="O454" s="15"/>
      <c r="P454" s="15" t="str" cm="1">
        <f t="array" ref="P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454" s="15" t="str" cm="1">
        <f t="array" ref="Q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canciones/carmelo_erdozain/vamos_a_preparar.html</v>
      </c>
      <c r="S454" s="1"/>
      <c r="T454" s="1"/>
      <c r="U454" s="1"/>
      <c r="V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data-nnew="A36" data-nold="284"&gt;&lt;a href="canciones/carmelo_erdozain/vamos_a_preparar.html"&gt;Vamos a preparar&lt;/a&gt;&lt;/li&gt;</v>
      </c>
      <c r="W454" s="15" t="str">
        <f>_xlfn.TEXTBEFORE(_xlfn.TEXTAFTER(CantoralDB[[#This Row],[index.html]],"&gt;"),"&gt;")&amp;"&gt;"</f>
        <v>&lt;a href="canciones/carmelo_erdozain/vamos_a_preparar.html"&gt;</v>
      </c>
      <c r="AA454" s="1"/>
    </row>
    <row r="455" spans="1:27" x14ac:dyDescent="0.3">
      <c r="A455" s="1">
        <f>ROW(CantoralDB[[#This Row],[Título]])-1</f>
        <v>454</v>
      </c>
      <c r="B455" s="1" t="s">
        <v>1347</v>
      </c>
      <c r="C455" s="1"/>
      <c r="E455" s="1">
        <v>290</v>
      </c>
      <c r="H455" s="1" t="s">
        <v>1027</v>
      </c>
      <c r="J455" s="1" t="s">
        <v>608</v>
      </c>
      <c r="M455" s="15" t="s">
        <v>479</v>
      </c>
      <c r="N455" s="15"/>
      <c r="O455" s="15"/>
      <c r="P455" s="15" t="str" cm="1">
        <f t="array" ref="P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455" s="15" t="str" cm="1">
        <f t="array" ref="Q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canciones/carmelo_erdozain/ven_espiritu_santo.html</v>
      </c>
      <c r="S455" s="1"/>
      <c r="T455" s="1"/>
      <c r="U455" s="14" t="s">
        <v>2978</v>
      </c>
      <c r="V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data-nold="290"&gt;&lt;a href="canciones/carmelo_erdozain/ven_espiritu_santo.html"&gt;Ven, Espíritu Santo&lt;/a&gt;&lt;/li&gt;</v>
      </c>
      <c r="W455" s="15" t="str">
        <f>_xlfn.TEXTBEFORE(_xlfn.TEXTAFTER(CantoralDB[[#This Row],[index.html]],"&gt;"),"&gt;")&amp;"&gt;"</f>
        <v>&lt;a href="canciones/carmelo_erdozain/ven_espiritu_santo.html"&gt;</v>
      </c>
      <c r="AA455" s="1"/>
    </row>
    <row r="456" spans="1:27" x14ac:dyDescent="0.3">
      <c r="A456" s="1">
        <f>ROW(CantoralDB[[#This Row],[Título]])-1</f>
        <v>455</v>
      </c>
      <c r="B456" s="1" t="s">
        <v>1351</v>
      </c>
      <c r="C456" s="1"/>
      <c r="E456" s="1">
        <v>296</v>
      </c>
      <c r="H456" s="1" t="s">
        <v>1027</v>
      </c>
      <c r="J456" s="1" t="s">
        <v>608</v>
      </c>
      <c r="M456" s="15" t="s">
        <v>479</v>
      </c>
      <c r="N456" s="15"/>
      <c r="O456" s="15"/>
      <c r="P456" s="15" t="str" cm="1">
        <f t="array" ref="P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456" s="15" t="str" cm="1">
        <f t="array" ref="Q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canciones/carmelo_erdozain/yo_estare_con_vosotros.html</v>
      </c>
      <c r="S456" s="1"/>
      <c r="T456" s="1"/>
      <c r="U456" s="14" t="s">
        <v>2979</v>
      </c>
      <c r="V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data-nold="296"&gt;&lt;a href="canciones/carmelo_erdozain/yo_estare_con_vosotros.html"&gt;Yo estaré con vosotros&lt;/a&gt;&lt;/li&gt;</v>
      </c>
      <c r="W456" s="15" t="str">
        <f>_xlfn.TEXTBEFORE(_xlfn.TEXTAFTER(CantoralDB[[#This Row],[index.html]],"&gt;"),"&gt;")&amp;"&gt;"</f>
        <v>&lt;a href="canciones/carmelo_erdozain/yo_estare_con_vosotros.html"&gt;</v>
      </c>
      <c r="AA456" s="1"/>
    </row>
    <row r="457" spans="1:27" x14ac:dyDescent="0.3">
      <c r="A457" s="1">
        <f>ROW(CantoralDB[[#This Row],[Título]])-1</f>
        <v>456</v>
      </c>
      <c r="B457" s="1" t="s">
        <v>1223</v>
      </c>
      <c r="C457" s="1"/>
      <c r="E457" s="1">
        <v>301</v>
      </c>
      <c r="H457" s="1" t="s">
        <v>1028</v>
      </c>
      <c r="J457" s="1" t="s">
        <v>608</v>
      </c>
      <c r="M457" s="15" t="s">
        <v>479</v>
      </c>
      <c r="N457" s="15"/>
      <c r="O457" s="15"/>
      <c r="P457" s="15" t="str" cm="1">
        <f t="array" ref="P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457" s="15" t="str" cm="1">
        <f t="array" ref="Q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canciones/carmelo_erdozain/creo_en_jesus.html</v>
      </c>
      <c r="S457" s="1"/>
      <c r="T457" s="1"/>
      <c r="U457" s="1"/>
      <c r="V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data-nold="301"&gt;&lt;a href="canciones/carmelo_erdozain/creo_en_jesus.html"&gt;Creo en Jesús&lt;/a&gt;&lt;/li&gt;</v>
      </c>
      <c r="W457" s="15" t="str">
        <f>_xlfn.TEXTBEFORE(_xlfn.TEXTAFTER(CantoralDB[[#This Row],[index.html]],"&gt;"),"&gt;")&amp;"&gt;"</f>
        <v>&lt;a href="canciones/carmelo_erdozain/creo_en_jesus.html"&gt;</v>
      </c>
      <c r="AA457" s="1"/>
    </row>
    <row r="458" spans="1:27" x14ac:dyDescent="0.3">
      <c r="A458" s="1">
        <f>ROW(CantoralDB[[#This Row],[Título]])-1</f>
        <v>457</v>
      </c>
      <c r="B458" s="1" t="s">
        <v>2906</v>
      </c>
      <c r="C458" s="1"/>
      <c r="E458" s="1" t="s">
        <v>1206</v>
      </c>
      <c r="H458" s="1" t="s">
        <v>1028</v>
      </c>
      <c r="J458" s="1" t="s">
        <v>608</v>
      </c>
      <c r="M458" s="15" t="s">
        <v>479</v>
      </c>
      <c r="N458" s="15"/>
      <c r="O458" s="15"/>
      <c r="P458" s="15" t="str" cm="1">
        <f t="array" ref="P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458" s="15" t="str" cm="1">
        <f t="array" ref="Q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canciones/carmelo_erdozain/tened_encendida_la_lampara.html</v>
      </c>
      <c r="S458" s="1"/>
      <c r="T458" s="1"/>
      <c r="U458" s="14" t="s">
        <v>2110</v>
      </c>
      <c r="V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data-nold="81b"&gt;&lt;a href="canciones/carmelo_erdozain/tened_encendida_la_lampara.html"&gt;Tened encendida la lámpara&lt;/a&gt;&lt;/li&gt;</v>
      </c>
      <c r="W458" s="15" t="str">
        <f>_xlfn.TEXTBEFORE(_xlfn.TEXTAFTER(CantoralDB[[#This Row],[index.html]],"&gt;"),"&gt;")&amp;"&gt;"</f>
        <v>&lt;a href="canciones/carmelo_erdozain/tened_encendida_la_lampara.html"&gt;</v>
      </c>
      <c r="AA458" s="1"/>
    </row>
    <row r="459" spans="1:27" x14ac:dyDescent="0.3">
      <c r="A459" s="1">
        <f>ROW(CantoralDB[[#This Row],[Título]])-1</f>
        <v>458</v>
      </c>
      <c r="B459" s="1" t="s">
        <v>222</v>
      </c>
      <c r="C459" s="1" t="s">
        <v>191</v>
      </c>
      <c r="D459" s="1" t="s">
        <v>734</v>
      </c>
      <c r="G459" s="1" t="s">
        <v>216</v>
      </c>
      <c r="H459" s="1" t="s">
        <v>531</v>
      </c>
      <c r="J459" s="1" t="s">
        <v>608</v>
      </c>
      <c r="M459" s="15" t="s">
        <v>479</v>
      </c>
      <c r="N459" s="15"/>
      <c r="O459" s="15"/>
      <c r="P459" s="15" t="str" cm="1">
        <f t="array" ref="P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459" s="15" t="str" cm="1">
        <f t="array" ref="Q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canciones/carmelo_erdozain/dios_nos_convoca.html</v>
      </c>
      <c r="S459" s="1"/>
      <c r="T459" s="1"/>
      <c r="U459" s="1"/>
      <c r="V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data-momento="Entrada" data-nnew="A14"&gt;&lt;a href="canciones/carmelo_erdozain/dios_nos_convoca.html"&gt;Dios nos convoca&lt;/a&gt;&lt;/li&gt;</v>
      </c>
      <c r="W459" s="15" t="str">
        <f>_xlfn.TEXTBEFORE(_xlfn.TEXTAFTER(CantoralDB[[#This Row],[index.html]],"&gt;"),"&gt;")&amp;"&gt;"</f>
        <v>&lt;a href="canciones/carmelo_erdozain/dios_nos_convoca.html"&gt;</v>
      </c>
      <c r="AA459" s="1"/>
    </row>
    <row r="460" spans="1:27" x14ac:dyDescent="0.3">
      <c r="A460" s="1">
        <f>ROW(CantoralDB[[#This Row],[Título]])-1</f>
        <v>459</v>
      </c>
      <c r="B460" s="1" t="s">
        <v>618</v>
      </c>
      <c r="C460" s="1" t="s">
        <v>197</v>
      </c>
      <c r="D460" s="1" t="s">
        <v>1444</v>
      </c>
      <c r="G460" s="1" t="s">
        <v>248</v>
      </c>
      <c r="H460" s="1" t="s">
        <v>531</v>
      </c>
      <c r="J460" s="1" t="s">
        <v>608</v>
      </c>
      <c r="M460" s="15" t="s">
        <v>479</v>
      </c>
      <c r="N460" s="15"/>
      <c r="O460" s="15"/>
      <c r="P460" s="15" t="str" cm="1">
        <f t="array" ref="P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460" s="15" t="str" cm="1">
        <f t="array" ref="Q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canciones/carmelo_erdozain/padre_nuestro_(erdozain).html</v>
      </c>
      <c r="S460" s="1"/>
      <c r="T460" s="1"/>
      <c r="U460" s="1"/>
      <c r="V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 data-momento="Padrenuestro" data-nnew="H02"&gt;&lt;a href="canciones/carmelo_erdozain/padre_nuestro_(erdozain).html"&gt;Padre nuestro (Erdozáin)&lt;/a&gt;&lt;/li&gt;</v>
      </c>
      <c r="W460" s="15" t="str">
        <f>_xlfn.TEXTBEFORE(_xlfn.TEXTAFTER(CantoralDB[[#This Row],[index.html]],"&gt;"),"&gt;")&amp;"&gt;"</f>
        <v>&lt;a href="canciones/carmelo_erdozain/padre_nuestro_(erdozain).html"&gt;</v>
      </c>
      <c r="AA460" s="1"/>
    </row>
    <row r="461" spans="1:27" x14ac:dyDescent="0.3">
      <c r="A461" s="1">
        <f>ROW(CantoralDB[[#This Row],[Título]])-1</f>
        <v>460</v>
      </c>
      <c r="B461" s="1" t="s">
        <v>2154</v>
      </c>
      <c r="C461" s="1"/>
      <c r="H461" s="1" t="s">
        <v>1027</v>
      </c>
      <c r="J461" s="1" t="s">
        <v>608</v>
      </c>
      <c r="M461" s="15" t="s">
        <v>479</v>
      </c>
      <c r="N461" s="15"/>
      <c r="O461" s="15"/>
      <c r="P461" s="15" t="str" cm="1">
        <f t="array" ref="P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Q461" s="15" t="str" cm="1">
        <f t="array" ref="Q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R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canciones/carmelo_erdozain/este_pan_y_vino.html</v>
      </c>
      <c r="S461" s="1"/>
      <c r="T461" s="1"/>
      <c r="U461" s="14" t="s">
        <v>2975</v>
      </c>
      <c r="V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data-author="Carmelo Erdozáin"&gt;&lt;a href="canciones/carmelo_erdozain/este_pan_y_vino.html"&gt;Este pan y vino&lt;/a&gt;&lt;/li&gt;</v>
      </c>
      <c r="W461" s="15" t="str">
        <f>_xlfn.TEXTBEFORE(_xlfn.TEXTAFTER(CantoralDB[[#This Row],[index.html]],"&gt;"),"&gt;")&amp;"&gt;"</f>
        <v>&lt;a href="canciones/carmelo_erdozain/este_pan_y_vino.html"&gt;</v>
      </c>
      <c r="AA461" s="1"/>
    </row>
    <row r="462" spans="1:27" x14ac:dyDescent="0.3">
      <c r="A462" s="1">
        <f>ROW(CantoralDB[[#This Row],[Título]])-1</f>
        <v>461</v>
      </c>
      <c r="B462" s="1" t="s">
        <v>2638</v>
      </c>
      <c r="C462" s="1"/>
      <c r="F462" s="1">
        <v>254</v>
      </c>
      <c r="J462" s="1"/>
      <c r="M462" s="15" t="s">
        <v>2640</v>
      </c>
      <c r="N462" s="15"/>
      <c r="O462" s="15"/>
      <c r="P462" s="15" t="str" cm="1">
        <f t="array" ref="P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62" s="15" t="str" cm="1">
        <f t="array" ref="Q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canciones/nuevas/hoy_canto_para_ti.html</v>
      </c>
      <c r="S462" s="1"/>
      <c r="T462" s="1"/>
      <c r="U462" s="1"/>
      <c r="V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data-author="Carolina Martínez"&gt;&lt;a href="canciones/nuevas/hoy_canto_para_ti.html"&gt;Hoy canto para ti&lt;/a&gt;&lt;/li&gt;</v>
      </c>
      <c r="W462" s="15" t="str">
        <f>_xlfn.TEXTBEFORE(_xlfn.TEXTAFTER(CantoralDB[[#This Row],[index.html]],"&gt;"),"&gt;")&amp;"&gt;"</f>
        <v>&lt;a href="canciones/nuevas/hoy_canto_para_ti.html"&gt;</v>
      </c>
      <c r="AA462" s="1"/>
    </row>
    <row r="463" spans="1:27" x14ac:dyDescent="0.3">
      <c r="A463" s="1">
        <f>ROW(CantoralDB[[#This Row],[Título]])-1</f>
        <v>462</v>
      </c>
      <c r="B463" s="1" t="s">
        <v>2545</v>
      </c>
      <c r="C463" s="1"/>
      <c r="F463" s="1">
        <v>149</v>
      </c>
      <c r="J463" s="1"/>
      <c r="M463" s="15" t="s">
        <v>2645</v>
      </c>
      <c r="N463" s="15"/>
      <c r="O463" s="15"/>
      <c r="P463" s="15" t="str" cm="1">
        <f t="array" ref="P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63" s="15" t="str" cm="1">
        <f t="array" ref="Q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canciones/nuevas/dios_tu_mi_dios.html</v>
      </c>
      <c r="S463" s="1"/>
      <c r="T463" s="1"/>
      <c r="U463" s="1"/>
      <c r="V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href="canciones/nuevas/dios_tu_mi_dios.html"&gt;Dios, tú, mi Dios&lt;/a&gt;&lt;/li&gt;</v>
      </c>
      <c r="W463" s="15" t="str">
        <f>_xlfn.TEXTBEFORE(_xlfn.TEXTAFTER(CantoralDB[[#This Row],[index.html]],"&gt;"),"&gt;")&amp;"&gt;"</f>
        <v>&lt;a href="canciones/nuevas/dios_tu_mi_dios.html"&gt;</v>
      </c>
      <c r="AA463" s="1"/>
    </row>
    <row r="464" spans="1:27" x14ac:dyDescent="0.3">
      <c r="A464" s="1">
        <f>ROW(CantoralDB[[#This Row],[Título]])-1</f>
        <v>463</v>
      </c>
      <c r="B464" s="1" t="s">
        <v>2643</v>
      </c>
      <c r="C464" s="1"/>
      <c r="F464" s="1">
        <v>258</v>
      </c>
      <c r="J464" s="1"/>
      <c r="M464" s="15" t="s">
        <v>2645</v>
      </c>
      <c r="N464" s="15"/>
      <c r="O464" s="15"/>
      <c r="P464" s="15" t="str" cm="1">
        <f t="array" ref="P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64" s="15" t="str" cm="1">
        <f t="array" ref="Q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canciones/nuevas/ven_dios_padre.html</v>
      </c>
      <c r="S464" s="1"/>
      <c r="T464" s="1"/>
      <c r="U464" s="1"/>
      <c r="V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href="canciones/nuevas/ven_dios_padre.html"&gt;Ven, Dios Padre&lt;/a&gt;&lt;/li&gt;</v>
      </c>
      <c r="W464" s="15" t="str">
        <f>_xlfn.TEXTBEFORE(_xlfn.TEXTAFTER(CantoralDB[[#This Row],[index.html]],"&gt;"),"&gt;")&amp;"&gt;"</f>
        <v>&lt;a href="canciones/nuevas/ven_dios_padre.html"&gt;</v>
      </c>
      <c r="AA464" s="1"/>
    </row>
    <row r="465" spans="1:27" x14ac:dyDescent="0.3">
      <c r="A465" s="1">
        <f>ROW(CantoralDB[[#This Row],[Título]])-1</f>
        <v>464</v>
      </c>
      <c r="B465" s="1" t="s">
        <v>2742</v>
      </c>
      <c r="C465" s="1"/>
      <c r="F465" s="1">
        <v>357</v>
      </c>
      <c r="J465" s="1"/>
      <c r="M465" s="15" t="s">
        <v>2645</v>
      </c>
      <c r="N465" s="15"/>
      <c r="O465" s="15"/>
      <c r="P465" s="15" t="str" cm="1">
        <f t="array" ref="P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465" s="15" t="str" cm="1">
        <f t="array" ref="Q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canciones/nuevas/toma_mi_vida.html</v>
      </c>
      <c r="S465" s="1"/>
      <c r="T465" s="1"/>
      <c r="U465" s="1"/>
      <c r="V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data-author="César Nebot"&gt;&lt;a href="canciones/nuevas/toma_mi_vida.html"&gt;Toma mi vida&lt;/a&gt;&lt;/li&gt;</v>
      </c>
      <c r="W465" s="15" t="str">
        <f>_xlfn.TEXTBEFORE(_xlfn.TEXTAFTER(CantoralDB[[#This Row],[index.html]],"&gt;"),"&gt;")&amp;"&gt;"</f>
        <v>&lt;a href="canciones/nuevas/toma_mi_vida.html"&gt;</v>
      </c>
      <c r="AA465" s="1"/>
    </row>
    <row r="466" spans="1:27" x14ac:dyDescent="0.3">
      <c r="A466" s="1">
        <f>ROW(CantoralDB[[#This Row],[Título]])-1</f>
        <v>465</v>
      </c>
      <c r="B466" s="1" t="s">
        <v>9</v>
      </c>
      <c r="C466" s="1" t="s">
        <v>993</v>
      </c>
      <c r="D466" s="1" t="s">
        <v>1035</v>
      </c>
      <c r="E466" s="1">
        <v>19</v>
      </c>
      <c r="G466" s="1" t="s">
        <v>209</v>
      </c>
      <c r="H466" s="1" t="s">
        <v>531</v>
      </c>
      <c r="I466" s="1" t="s">
        <v>2962</v>
      </c>
      <c r="J466" s="1" t="s">
        <v>608</v>
      </c>
      <c r="M466" s="15" t="s">
        <v>483</v>
      </c>
      <c r="N466" s="15"/>
      <c r="O466" s="15"/>
      <c r="P466" s="15" t="str" cm="1">
        <f t="array" ref="P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466" s="15" t="str" cm="1">
        <f t="array" ref="Q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canciones/cesareo_gabarain/al_atardecer_de_la_vida.html</v>
      </c>
      <c r="S466" s="1" t="s">
        <v>798</v>
      </c>
      <c r="T466" s="1"/>
      <c r="U466" s="1"/>
      <c r="V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data-nnew="K04" data-nold="19"&gt;&lt;a href="canciones/cesareo_gabarain/al_atardecer_de_la_vida.html"&gt;Al atardecer de la vida&lt;/a&gt;&lt;/li&gt;</v>
      </c>
      <c r="W466" s="15" t="str">
        <f>_xlfn.TEXTBEFORE(_xlfn.TEXTAFTER(CantoralDB[[#This Row],[index.html]],"&gt;"),"&gt;")&amp;"&gt;"</f>
        <v>&lt;a href="canciones/cesareo_gabarain/al_atardecer_de_la_vida.html"&gt;</v>
      </c>
      <c r="AA466" s="1"/>
    </row>
    <row r="467" spans="1:27" x14ac:dyDescent="0.3">
      <c r="A467" s="1">
        <f>ROW(CantoralDB[[#This Row],[Título]])-1</f>
        <v>466</v>
      </c>
      <c r="B467" s="1" t="s">
        <v>13</v>
      </c>
      <c r="C467" s="1" t="s">
        <v>194</v>
      </c>
      <c r="D467" s="1" t="s">
        <v>1371</v>
      </c>
      <c r="E467" s="1">
        <v>20</v>
      </c>
      <c r="F467" s="1">
        <v>293</v>
      </c>
      <c r="G467" s="1" t="s">
        <v>209</v>
      </c>
      <c r="H467" s="1" t="s">
        <v>531</v>
      </c>
      <c r="J467" s="1" t="s">
        <v>608</v>
      </c>
      <c r="M467" s="15" t="s">
        <v>483</v>
      </c>
      <c r="N467" s="15"/>
      <c r="O467" s="15"/>
      <c r="P467" s="15" t="str" cm="1">
        <f t="array" ref="P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467" s="15" t="str" cm="1">
        <f t="array" ref="Q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canciones/cesareo_gabarain/alelu-aleluya.html</v>
      </c>
      <c r="S467" s="1"/>
      <c r="T467" s="1"/>
      <c r="U467" s="1"/>
      <c r="V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data-momento="Aleluya" data-nnew="E01" data-nold="20"&gt;&lt;a href="canciones/cesareo_gabarain/alelu-aleluya.html"&gt;Alelu-aleluya&lt;/a&gt;&lt;/li&gt;</v>
      </c>
      <c r="W467" s="15" t="str">
        <f>_xlfn.TEXTBEFORE(_xlfn.TEXTAFTER(CantoralDB[[#This Row],[index.html]],"&gt;"),"&gt;")&amp;"&gt;"</f>
        <v>&lt;a href="canciones/cesareo_gabarain/alelu-aleluya.html"&gt;</v>
      </c>
      <c r="AA467" s="1"/>
    </row>
    <row r="468" spans="1:27" x14ac:dyDescent="0.3">
      <c r="A468" s="1">
        <f>ROW(CantoralDB[[#This Row],[Título]])-1</f>
        <v>467</v>
      </c>
      <c r="B468" s="1" t="s">
        <v>28</v>
      </c>
      <c r="C468" s="1" t="s">
        <v>191</v>
      </c>
      <c r="D468" s="1" t="s">
        <v>730</v>
      </c>
      <c r="E468" s="1">
        <v>38</v>
      </c>
      <c r="G468" s="1" t="s">
        <v>209</v>
      </c>
      <c r="H468" s="1" t="s">
        <v>1027</v>
      </c>
      <c r="J468" s="1" t="s">
        <v>608</v>
      </c>
      <c r="M468" s="15" t="s">
        <v>483</v>
      </c>
      <c r="N468" s="15"/>
      <c r="O468" s="15"/>
      <c r="P468" s="15" t="str" cm="1">
        <f t="array" ref="P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468" s="15" t="str" cm="1">
        <f t="array" ref="Q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canciones/cesareo_gabarain/caminando_voy.html</v>
      </c>
      <c r="S468" s="1"/>
      <c r="T468" s="1"/>
      <c r="U468" s="1"/>
      <c r="V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data-nnew="A10" data-nold="38"&gt;&lt;a href="canciones/cesareo_gabarain/caminando_voy.html"&gt;Caminando voy&lt;/a&gt;&lt;/li&gt;</v>
      </c>
      <c r="W468" s="15" t="str">
        <f>_xlfn.TEXTBEFORE(_xlfn.TEXTAFTER(CantoralDB[[#This Row],[index.html]],"&gt;"),"&gt;")&amp;"&gt;"</f>
        <v>&lt;a href="canciones/cesareo_gabarain/caminando_voy.html"&gt;</v>
      </c>
      <c r="AA468" s="1"/>
    </row>
    <row r="469" spans="1:27" x14ac:dyDescent="0.3">
      <c r="A469" s="1">
        <f>ROW(CantoralDB[[#This Row],[Título]])-1</f>
        <v>468</v>
      </c>
      <c r="B469" s="1" t="s">
        <v>1196</v>
      </c>
      <c r="C469" s="1"/>
      <c r="E469" s="1">
        <v>70</v>
      </c>
      <c r="H469" s="1" t="s">
        <v>1027</v>
      </c>
      <c r="J469" s="1" t="s">
        <v>608</v>
      </c>
      <c r="M469" s="15" t="s">
        <v>483</v>
      </c>
      <c r="N469" s="15"/>
      <c r="O469" s="15"/>
      <c r="P469" s="15" t="str" cm="1">
        <f t="array" ref="P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469" s="15" t="str" cm="1">
        <f t="array" ref="Q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canciones/cesareo_gabarain/cuando_rezamos_cuando_cantamos.html</v>
      </c>
      <c r="S469" s="1"/>
      <c r="T469" s="1"/>
      <c r="U469" s="1"/>
      <c r="V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data-nold="70"&gt;&lt;a href="canciones/cesareo_gabarain/cuando_rezamos_cuando_cantamos.html"&gt;Cuando rezamos, cuando cantamos&lt;/a&gt;&lt;/li&gt;</v>
      </c>
      <c r="W469" s="15" t="str">
        <f>_xlfn.TEXTBEFORE(_xlfn.TEXTAFTER(CantoralDB[[#This Row],[index.html]],"&gt;"),"&gt;")&amp;"&gt;"</f>
        <v>&lt;a href="canciones/cesareo_gabarain/cuando_rezamos_cuando_cantamos.html"&gt;</v>
      </c>
      <c r="AA469" s="1"/>
    </row>
    <row r="470" spans="1:27" x14ac:dyDescent="0.3">
      <c r="A470" s="1">
        <f>ROW(CantoralDB[[#This Row],[Título]])-1</f>
        <v>469</v>
      </c>
      <c r="B470" s="1" t="s">
        <v>1211</v>
      </c>
      <c r="C470" s="1"/>
      <c r="E470" s="1">
        <v>89</v>
      </c>
      <c r="H470" s="1" t="s">
        <v>1028</v>
      </c>
      <c r="J470" s="1" t="s">
        <v>608</v>
      </c>
      <c r="M470" s="15" t="s">
        <v>483</v>
      </c>
      <c r="N470" s="15"/>
      <c r="O470" s="15"/>
      <c r="P470" s="15" t="str" cm="1">
        <f t="array" ref="P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470" s="15" t="str" cm="1">
        <f t="array" ref="Q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canciones/cesareo_gabarain/en_el_trabajo_de_cada_dia.html</v>
      </c>
      <c r="S470" s="1"/>
      <c r="T470" s="1"/>
      <c r="U470" s="1"/>
      <c r="V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data-nold="89"&gt;&lt;a href="canciones/cesareo_gabarain/en_el_trabajo_de_cada_dia.html"&gt;En el trabajo de cada día&lt;/a&gt;&lt;/li&gt;</v>
      </c>
      <c r="W470" s="15" t="str">
        <f>_xlfn.TEXTBEFORE(_xlfn.TEXTAFTER(CantoralDB[[#This Row],[index.html]],"&gt;"),"&gt;")&amp;"&gt;"</f>
        <v>&lt;a href="canciones/cesareo_gabarain/en_el_trabajo_de_cada_dia.html"&gt;</v>
      </c>
      <c r="AA470" s="1"/>
    </row>
    <row r="471" spans="1:27" x14ac:dyDescent="0.3">
      <c r="A471" s="1">
        <f>ROW(CantoralDB[[#This Row],[Título]])-1</f>
        <v>470</v>
      </c>
      <c r="B471" s="1" t="s">
        <v>1245</v>
      </c>
      <c r="C471" s="1"/>
      <c r="E471" s="1">
        <v>105</v>
      </c>
      <c r="J471" s="1"/>
      <c r="M471" s="15" t="s">
        <v>483</v>
      </c>
      <c r="N471" s="15"/>
      <c r="O471" s="15"/>
      <c r="P471" s="15" t="str" cm="1">
        <f t="array" ref="P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471" s="15" t="str" cm="1">
        <f t="array" ref="Q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canciones/cesareo_gabarain/enseñame_señor_tus_caminos.html</v>
      </c>
      <c r="S471" s="1"/>
      <c r="T471" s="1"/>
      <c r="U471" s="1"/>
      <c r="V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data-nold="105"&gt;&lt;a href="canciones/cesareo_gabarain/enseñame_señor_tus_caminos.html"&gt;Enséñame, Señor, tus caminos&lt;/a&gt;&lt;/li&gt;</v>
      </c>
      <c r="W471" s="15" t="str">
        <f>_xlfn.TEXTBEFORE(_xlfn.TEXTAFTER(CantoralDB[[#This Row],[index.html]],"&gt;"),"&gt;")&amp;"&gt;"</f>
        <v>&lt;a href="canciones/cesareo_gabarain/enseñame_señor_tus_caminos.html"&gt;</v>
      </c>
      <c r="AA471" s="1"/>
    </row>
    <row r="472" spans="1:27" x14ac:dyDescent="0.3">
      <c r="A472" s="1">
        <f>ROW(CantoralDB[[#This Row],[Título]])-1</f>
        <v>471</v>
      </c>
      <c r="B472" s="1" t="s">
        <v>62</v>
      </c>
      <c r="C472" s="1" t="s">
        <v>993</v>
      </c>
      <c r="D472" s="1" t="s">
        <v>705</v>
      </c>
      <c r="E472" s="1">
        <v>106</v>
      </c>
      <c r="G472" s="1" t="s">
        <v>209</v>
      </c>
      <c r="H472" s="1" t="s">
        <v>473</v>
      </c>
      <c r="I472" s="1" t="s">
        <v>2962</v>
      </c>
      <c r="J472" s="1" t="s">
        <v>608</v>
      </c>
      <c r="M472" s="15" t="s">
        <v>483</v>
      </c>
      <c r="N472" s="15"/>
      <c r="O472" s="15"/>
      <c r="P472" s="15" t="str" cm="1">
        <f t="array" ref="P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472" s="15" t="str" cm="1">
        <f t="array" ref="Q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canciones/cesareo_gabarain/eres_mi_riqueza.html</v>
      </c>
      <c r="S472" s="1" t="s">
        <v>833</v>
      </c>
      <c r="T472" s="1"/>
      <c r="U472" s="1"/>
      <c r="V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data-nnew="K32" data-nold="106"&gt;&lt;a href="canciones/cesareo_gabarain/eres_mi_riqueza.html"&gt;Eres mi riqueza&lt;/a&gt;&lt;/li&gt;</v>
      </c>
      <c r="W472" s="15" t="str">
        <f>_xlfn.TEXTBEFORE(_xlfn.TEXTAFTER(CantoralDB[[#This Row],[index.html]],"&gt;"),"&gt;")&amp;"&gt;"</f>
        <v>&lt;a href="canciones/cesareo_gabarain/eres_mi_riqueza.html"&gt;</v>
      </c>
      <c r="AA472" s="1"/>
    </row>
    <row r="473" spans="1:27" x14ac:dyDescent="0.3">
      <c r="A473" s="1">
        <f>ROW(CantoralDB[[#This Row],[Título]])-1</f>
        <v>472</v>
      </c>
      <c r="B473" s="1" t="s">
        <v>1248</v>
      </c>
      <c r="C473" s="1"/>
      <c r="E473" s="1">
        <v>115</v>
      </c>
      <c r="H473" s="1" t="s">
        <v>531</v>
      </c>
      <c r="J473" s="1" t="s">
        <v>608</v>
      </c>
      <c r="M473" s="15" t="s">
        <v>483</v>
      </c>
      <c r="N473" s="15"/>
      <c r="O473" s="15"/>
      <c r="P473" s="15" t="str" cm="1">
        <f t="array" ref="P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473" s="15" t="str" cm="1">
        <f t="array" ref="Q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canciones/cesareo_gabarain/esperando_esperando.html</v>
      </c>
      <c r="S473" s="1"/>
      <c r="T473" s="1"/>
      <c r="U473" s="1"/>
      <c r="V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data-nold="115"&gt;&lt;a href="canciones/cesareo_gabarain/esperando_esperando.html"&gt;Esperando, esperando&lt;/a&gt;&lt;/li&gt;</v>
      </c>
      <c r="W473" s="15" t="str">
        <f>_xlfn.TEXTBEFORE(_xlfn.TEXTAFTER(CantoralDB[[#This Row],[index.html]],"&gt;"),"&gt;")&amp;"&gt;"</f>
        <v>&lt;a href="canciones/cesareo_gabarain/esperando_esperando.html"&gt;</v>
      </c>
      <c r="AA473" s="1"/>
    </row>
    <row r="474" spans="1:27" x14ac:dyDescent="0.3">
      <c r="A474" s="1">
        <f>ROW(CantoralDB[[#This Row],[Título]])-1</f>
        <v>473</v>
      </c>
      <c r="B474" s="1" t="s">
        <v>1262</v>
      </c>
      <c r="C474" s="1"/>
      <c r="E474" s="1">
        <v>133</v>
      </c>
      <c r="J474" s="1"/>
      <c r="M474" s="15" t="s">
        <v>483</v>
      </c>
      <c r="N474" s="15"/>
      <c r="O474" s="15"/>
      <c r="P474" s="15" t="str" cm="1">
        <f t="array" ref="P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474" s="15" t="str" cm="1">
        <f t="array" ref="Q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canciones/cesareo_gabarain/haz_señor.html</v>
      </c>
      <c r="S474" s="1"/>
      <c r="T474" s="1"/>
      <c r="U474" s="1"/>
      <c r="V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data-nold="133"&gt;&lt;a href="canciones/cesareo_gabarain/haz_señor.html"&gt;Haz, Señor&lt;/a&gt;&lt;/li&gt;</v>
      </c>
      <c r="W474" s="15" t="str">
        <f>_xlfn.TEXTBEFORE(_xlfn.TEXTAFTER(CantoralDB[[#This Row],[index.html]],"&gt;"),"&gt;")&amp;"&gt;"</f>
        <v>&lt;a href="canciones/cesareo_gabarain/haz_señor.html"&gt;</v>
      </c>
      <c r="AA474" s="1"/>
    </row>
    <row r="475" spans="1:27" x14ac:dyDescent="0.3">
      <c r="A475" s="1">
        <f>ROW(CantoralDB[[#This Row],[Título]])-1</f>
        <v>474</v>
      </c>
      <c r="B475" s="1" t="s">
        <v>79</v>
      </c>
      <c r="C475" s="1" t="s">
        <v>993</v>
      </c>
      <c r="D475" s="1" t="s">
        <v>713</v>
      </c>
      <c r="E475" s="1">
        <v>142</v>
      </c>
      <c r="G475" s="1" t="s">
        <v>209</v>
      </c>
      <c r="H475" s="1" t="s">
        <v>531</v>
      </c>
      <c r="I475" s="1" t="s">
        <v>2959</v>
      </c>
      <c r="J475" s="1" t="s">
        <v>608</v>
      </c>
      <c r="M475" s="15" t="s">
        <v>483</v>
      </c>
      <c r="N475" s="15"/>
      <c r="O475" s="15"/>
      <c r="P475" s="15" t="str" cm="1">
        <f t="array" ref="P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475" s="15" t="str" cm="1">
        <f t="array" ref="Q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canciones/cesareo_gabarain/iglesia_soy.html</v>
      </c>
      <c r="S475" s="1"/>
      <c r="T475" s="1"/>
      <c r="U475" s="1"/>
      <c r="V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data-nnew="K40" data-nold="142"&gt;&lt;a href="canciones/cesareo_gabarain/iglesia_soy.html"&gt;Iglesia soy&lt;/a&gt;&lt;/li&gt;</v>
      </c>
      <c r="W475" s="15" t="str">
        <f>_xlfn.TEXTBEFORE(_xlfn.TEXTAFTER(CantoralDB[[#This Row],[index.html]],"&gt;"),"&gt;")&amp;"&gt;"</f>
        <v>&lt;a href="canciones/cesareo_gabarain/iglesia_soy.html"&gt;</v>
      </c>
      <c r="AA475" s="1"/>
    </row>
    <row r="476" spans="1:27" x14ac:dyDescent="0.3">
      <c r="A476" s="1">
        <f>ROW(CantoralDB[[#This Row],[Título]])-1</f>
        <v>475</v>
      </c>
      <c r="B476" s="1" t="s">
        <v>83</v>
      </c>
      <c r="C476" s="1" t="s">
        <v>191</v>
      </c>
      <c r="D476" s="1" t="s">
        <v>743</v>
      </c>
      <c r="E476" s="1">
        <v>145</v>
      </c>
      <c r="G476" s="1" t="s">
        <v>209</v>
      </c>
      <c r="H476" s="1" t="s">
        <v>531</v>
      </c>
      <c r="J476" s="1" t="s">
        <v>608</v>
      </c>
      <c r="M476" s="15" t="s">
        <v>483</v>
      </c>
      <c r="N476" s="15"/>
      <c r="O476" s="15"/>
      <c r="P476" s="15" t="str" cm="1">
        <f t="array" ref="P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476" s="15" t="str" cm="1">
        <f t="array" ref="Q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canciones/cesareo_gabarain/juntos_como_hermanos.html</v>
      </c>
      <c r="S476" s="1"/>
      <c r="T476" s="1"/>
      <c r="U476" s="1"/>
      <c r="V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data-nnew="A23" data-nold="145"&gt;&lt;a href="canciones/cesareo_gabarain/juntos_como_hermanos.html"&gt;Juntos como hermanos&lt;/a&gt;&lt;/li&gt;</v>
      </c>
      <c r="W476" s="15" t="str">
        <f>_xlfn.TEXTBEFORE(_xlfn.TEXTAFTER(CantoralDB[[#This Row],[index.html]],"&gt;"),"&gt;")&amp;"&gt;"</f>
        <v>&lt;a href="canciones/cesareo_gabarain/juntos_como_hermanos.html"&gt;</v>
      </c>
      <c r="AA476" s="1"/>
    </row>
    <row r="477" spans="1:27" x14ac:dyDescent="0.3">
      <c r="A477" s="1">
        <f>ROW(CantoralDB[[#This Row],[Título]])-1</f>
        <v>476</v>
      </c>
      <c r="B477" s="1" t="s">
        <v>1277</v>
      </c>
      <c r="C477" s="1"/>
      <c r="E477" s="1">
        <v>160</v>
      </c>
      <c r="J477" s="1"/>
      <c r="M477" s="15" t="s">
        <v>483</v>
      </c>
      <c r="N477" s="15"/>
      <c r="O477" s="15"/>
      <c r="P477" s="15" t="str" cm="1">
        <f t="array" ref="P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477" s="15" t="str" cm="1">
        <f t="array" ref="Q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canciones/cesareo_gabarain/los_que_a_la_pobreza.html</v>
      </c>
      <c r="S477" s="1"/>
      <c r="T477" s="1"/>
      <c r="U477" s="1"/>
      <c r="V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data-nold="160"&gt;&lt;a href="canciones/cesareo_gabarain/los_que_a_la_pobreza.html"&gt;Los que a la pobreza&lt;/a&gt;&lt;/li&gt;</v>
      </c>
      <c r="W477" s="15" t="str">
        <f>_xlfn.TEXTBEFORE(_xlfn.TEXTAFTER(CantoralDB[[#This Row],[index.html]],"&gt;"),"&gt;")&amp;"&gt;"</f>
        <v>&lt;a href="canciones/cesareo_gabarain/los_que_a_la_pobreza.html"&gt;</v>
      </c>
      <c r="AA477" s="1"/>
    </row>
    <row r="478" spans="1:27" x14ac:dyDescent="0.3">
      <c r="A478" s="1">
        <f>ROW(CantoralDB[[#This Row],[Título]])-1</f>
        <v>477</v>
      </c>
      <c r="B478" s="1" t="s">
        <v>102</v>
      </c>
      <c r="C478" s="1" t="s">
        <v>201</v>
      </c>
      <c r="D478" s="1" t="s">
        <v>669</v>
      </c>
      <c r="E478" s="1">
        <v>193</v>
      </c>
      <c r="G478" s="1" t="s">
        <v>209</v>
      </c>
      <c r="H478" s="1" t="s">
        <v>1030</v>
      </c>
      <c r="J478" s="1" t="s">
        <v>608</v>
      </c>
      <c r="M478" s="15" t="s">
        <v>483</v>
      </c>
      <c r="N478" s="15"/>
      <c r="O478" s="15"/>
      <c r="P478" s="15" t="str" cm="1">
        <f t="array" ref="P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478" s="15" t="str" cm="1">
        <f t="array" ref="Q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canciones/cesareo_gabarain/ojala_escuchemos_hoy_su_voz.html</v>
      </c>
      <c r="S478" s="1"/>
      <c r="T478" s="1"/>
      <c r="U478" s="1"/>
      <c r="V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data-momento="Antífonas" data-nnew="D31" data-nold="193"&gt;&lt;a href="canciones/cesareo_gabarain/ojala_escuchemos_hoy_su_voz.html"&gt;Ojalá escuchemos hoy su voz&lt;/a&gt;&lt;/li&gt;</v>
      </c>
      <c r="W478" s="15" t="str">
        <f>_xlfn.TEXTBEFORE(_xlfn.TEXTAFTER(CantoralDB[[#This Row],[index.html]],"&gt;"),"&gt;")&amp;"&gt;"</f>
        <v>&lt;a href="canciones/cesareo_gabarain/ojala_escuchemos_hoy_su_voz.html"&gt;</v>
      </c>
      <c r="AA478" s="1"/>
    </row>
    <row r="479" spans="1:27" x14ac:dyDescent="0.3">
      <c r="A479" s="1">
        <f>ROW(CantoralDB[[#This Row],[Título]])-1</f>
        <v>478</v>
      </c>
      <c r="B479" s="1" t="s">
        <v>137</v>
      </c>
      <c r="C479" s="1" t="s">
        <v>993</v>
      </c>
      <c r="D479" s="1" t="s">
        <v>1005</v>
      </c>
      <c r="E479" s="1">
        <v>241</v>
      </c>
      <c r="G479" s="1" t="s">
        <v>209</v>
      </c>
      <c r="H479" s="1" t="s">
        <v>531</v>
      </c>
      <c r="J479" s="1" t="s">
        <v>608</v>
      </c>
      <c r="M479" s="15" t="s">
        <v>483</v>
      </c>
      <c r="N479" s="15"/>
      <c r="O479" s="15"/>
      <c r="P479" s="15" t="str" cm="1">
        <f t="array" ref="P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479" s="15" t="str" cm="1">
        <f t="array" ref="Q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canciones/cesareo_gabarain/sois_la_semilla.html</v>
      </c>
      <c r="S479" s="1" t="s">
        <v>860</v>
      </c>
      <c r="T479" s="1"/>
      <c r="U479" s="1"/>
      <c r="V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data-nnew="K68" data-nold="241"&gt;&lt;a href="canciones/cesareo_gabarain/sois_la_semilla.html"&gt;Sois la semilla&lt;/a&gt;&lt;/li&gt;</v>
      </c>
      <c r="W479" s="15" t="str">
        <f>_xlfn.TEXTBEFORE(_xlfn.TEXTAFTER(CantoralDB[[#This Row],[index.html]],"&gt;"),"&gt;")&amp;"&gt;"</f>
        <v>&lt;a href="canciones/cesareo_gabarain/sois_la_semilla.html"&gt;</v>
      </c>
      <c r="AA479" s="1"/>
    </row>
    <row r="480" spans="1:27" x14ac:dyDescent="0.3">
      <c r="A480" s="1">
        <f>ROW(CantoralDB[[#This Row],[Título]])-1</f>
        <v>479</v>
      </c>
      <c r="B480" s="1" t="s">
        <v>597</v>
      </c>
      <c r="C480" s="1" t="s">
        <v>993</v>
      </c>
      <c r="D480" s="1" t="s">
        <v>1015</v>
      </c>
      <c r="E480" s="1">
        <v>251</v>
      </c>
      <c r="G480" s="1" t="s">
        <v>209</v>
      </c>
      <c r="H480" s="1" t="s">
        <v>1030</v>
      </c>
      <c r="J480" s="1" t="s">
        <v>608</v>
      </c>
      <c r="M480" s="15" t="s">
        <v>483</v>
      </c>
      <c r="N480" s="15"/>
      <c r="O480" s="15"/>
      <c r="P480" s="15" t="str" cm="1">
        <f t="array" ref="P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480" s="15" t="str" cm="1">
        <f t="array" ref="Q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canciones/cesareo_gabarain/tu_nos_dijiste_que_la_muerte.html</v>
      </c>
      <c r="S480" s="1"/>
      <c r="T480" s="1"/>
      <c r="U480" s="1"/>
      <c r="V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data-nnew="K78" data-nold="251"&gt;&lt;a href="canciones/cesareo_gabarain/tu_nos_dijiste_que_la_muerte.html"&gt;Tú nos dijiste que la muerte&lt;/a&gt;&lt;/li&gt;</v>
      </c>
      <c r="W480" s="15" t="str">
        <f>_xlfn.TEXTBEFORE(_xlfn.TEXTAFTER(CantoralDB[[#This Row],[index.html]],"&gt;"),"&gt;")&amp;"&gt;"</f>
        <v>&lt;a href="canciones/cesareo_gabarain/tu_nos_dijiste_que_la_muerte.html"&gt;</v>
      </c>
      <c r="AA480" s="1"/>
    </row>
    <row r="481" spans="1:27" x14ac:dyDescent="0.3">
      <c r="A481" s="1">
        <f>ROW(CantoralDB[[#This Row],[Título]])-1</f>
        <v>480</v>
      </c>
      <c r="B481" s="1" t="s">
        <v>143</v>
      </c>
      <c r="C481" s="1" t="s">
        <v>993</v>
      </c>
      <c r="D481" s="1" t="s">
        <v>1011</v>
      </c>
      <c r="E481" s="1">
        <v>266</v>
      </c>
      <c r="G481" s="1" t="s">
        <v>209</v>
      </c>
      <c r="H481" s="1" t="s">
        <v>531</v>
      </c>
      <c r="I481" s="1" t="s">
        <v>2962</v>
      </c>
      <c r="J481" s="1" t="s">
        <v>608</v>
      </c>
      <c r="M481" s="15" t="s">
        <v>483</v>
      </c>
      <c r="N481" s="15"/>
      <c r="O481" s="15"/>
      <c r="P481" s="15" t="str" cm="1">
        <f t="array" ref="P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481" s="15" t="str" cm="1">
        <f t="array" ref="Q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canciones/cesareo_gabarain/todos_unidos.html</v>
      </c>
      <c r="S481" s="1"/>
      <c r="T481" s="1"/>
      <c r="U481" s="1"/>
      <c r="V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data-nnew="K74" data-nold="266"&gt;&lt;a href="canciones/cesareo_gabarain/todos_unidos.html"&gt;Todos unidos&lt;/a&gt;&lt;/li&gt;</v>
      </c>
      <c r="W481" s="15" t="str">
        <f>_xlfn.TEXTBEFORE(_xlfn.TEXTAFTER(CantoralDB[[#This Row],[index.html]],"&gt;"),"&gt;")&amp;"&gt;"</f>
        <v>&lt;a href="canciones/cesareo_gabarain/todos_unidos.html"&gt;</v>
      </c>
      <c r="AA481" s="1"/>
    </row>
    <row r="482" spans="1:27" x14ac:dyDescent="0.3">
      <c r="A482" s="1">
        <f>ROW(CantoralDB[[#This Row],[Título]])-1</f>
        <v>481</v>
      </c>
      <c r="B482" s="1" t="s">
        <v>153</v>
      </c>
      <c r="C482" s="1" t="s">
        <v>195</v>
      </c>
      <c r="D482" s="1" t="s">
        <v>774</v>
      </c>
      <c r="E482" s="1">
        <v>271</v>
      </c>
      <c r="G482" s="1" t="s">
        <v>209</v>
      </c>
      <c r="H482" s="1" t="s">
        <v>1030</v>
      </c>
      <c r="J482" s="1" t="s">
        <v>608</v>
      </c>
      <c r="M482" s="15" t="s">
        <v>483</v>
      </c>
      <c r="N482" s="15"/>
      <c r="O482" s="15"/>
      <c r="P482" s="15" t="str" cm="1">
        <f t="array" ref="P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482" s="15" t="str" cm="1">
        <f t="array" ref="Q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canciones/cesareo_gabarain/una_espiga_dorada.html</v>
      </c>
      <c r="S482" s="1"/>
      <c r="T482" s="1"/>
      <c r="U482" s="1"/>
      <c r="V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data-momento="Ofertorio" data-nnew="F19" data-nold="271"&gt;&lt;a href="canciones/cesareo_gabarain/una_espiga_dorada.html"&gt;Una espiga dorada&lt;/a&gt;&lt;/li&gt;</v>
      </c>
      <c r="W482" s="15" t="str">
        <f>_xlfn.TEXTBEFORE(_xlfn.TEXTAFTER(CantoralDB[[#This Row],[index.html]],"&gt;"),"&gt;")&amp;"&gt;"</f>
        <v>&lt;a href="canciones/cesareo_gabarain/una_espiga_dorada.html"&gt;</v>
      </c>
      <c r="AA482" s="1"/>
    </row>
    <row r="483" spans="1:27" x14ac:dyDescent="0.3">
      <c r="A483" s="1">
        <f>ROW(CantoralDB[[#This Row],[Título]])-1</f>
        <v>482</v>
      </c>
      <c r="B483" s="1" t="s">
        <v>154</v>
      </c>
      <c r="C483" s="1" t="s">
        <v>192</v>
      </c>
      <c r="D483" s="1" t="s">
        <v>1473</v>
      </c>
      <c r="E483" s="1">
        <v>274</v>
      </c>
      <c r="G483" s="1" t="s">
        <v>209</v>
      </c>
      <c r="H483" s="1" t="s">
        <v>531</v>
      </c>
      <c r="J483" s="1" t="s">
        <v>608</v>
      </c>
      <c r="M483" s="15" t="s">
        <v>483</v>
      </c>
      <c r="N483" s="15"/>
      <c r="O483" s="15"/>
      <c r="P483" s="15" t="str" cm="1">
        <f t="array" ref="P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483" s="15" t="str" cm="1">
        <f t="array" ref="Q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canciones/cesareo_gabarain/una_nueva_vida.html</v>
      </c>
      <c r="S483" s="1"/>
      <c r="T483" s="1"/>
      <c r="U483" s="1"/>
      <c r="V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data-momento="Perdón - Agua" data-nnew="B09" data-nold="274"&gt;&lt;a href="canciones/cesareo_gabarain/una_nueva_vida.html"&gt;Una nueva vida&lt;/a&gt;&lt;/li&gt;</v>
      </c>
      <c r="W483" s="15" t="str">
        <f>_xlfn.TEXTBEFORE(_xlfn.TEXTAFTER(CantoralDB[[#This Row],[index.html]],"&gt;"),"&gt;")&amp;"&gt;"</f>
        <v>&lt;a href="canciones/cesareo_gabarain/una_nueva_vida.html"&gt;</v>
      </c>
      <c r="AA483" s="1"/>
    </row>
    <row r="484" spans="1:27" x14ac:dyDescent="0.3">
      <c r="A484" s="1">
        <f>ROW(CantoralDB[[#This Row],[Título]])-1</f>
        <v>483</v>
      </c>
      <c r="B484" s="1" t="s">
        <v>163</v>
      </c>
      <c r="C484" s="1" t="s">
        <v>191</v>
      </c>
      <c r="D484" s="1" t="s">
        <v>763</v>
      </c>
      <c r="E484" s="1">
        <v>278</v>
      </c>
      <c r="G484" s="1" t="s">
        <v>209</v>
      </c>
      <c r="H484" s="1" t="s">
        <v>531</v>
      </c>
      <c r="J484" s="1" t="s">
        <v>608</v>
      </c>
      <c r="M484" s="15" t="s">
        <v>483</v>
      </c>
      <c r="N484" s="15"/>
      <c r="O484" s="15"/>
      <c r="P484" s="15" t="str" cm="1">
        <f t="array" ref="P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484" s="15" t="str" cm="1">
        <f t="array" ref="Q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canciones/cesareo_gabarain/vienen_con_alegria.html</v>
      </c>
      <c r="S484" s="1"/>
      <c r="T484" s="1"/>
      <c r="U484" s="1"/>
      <c r="V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data-nnew="A43" data-nold="278"&gt;&lt;a href="canciones/cesareo_gabarain/vienen_con_alegria.html"&gt;Vienen con alegría&lt;/a&gt;&lt;/li&gt;</v>
      </c>
      <c r="W484" s="15" t="str">
        <f>_xlfn.TEXTBEFORE(_xlfn.TEXTAFTER(CantoralDB[[#This Row],[index.html]],"&gt;"),"&gt;")&amp;"&gt;"</f>
        <v>&lt;a href="canciones/cesareo_gabarain/vienen_con_alegria.html"&gt;</v>
      </c>
      <c r="AA484" s="1"/>
    </row>
    <row r="485" spans="1:27" x14ac:dyDescent="0.3">
      <c r="A485" s="1">
        <f>ROW(CantoralDB[[#This Row],[Título]])-1</f>
        <v>484</v>
      </c>
      <c r="B485" s="1" t="s">
        <v>1349</v>
      </c>
      <c r="C485" s="1"/>
      <c r="E485" s="1">
        <v>292</v>
      </c>
      <c r="H485" s="1" t="s">
        <v>1030</v>
      </c>
      <c r="J485" s="1" t="s">
        <v>608</v>
      </c>
      <c r="M485" s="15" t="s">
        <v>483</v>
      </c>
      <c r="N485" s="15"/>
      <c r="O485" s="15"/>
      <c r="P485" s="15" t="str" cm="1">
        <f t="array" ref="P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485" s="15" t="str" cm="1">
        <f t="array" ref="Q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canciones/cesareo_gabarain/yo_confio_en_ti_señor.html</v>
      </c>
      <c r="S485" s="1"/>
      <c r="T485" s="1"/>
      <c r="U485" s="1"/>
      <c r="V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data-nold="292"&gt;&lt;a href="canciones/cesareo_gabarain/yo_confio_en_ti_señor.html"&gt;Yo confío en ti, Señor&lt;/a&gt;&lt;/li&gt;</v>
      </c>
      <c r="W485" s="15" t="str">
        <f>_xlfn.TEXTBEFORE(_xlfn.TEXTAFTER(CantoralDB[[#This Row],[index.html]],"&gt;"),"&gt;")&amp;"&gt;"</f>
        <v>&lt;a href="canciones/cesareo_gabarain/yo_confio_en_ti_señor.html"&gt;</v>
      </c>
      <c r="AA485" s="1"/>
    </row>
    <row r="486" spans="1:27" x14ac:dyDescent="0.3">
      <c r="A486" s="1">
        <f>ROW(CantoralDB[[#This Row],[Título]])-1</f>
        <v>485</v>
      </c>
      <c r="B486" s="1" t="s">
        <v>1224</v>
      </c>
      <c r="C486" s="1"/>
      <c r="E486" s="1">
        <v>302</v>
      </c>
      <c r="H486" s="1" t="s">
        <v>1028</v>
      </c>
      <c r="J486" s="1" t="s">
        <v>608</v>
      </c>
      <c r="M486" s="15" t="s">
        <v>483</v>
      </c>
      <c r="N486" s="15"/>
      <c r="O486" s="15"/>
      <c r="P486" s="15" t="str" cm="1">
        <f t="array" ref="P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486" s="15" t="str" cm="1">
        <f t="array" ref="Q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canciones/cesareo_gabarain/cristo_te_necesita_para_amar.html</v>
      </c>
      <c r="S486" s="1"/>
      <c r="T486" s="1"/>
      <c r="U486" s="1"/>
      <c r="V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data-nold="302"&gt;&lt;a href="canciones/cesareo_gabarain/cristo_te_necesita_para_amar.html"&gt;Cristo te necesita para amar&lt;/a&gt;&lt;/li&gt;</v>
      </c>
      <c r="W486" s="15" t="str">
        <f>_xlfn.TEXTBEFORE(_xlfn.TEXTAFTER(CantoralDB[[#This Row],[index.html]],"&gt;"),"&gt;")&amp;"&gt;"</f>
        <v>&lt;a href="canciones/cesareo_gabarain/cristo_te_necesita_para_amar.html"&gt;</v>
      </c>
      <c r="AA486" s="1"/>
    </row>
    <row r="487" spans="1:27" x14ac:dyDescent="0.3">
      <c r="A487" s="1">
        <f>ROW(CantoralDB[[#This Row],[Título]])-1</f>
        <v>486</v>
      </c>
      <c r="B487" s="1" t="s">
        <v>2901</v>
      </c>
      <c r="C487" s="1"/>
      <c r="E487" s="1">
        <v>306</v>
      </c>
      <c r="H487" s="1" t="s">
        <v>1027</v>
      </c>
      <c r="J487" s="1" t="s">
        <v>608</v>
      </c>
      <c r="M487" s="15" t="s">
        <v>483</v>
      </c>
      <c r="N487" s="15"/>
      <c r="O487" s="15"/>
      <c r="P487" s="15" t="str" cm="1">
        <f t="array" ref="P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487" s="15" t="str" cm="1">
        <f t="array" ref="Q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canciones/cesareo_gabarain/la_misa_es_una_fiesta_muy_alegre.html</v>
      </c>
      <c r="S487" s="1"/>
      <c r="T487" s="1"/>
      <c r="U487" s="1"/>
      <c r="V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data-nold="306"&gt;&lt;a href="canciones/cesareo_gabarain/la_misa_es_una_fiesta_muy_alegre.html"&gt;La misa es una fiesta muy alegre&lt;/a&gt;&lt;/li&gt;</v>
      </c>
      <c r="W487" s="15" t="str">
        <f>_xlfn.TEXTBEFORE(_xlfn.TEXTAFTER(CantoralDB[[#This Row],[index.html]],"&gt;"),"&gt;")&amp;"&gt;"</f>
        <v>&lt;a href="canciones/cesareo_gabarain/la_misa_es_una_fiesta_muy_alegre.html"&gt;</v>
      </c>
      <c r="AA487" s="1"/>
    </row>
    <row r="488" spans="1:27" x14ac:dyDescent="0.3">
      <c r="A488" s="1">
        <f>ROW(CantoralDB[[#This Row],[Título]])-1</f>
        <v>487</v>
      </c>
      <c r="B488" s="1" t="s">
        <v>2902</v>
      </c>
      <c r="C488" s="1"/>
      <c r="E488" s="1">
        <v>307</v>
      </c>
      <c r="H488" s="1" t="s">
        <v>1027</v>
      </c>
      <c r="J488" s="1" t="s">
        <v>608</v>
      </c>
      <c r="M488" s="15" t="s">
        <v>483</v>
      </c>
      <c r="N488" s="15"/>
      <c r="O488" s="15"/>
      <c r="P488" s="15" t="str" cm="1">
        <f t="array" ref="P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488" s="15" t="str" cm="1">
        <f t="array" ref="Q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canciones/cesareo_gabarain/la_misa_no_termina_aqui_en_la_iglesia.html</v>
      </c>
      <c r="S488" s="1"/>
      <c r="T488" s="1"/>
      <c r="U488" s="1"/>
      <c r="V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data-nold="307"&gt;&lt;a href="canciones/cesareo_gabarain/la_misa_no_termina_aqui_en_la_iglesia.html"&gt;La misa no termina aquí en la iglesia&lt;/a&gt;&lt;/li&gt;</v>
      </c>
      <c r="W488" s="15" t="str">
        <f>_xlfn.TEXTBEFORE(_xlfn.TEXTAFTER(CantoralDB[[#This Row],[index.html]],"&gt;"),"&gt;")&amp;"&gt;"</f>
        <v>&lt;a href="canciones/cesareo_gabarain/la_misa_no_termina_aqui_en_la_iglesia.html"&gt;</v>
      </c>
      <c r="AA488" s="1"/>
    </row>
    <row r="489" spans="1:27" x14ac:dyDescent="0.3">
      <c r="A489" s="1">
        <f>ROW(CantoralDB[[#This Row],[Título]])-1</f>
        <v>488</v>
      </c>
      <c r="B489" s="1" t="s">
        <v>1354</v>
      </c>
      <c r="C489" s="1"/>
      <c r="E489" s="1">
        <v>308</v>
      </c>
      <c r="F489" s="1">
        <v>206</v>
      </c>
      <c r="H489" s="1" t="s">
        <v>1027</v>
      </c>
      <c r="J489" s="1" t="s">
        <v>608</v>
      </c>
      <c r="M489" s="15" t="s">
        <v>483</v>
      </c>
      <c r="N489" s="15"/>
      <c r="O489" s="15"/>
      <c r="P489" s="15" t="str" cm="1">
        <f t="array" ref="P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489" s="15" t="str" cm="1">
        <f t="array" ref="Q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canciones/cesareo_gabarain/nadie_hay_tan_grande_como_tu.html</v>
      </c>
      <c r="S489" s="1"/>
      <c r="T489" s="1"/>
      <c r="U489" s="1"/>
      <c r="V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data-nold="308"&gt;&lt;a href="canciones/cesareo_gabarain/nadie_hay_tan_grande_como_tu.html"&gt;Nadie hay tan grande como tú&lt;/a&gt;&lt;/li&gt;</v>
      </c>
      <c r="W489" s="15" t="str">
        <f>_xlfn.TEXTBEFORE(_xlfn.TEXTAFTER(CantoralDB[[#This Row],[index.html]],"&gt;"),"&gt;")&amp;"&gt;"</f>
        <v>&lt;a href="canciones/cesareo_gabarain/nadie_hay_tan_grande_como_tu.html"&gt;</v>
      </c>
      <c r="AA489" s="1"/>
    </row>
    <row r="490" spans="1:27" x14ac:dyDescent="0.3">
      <c r="A490" s="1">
        <f>ROW(CantoralDB[[#This Row],[Título]])-1</f>
        <v>489</v>
      </c>
      <c r="B490" s="1" t="s">
        <v>1356</v>
      </c>
      <c r="C490" s="1"/>
      <c r="E490" s="1">
        <v>311</v>
      </c>
      <c r="H490" s="1" t="s">
        <v>1027</v>
      </c>
      <c r="J490" s="1" t="s">
        <v>608</v>
      </c>
      <c r="M490" s="15" t="s">
        <v>483</v>
      </c>
      <c r="N490" s="15"/>
      <c r="O490" s="15"/>
      <c r="P490" s="15" t="str" cm="1">
        <f t="array" ref="P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490" s="15" t="str" cm="1">
        <f t="array" ref="Q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canciones/cesareo_gabarain/yo_tengo_un_amigo_que_me_ama.html</v>
      </c>
      <c r="S490" s="1"/>
      <c r="T490" s="1"/>
      <c r="U490" s="1"/>
      <c r="V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data-nold="311"&gt;&lt;a href="canciones/cesareo_gabarain/yo_tengo_un_amigo_que_me_ama.html"&gt;Yo tengo un amigo que me ama&lt;/a&gt;&lt;/li&gt;</v>
      </c>
      <c r="W490" s="15" t="str">
        <f>_xlfn.TEXTBEFORE(_xlfn.TEXTAFTER(CantoralDB[[#This Row],[index.html]],"&gt;"),"&gt;")&amp;"&gt;"</f>
        <v>&lt;a href="canciones/cesareo_gabarain/yo_tengo_un_amigo_que_me_ama.html"&gt;</v>
      </c>
      <c r="AA490" s="1"/>
    </row>
    <row r="491" spans="1:27" x14ac:dyDescent="0.3">
      <c r="A491" s="1">
        <f>ROW(CantoralDB[[#This Row],[Título]])-1</f>
        <v>490</v>
      </c>
      <c r="B491" s="1" t="s">
        <v>2903</v>
      </c>
      <c r="C491" s="1"/>
      <c r="E491" s="1">
        <v>312</v>
      </c>
      <c r="H491" s="1" t="s">
        <v>1027</v>
      </c>
      <c r="J491" s="1" t="s">
        <v>608</v>
      </c>
      <c r="M491" s="15" t="s">
        <v>483</v>
      </c>
      <c r="N491" s="15"/>
      <c r="O491" s="15"/>
      <c r="P491" s="15" t="str" cm="1">
        <f t="array" ref="P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491" s="15" t="str" cm="1">
        <f t="array" ref="Q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canciones/cesareo_gabarain/tu_que_siempre_nos_perdonas.html</v>
      </c>
      <c r="S491" s="1"/>
      <c r="T491" s="1"/>
      <c r="U491" s="1"/>
      <c r="V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data-nold="312"&gt;&lt;a href="canciones/cesareo_gabarain/tu_que_siempre_nos_perdonas.html"&gt;Tú, que siempre nos perdonas&lt;/a&gt;&lt;/li&gt;</v>
      </c>
      <c r="W491" s="15" t="str">
        <f>_xlfn.TEXTBEFORE(_xlfn.TEXTAFTER(CantoralDB[[#This Row],[index.html]],"&gt;"),"&gt;")&amp;"&gt;"</f>
        <v>&lt;a href="canciones/cesareo_gabarain/tu_que_siempre_nos_perdonas.html"&gt;</v>
      </c>
      <c r="AA491" s="1"/>
    </row>
    <row r="492" spans="1:27" x14ac:dyDescent="0.3">
      <c r="A492" s="1">
        <f>ROW(CantoralDB[[#This Row],[Título]])-1</f>
        <v>491</v>
      </c>
      <c r="B492" s="1" t="s">
        <v>111</v>
      </c>
      <c r="C492" s="1" t="s">
        <v>993</v>
      </c>
      <c r="D492" s="1" t="s">
        <v>727</v>
      </c>
      <c r="E492" s="1">
        <v>313</v>
      </c>
      <c r="F492" s="1">
        <v>318</v>
      </c>
      <c r="G492" s="1" t="s">
        <v>209</v>
      </c>
      <c r="H492" s="1" t="s">
        <v>531</v>
      </c>
      <c r="I492" s="1" t="s">
        <v>2962</v>
      </c>
      <c r="J492" s="1" t="s">
        <v>608</v>
      </c>
      <c r="M492" s="15" t="s">
        <v>483</v>
      </c>
      <c r="N492" s="15"/>
      <c r="O492" s="15"/>
      <c r="P492" s="15" t="str" cm="1">
        <f t="array" ref="P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492" s="15" t="str" cm="1">
        <f t="array" ref="Q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canciones/cesareo_gabarain/pescador_de_hombres.html</v>
      </c>
      <c r="S492" s="1" t="s">
        <v>853</v>
      </c>
      <c r="T492" s="1"/>
      <c r="U492" s="1"/>
      <c r="V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data-momento="Comunión" data-nnew="K54" data-nold="313"&gt;&lt;a href="canciones/cesareo_gabarain/pescador_de_hombres.html"&gt;Pescador de hombres&lt;/a&gt;&lt;/li&gt;</v>
      </c>
      <c r="W492" s="15" t="str">
        <f>_xlfn.TEXTBEFORE(_xlfn.TEXTAFTER(CantoralDB[[#This Row],[index.html]],"&gt;"),"&gt;")&amp;"&gt;"</f>
        <v>&lt;a href="canciones/cesareo_gabarain/pescador_de_hombres.html"&gt;</v>
      </c>
      <c r="AA492" s="1"/>
    </row>
    <row r="493" spans="1:27" x14ac:dyDescent="0.3">
      <c r="A493" s="1">
        <f>ROW(CantoralDB[[#This Row],[Título]])-1</f>
        <v>492</v>
      </c>
      <c r="B493" s="1" t="s">
        <v>1357</v>
      </c>
      <c r="C493" s="1"/>
      <c r="E493" s="1">
        <v>315</v>
      </c>
      <c r="H493" s="1" t="s">
        <v>1027</v>
      </c>
      <c r="J493" s="1" t="s">
        <v>608</v>
      </c>
      <c r="M493" s="15" t="s">
        <v>483</v>
      </c>
      <c r="N493" s="15"/>
      <c r="O493" s="15"/>
      <c r="P493" s="15" t="str" cm="1">
        <f t="array" ref="P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493" s="15" t="str" cm="1">
        <f t="array" ref="Q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canciones/cesareo_gabarain/yo_pensaba_que_el_hombre_era_grande.html</v>
      </c>
      <c r="S493" s="1"/>
      <c r="T493" s="1"/>
      <c r="U493" s="1"/>
      <c r="V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data-nold="315"&gt;&lt;a href="canciones/cesareo_gabarain/yo_pensaba_que_el_hombre_era_grande.html"&gt;Yo pensaba que el hombre era grande&lt;/a&gt;&lt;/li&gt;</v>
      </c>
      <c r="W493" s="15" t="str">
        <f>_xlfn.TEXTBEFORE(_xlfn.TEXTAFTER(CantoralDB[[#This Row],[index.html]],"&gt;"),"&gt;")&amp;"&gt;"</f>
        <v>&lt;a href="canciones/cesareo_gabarain/yo_pensaba_que_el_hombre_era_grande.html"&gt;</v>
      </c>
      <c r="AA493" s="1"/>
    </row>
    <row r="494" spans="1:27" x14ac:dyDescent="0.3">
      <c r="A494" s="1">
        <f>ROW(CantoralDB[[#This Row],[Título]])-1</f>
        <v>493</v>
      </c>
      <c r="B494" s="1" t="s">
        <v>151</v>
      </c>
      <c r="C494" s="1" t="s">
        <v>195</v>
      </c>
      <c r="D494" s="1" t="s">
        <v>773</v>
      </c>
      <c r="E494" s="1">
        <v>468</v>
      </c>
      <c r="G494" s="1" t="s">
        <v>209</v>
      </c>
      <c r="H494" s="1" t="s">
        <v>473</v>
      </c>
      <c r="I494" s="1" t="s">
        <v>2962</v>
      </c>
      <c r="J494" s="1" t="s">
        <v>608</v>
      </c>
      <c r="M494" s="15" t="s">
        <v>483</v>
      </c>
      <c r="N494" s="15"/>
      <c r="O494" s="15"/>
      <c r="P494" s="15" t="str" cm="1">
        <f t="array" ref="P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494" s="15" t="str" cm="1">
        <f t="array" ref="Q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canciones/cesareo_gabarain/un_niño_se_te_acerco.html</v>
      </c>
      <c r="S494" s="1" t="s">
        <v>866</v>
      </c>
      <c r="T494" s="1"/>
      <c r="U494" s="1"/>
      <c r="V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data-momento="Ofertorio" data-nnew="F18" data-nold="468"&gt;&lt;a href="canciones/cesareo_gabarain/un_niño_se_te_acerco.html"&gt;Un niño se te acercó&lt;/a&gt;&lt;/li&gt;</v>
      </c>
      <c r="W494" s="15" t="str">
        <f>_xlfn.TEXTBEFORE(_xlfn.TEXTAFTER(CantoralDB[[#This Row],[index.html]],"&gt;"),"&gt;")&amp;"&gt;"</f>
        <v>&lt;a href="canciones/cesareo_gabarain/un_niño_se_te_acerco.html"&gt;</v>
      </c>
      <c r="AA494" s="1"/>
    </row>
    <row r="495" spans="1:27" x14ac:dyDescent="0.3">
      <c r="A495" s="1">
        <f>ROW(CantoralDB[[#This Row],[Título]])-1</f>
        <v>494</v>
      </c>
      <c r="B495" s="1" t="s">
        <v>177</v>
      </c>
      <c r="C495" s="1" t="s">
        <v>191</v>
      </c>
      <c r="D495" s="1" t="s">
        <v>732</v>
      </c>
      <c r="G495" s="1" t="s">
        <v>209</v>
      </c>
      <c r="H495" s="1" t="s">
        <v>531</v>
      </c>
      <c r="J495" s="1" t="s">
        <v>608</v>
      </c>
      <c r="M495" s="15" t="s">
        <v>483</v>
      </c>
      <c r="N495" s="15"/>
      <c r="O495" s="15"/>
      <c r="P495" s="15" t="str" cm="1">
        <f t="array" ref="P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495" s="15" t="str" cm="1">
        <f t="array" ref="Q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canciones/cesareo_gabarain/dios_es_amor.html</v>
      </c>
      <c r="S495" s="1" t="s">
        <v>820</v>
      </c>
      <c r="T495" s="1"/>
      <c r="U495" s="1"/>
      <c r="V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data-nnew="A12"&gt;&lt;a href="canciones/cesareo_gabarain/dios_es_amor.html"&gt;Dios es amor&lt;/a&gt;&lt;/li&gt;</v>
      </c>
      <c r="W495" s="15" t="str">
        <f>_xlfn.TEXTBEFORE(_xlfn.TEXTAFTER(CantoralDB[[#This Row],[index.html]],"&gt;"),"&gt;")&amp;"&gt;"</f>
        <v>&lt;a href="canciones/cesareo_gabarain/dios_es_amor.html"&gt;</v>
      </c>
      <c r="AA495" s="1"/>
    </row>
    <row r="496" spans="1:27" x14ac:dyDescent="0.3">
      <c r="A496" s="1">
        <f>ROW(CantoralDB[[#This Row],[Título]])-1</f>
        <v>495</v>
      </c>
      <c r="B496" s="1" t="s">
        <v>2862</v>
      </c>
      <c r="C496" s="1"/>
      <c r="H496" s="1" t="s">
        <v>473</v>
      </c>
      <c r="J496" s="1" t="s">
        <v>608</v>
      </c>
      <c r="M496" s="15" t="s">
        <v>483</v>
      </c>
      <c r="N496" s="15"/>
      <c r="O496" s="15"/>
      <c r="P496" s="15" t="str" cm="1">
        <f t="array" ref="P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496" s="15" t="str" cm="1">
        <f t="array" ref="Q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R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canciones/cesareo_gabarain/a_quien_temere.html</v>
      </c>
      <c r="S496" s="1"/>
      <c r="T496" s="1"/>
      <c r="U496" s="1"/>
      <c r="V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Gabarain"&gt;&lt;a href="canciones/cesareo_gabarain/a_quien_temere.html"&gt;A quién temeré&lt;/a&gt;&lt;/li&gt;</v>
      </c>
      <c r="W496" s="15" t="str">
        <f>_xlfn.TEXTBEFORE(_xlfn.TEXTAFTER(CantoralDB[[#This Row],[index.html]],"&gt;"),"&gt;")&amp;"&gt;"</f>
        <v>&lt;a href="canciones/cesareo_gabarain/a_quien_temere.html"&gt;</v>
      </c>
      <c r="AA496" s="1"/>
    </row>
    <row r="497" spans="1:27" x14ac:dyDescent="0.3">
      <c r="A497" s="1">
        <f>ROW(CantoralDB[[#This Row],[Título]])-1</f>
        <v>496</v>
      </c>
      <c r="B497" s="1" t="s">
        <v>17</v>
      </c>
      <c r="C497" s="1" t="s">
        <v>194</v>
      </c>
      <c r="D497" s="1" t="s">
        <v>1377</v>
      </c>
      <c r="G497" s="1" t="s">
        <v>209</v>
      </c>
      <c r="H497" s="1" t="s">
        <v>1030</v>
      </c>
      <c r="I497" s="1" t="s">
        <v>2962</v>
      </c>
      <c r="J497" s="1" t="s">
        <v>608</v>
      </c>
      <c r="M497" s="15" t="s">
        <v>483</v>
      </c>
      <c r="N497" s="15"/>
      <c r="O497" s="15"/>
      <c r="P497" s="15" t="str" cm="1">
        <f t="array" ref="P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497" s="15" t="str" cm="1">
        <f t="array" ref="Q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canciones/cesareo_gabarain/aleluya_creo_en_ti_señor.html</v>
      </c>
      <c r="S497" s="1"/>
      <c r="T497" s="1"/>
      <c r="U497" s="1"/>
      <c r="V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data-momento="Aleluya" data-nnew="E06"&gt;&lt;a href="canciones/cesareo_gabarain/aleluya_creo_en_ti_señor.html"&gt;Aleluya, creo en Ti, Señor&lt;/a&gt;&lt;/li&gt;</v>
      </c>
      <c r="W497" s="15" t="str">
        <f>_xlfn.TEXTBEFORE(_xlfn.TEXTAFTER(CantoralDB[[#This Row],[index.html]],"&gt;"),"&gt;")&amp;"&gt;"</f>
        <v>&lt;a href="canciones/cesareo_gabarain/aleluya_creo_en_ti_señor.html"&gt;</v>
      </c>
      <c r="AA497" s="1"/>
    </row>
    <row r="498" spans="1:27" x14ac:dyDescent="0.3">
      <c r="A498" s="1">
        <f>ROW(CantoralDB[[#This Row],[Título]])-1</f>
        <v>497</v>
      </c>
      <c r="B498" s="1" t="s">
        <v>179</v>
      </c>
      <c r="C498" s="1" t="s">
        <v>476</v>
      </c>
      <c r="D498" s="1" t="s">
        <v>1413</v>
      </c>
      <c r="G498" s="1" t="s">
        <v>209</v>
      </c>
      <c r="H498" s="1" t="s">
        <v>1030</v>
      </c>
      <c r="J498" s="1" t="s">
        <v>608</v>
      </c>
      <c r="M498" s="15" t="s">
        <v>483</v>
      </c>
      <c r="N498" s="15"/>
      <c r="O498" s="15"/>
      <c r="P498" s="15" t="str" cm="1">
        <f t="array" ref="P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498" s="15" t="str" cm="1">
        <f t="array" ref="Q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canciones/cesareo_gabarain/el_niño_dios_ha_nacido_en_belen.html</v>
      </c>
      <c r="S498" s="1"/>
      <c r="T498" s="1"/>
      <c r="U498" s="1"/>
      <c r="V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data-momento="Navidad" data-nnew="O07"&gt;&lt;a href="canciones/cesareo_gabarain/el_niño_dios_ha_nacido_en_belen.html"&gt;El niño Dios ha nacido en Belén&lt;/a&gt;&lt;/li&gt;</v>
      </c>
      <c r="W498" s="15" t="str">
        <f>_xlfn.TEXTBEFORE(_xlfn.TEXTAFTER(CantoralDB[[#This Row],[index.html]],"&gt;"),"&gt;")&amp;"&gt;"</f>
        <v>&lt;a href="canciones/cesareo_gabarain/el_niño_dios_ha_nacido_en_belen.html"&gt;</v>
      </c>
      <c r="AA498" s="1"/>
    </row>
    <row r="499" spans="1:27" x14ac:dyDescent="0.3">
      <c r="A499" s="1">
        <f>ROW(CantoralDB[[#This Row],[Título]])-1</f>
        <v>498</v>
      </c>
      <c r="B499" s="1" t="s">
        <v>489</v>
      </c>
      <c r="C499" s="1" t="s">
        <v>191</v>
      </c>
      <c r="D499" s="1" t="s">
        <v>745</v>
      </c>
      <c r="G499" s="1" t="s">
        <v>216</v>
      </c>
      <c r="H499" s="1" t="s">
        <v>1030</v>
      </c>
      <c r="J499" s="1" t="s">
        <v>608</v>
      </c>
      <c r="M499" s="15" t="s">
        <v>483</v>
      </c>
      <c r="N499" s="15"/>
      <c r="O499" s="15"/>
      <c r="P499" s="15" t="str" cm="1">
        <f t="array" ref="P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Q499" s="15" t="str" cm="1">
        <f t="array" ref="Q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canciones/cesareo_gabarain/peregrino_(exodo_y_liberacion).html</v>
      </c>
      <c r="S499" s="1"/>
      <c r="T499" s="1"/>
      <c r="U499" s="1"/>
      <c r="V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data-author="Cesáreo Gabarain" data-momento="Entrada" data-nnew="A25"&gt;&lt;a href="canciones/cesareo_gabarain/peregrino_(exodo_y_liberacion).html"&gt;Peregrino (Éxodo y liberación)&lt;/a&gt;&lt;/li&gt;</v>
      </c>
      <c r="W499" s="15" t="str">
        <f>_xlfn.TEXTBEFORE(_xlfn.TEXTAFTER(CantoralDB[[#This Row],[index.html]],"&gt;"),"&gt;")&amp;"&gt;"</f>
        <v>&lt;a href="canciones/cesareo_gabarain/peregrino_(exodo_y_liberacion).html"&gt;</v>
      </c>
      <c r="AA499" s="1"/>
    </row>
    <row r="500" spans="1:27" x14ac:dyDescent="0.3">
      <c r="A500" s="1">
        <f>ROW(CantoralDB[[#This Row],[Título]])-1</f>
        <v>499</v>
      </c>
      <c r="B500" s="1" t="s">
        <v>2477</v>
      </c>
      <c r="C500" s="1"/>
      <c r="F500" s="1">
        <v>85</v>
      </c>
      <c r="J500" s="1"/>
      <c r="M500" s="15" t="s">
        <v>2478</v>
      </c>
      <c r="N500" s="15"/>
      <c r="O500" s="15"/>
      <c r="P500" s="15" t="str" cm="1">
        <f t="array" ref="P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00" s="15" t="str" cm="1">
        <f t="array" ref="Q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canciones/nuevas/vuelve_los_ojos_al_señor.html</v>
      </c>
      <c r="S500" s="1"/>
      <c r="T500" s="1"/>
      <c r="U500" s="1"/>
      <c r="V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data-author="Chantal Guerret"&gt;&lt;a href="canciones/nuevas/vuelve_los_ojos_al_señor.html"&gt;Vuelve los ojos al Señor&lt;/a&gt;&lt;/li&gt;</v>
      </c>
      <c r="W500" s="15" t="str">
        <f>_xlfn.TEXTBEFORE(_xlfn.TEXTAFTER(CantoralDB[[#This Row],[index.html]],"&gt;"),"&gt;")&amp;"&gt;"</f>
        <v>&lt;a href="canciones/nuevas/vuelve_los_ojos_al_señor.html"&gt;</v>
      </c>
      <c r="AA500" s="1"/>
    </row>
    <row r="501" spans="1:27" x14ac:dyDescent="0.3">
      <c r="A501" s="1">
        <f>ROW(CantoralDB[[#This Row],[Título]])-1</f>
        <v>500</v>
      </c>
      <c r="B501" s="1" t="s">
        <v>2657</v>
      </c>
      <c r="C501" s="1"/>
      <c r="F501" s="1">
        <v>271</v>
      </c>
      <c r="J501" s="1"/>
      <c r="M501" s="15" t="s">
        <v>2658</v>
      </c>
      <c r="N501" s="15"/>
      <c r="O501" s="15"/>
      <c r="P501" s="15" t="str" cm="1">
        <f t="array" ref="P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01" s="15" t="str" cm="1">
        <f t="array" ref="Q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canciones/nuevas/ven_ahora_espiritu_santo.html</v>
      </c>
      <c r="S501" s="1"/>
      <c r="T501" s="1"/>
      <c r="U501" s="1"/>
      <c r="V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data-author="Charlotte Exon"&gt;&lt;a href="canciones/nuevas/ven_ahora_espiritu_santo.html"&gt;Ven ahora, Espíritu Santo&lt;/a&gt;&lt;/li&gt;</v>
      </c>
      <c r="W501" s="15" t="str">
        <f>_xlfn.TEXTBEFORE(_xlfn.TEXTAFTER(CantoralDB[[#This Row],[index.html]],"&gt;"),"&gt;")&amp;"&gt;"</f>
        <v>&lt;a href="canciones/nuevas/ven_ahora_espiritu_santo.html"&gt;</v>
      </c>
      <c r="AA501" s="1"/>
    </row>
    <row r="502" spans="1:27" x14ac:dyDescent="0.3">
      <c r="A502" s="1">
        <f>ROW(CantoralDB[[#This Row],[Título]])-1</f>
        <v>501</v>
      </c>
      <c r="B502" s="1" t="s">
        <v>2833</v>
      </c>
      <c r="C502" s="1"/>
      <c r="F502" s="1">
        <v>433</v>
      </c>
      <c r="J502" s="1"/>
      <c r="M502" s="15" t="s">
        <v>2835</v>
      </c>
      <c r="N502" s="15"/>
      <c r="O502" s="15"/>
      <c r="P502" s="15" t="str" cm="1">
        <f t="array" ref="P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02" s="15" t="str" cm="1">
        <f t="array" ref="Q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canciones/nuevas/cantico_de_victoria.html</v>
      </c>
      <c r="S502" s="1"/>
      <c r="T502" s="1"/>
      <c r="U502" s="1"/>
      <c r="V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data-author="Charo Moreno"&gt;&lt;a href="canciones/nuevas/cantico_de_victoria.html"&gt;Cántico de victoria&lt;/a&gt;&lt;/li&gt;</v>
      </c>
      <c r="W502" s="15" t="str">
        <f>_xlfn.TEXTBEFORE(_xlfn.TEXTAFTER(CantoralDB[[#This Row],[index.html]],"&gt;"),"&gt;")&amp;"&gt;"</f>
        <v>&lt;a href="canciones/nuevas/cantico_de_victoria.html"&gt;</v>
      </c>
      <c r="AA502" s="1"/>
    </row>
    <row r="503" spans="1:27" x14ac:dyDescent="0.3">
      <c r="A503" s="1">
        <f>ROW(CantoralDB[[#This Row],[Título]])-1</f>
        <v>502</v>
      </c>
      <c r="B503" s="1" t="s">
        <v>2170</v>
      </c>
      <c r="C503" s="1"/>
      <c r="F503" s="1">
        <v>244</v>
      </c>
      <c r="H503" s="1" t="s">
        <v>531</v>
      </c>
      <c r="J503" s="1" t="s">
        <v>608</v>
      </c>
      <c r="M503" s="15" t="s">
        <v>2183</v>
      </c>
      <c r="N503" s="15"/>
      <c r="O503" s="15"/>
      <c r="P503" s="15" t="str" cm="1">
        <f t="array" ref="P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03" s="15" t="str" cm="1">
        <f t="array" ref="Q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canciones/nuevas/salvame.html</v>
      </c>
      <c r="S503" s="1"/>
      <c r="T503" s="1"/>
      <c r="U503" s="14" t="s">
        <v>3011</v>
      </c>
      <c r="V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data-author="Chema"&gt;&lt;a href="canciones/nuevas/salvame.html"&gt;Sálvame&lt;/a&gt;&lt;/li&gt;</v>
      </c>
      <c r="W503" s="15" t="str">
        <f>_xlfn.TEXTBEFORE(_xlfn.TEXTAFTER(CantoralDB[[#This Row],[index.html]],"&gt;"),"&gt;")&amp;"&gt;"</f>
        <v>&lt;a href="canciones/nuevas/salvame.html"&gt;</v>
      </c>
      <c r="AA503" s="1"/>
    </row>
    <row r="504" spans="1:27" x14ac:dyDescent="0.3">
      <c r="A504" s="1">
        <f>ROW(CantoralDB[[#This Row],[Título]])-1</f>
        <v>503</v>
      </c>
      <c r="B504" s="1" t="s">
        <v>2527</v>
      </c>
      <c r="C504" s="1"/>
      <c r="F504" s="1">
        <v>130</v>
      </c>
      <c r="J504" s="1"/>
      <c r="M504" s="15" t="s">
        <v>2526</v>
      </c>
      <c r="N504" s="15"/>
      <c r="O504" s="15"/>
      <c r="P504" s="15" t="str" cm="1">
        <f t="array" ref="P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04" s="15" t="str" cm="1">
        <f t="array" ref="Q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canciones/nuevas/pasa_por_aqui_señor.html</v>
      </c>
      <c r="S504" s="1"/>
      <c r="T504" s="1"/>
      <c r="U504" s="1"/>
      <c r="V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data-author="Chiquito Villalba"&gt;&lt;a href="canciones/nuevas/pasa_por_aqui_señor.html"&gt;Pasa por aquí, Señor&lt;/a&gt;&lt;/li&gt;</v>
      </c>
      <c r="W504" s="15" t="str">
        <f>_xlfn.TEXTBEFORE(_xlfn.TEXTAFTER(CantoralDB[[#This Row],[index.html]],"&gt;"),"&gt;")&amp;"&gt;"</f>
        <v>&lt;a href="canciones/nuevas/pasa_por_aqui_señor.html"&gt;</v>
      </c>
      <c r="AA504" s="1"/>
    </row>
    <row r="505" spans="1:27" x14ac:dyDescent="0.3">
      <c r="A505" s="1">
        <f>ROW(CantoralDB[[#This Row],[Título]])-1</f>
        <v>504</v>
      </c>
      <c r="B505" s="1" t="s">
        <v>2578</v>
      </c>
      <c r="C505" s="1"/>
      <c r="F505" s="1">
        <v>180</v>
      </c>
      <c r="J505" s="1"/>
      <c r="M505" s="15" t="s">
        <v>2579</v>
      </c>
      <c r="N505" s="15"/>
      <c r="O505" s="15"/>
      <c r="P505" s="15" t="str" cm="1">
        <f t="array" ref="P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05" s="15" t="str" cm="1">
        <f t="array" ref="Q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canciones/nuevas/yo_canto_a_mi_señor.html</v>
      </c>
      <c r="S505" s="1"/>
      <c r="T505" s="1"/>
      <c r="U505" s="1"/>
      <c r="V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data-author="Claude Fraysse"&gt;&lt;a href="canciones/nuevas/yo_canto_a_mi_señor.html"&gt;Yo canto a mi Señor&lt;/a&gt;&lt;/li&gt;</v>
      </c>
      <c r="W505" s="15" t="str">
        <f>_xlfn.TEXTBEFORE(_xlfn.TEXTAFTER(CantoralDB[[#This Row],[index.html]],"&gt;"),"&gt;")&amp;"&gt;"</f>
        <v>&lt;a href="canciones/nuevas/yo_canto_a_mi_señor.html"&gt;</v>
      </c>
      <c r="AA505" s="1"/>
    </row>
    <row r="506" spans="1:27" x14ac:dyDescent="0.3">
      <c r="A506" s="1">
        <f>ROW(CantoralDB[[#This Row],[Título]])-1</f>
        <v>505</v>
      </c>
      <c r="B506" s="1" t="s">
        <v>2547</v>
      </c>
      <c r="C506" s="1"/>
      <c r="F506" s="1">
        <v>151</v>
      </c>
      <c r="J506" s="1"/>
      <c r="M506" s="15" t="s">
        <v>2548</v>
      </c>
      <c r="N506" s="15"/>
      <c r="O506" s="15"/>
      <c r="P506" s="15" t="str" cm="1">
        <f t="array" ref="P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06" s="15" t="str" cm="1">
        <f t="array" ref="Q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canciones/nuevas/yo_quiero_ser_como_tu.html</v>
      </c>
      <c r="S506" s="1"/>
      <c r="T506" s="1"/>
      <c r="U506" s="1"/>
      <c r="V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data-author="Clint Brown"&gt;&lt;a href="canciones/nuevas/yo_quiero_ser_como_tu.html"&gt;Yo quiero ser como tú&lt;/a&gt;&lt;/li&gt;</v>
      </c>
      <c r="W506" s="15" t="str">
        <f>_xlfn.TEXTBEFORE(_xlfn.TEXTAFTER(CantoralDB[[#This Row],[index.html]],"&gt;"),"&gt;")&amp;"&gt;"</f>
        <v>&lt;a href="canciones/nuevas/yo_quiero_ser_como_tu.html"&gt;</v>
      </c>
      <c r="AA506" s="1"/>
    </row>
    <row r="507" spans="1:27" x14ac:dyDescent="0.3">
      <c r="A507" s="1">
        <f>ROW(CantoralDB[[#This Row],[Título]])-1</f>
        <v>506</v>
      </c>
      <c r="B507" s="1" t="s">
        <v>204</v>
      </c>
      <c r="C507" s="1" t="s">
        <v>993</v>
      </c>
      <c r="D507" s="1" t="s">
        <v>1038</v>
      </c>
      <c r="E507" s="1">
        <v>23</v>
      </c>
      <c r="G507" s="1" t="s">
        <v>209</v>
      </c>
      <c r="H507" s="1" t="s">
        <v>1027</v>
      </c>
      <c r="I507" s="1" t="s">
        <v>2962</v>
      </c>
      <c r="J507" s="1" t="s">
        <v>608</v>
      </c>
      <c r="M507" s="15" t="s">
        <v>541</v>
      </c>
      <c r="N507" s="15"/>
      <c r="O507" s="15"/>
      <c r="P507" s="15" t="str" cm="1">
        <f t="array" ref="P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07" s="15" t="str" cm="1">
        <f t="array" ref="Q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canciones/nsb/alza_tu_mano_(comunidad).html</v>
      </c>
      <c r="S507" s="1"/>
      <c r="T507" s="1"/>
      <c r="U507" s="1"/>
      <c r="V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data-author="Comunidad San Pedro" data-momento="Comunión" data-nnew="K07" data-nold="23"&gt;&lt;a href="canciones/nsb/alza_tu_mano_(comunidad).html"&gt;Alza tu mano (Comunidad)&lt;/a&gt;&lt;/li&gt;</v>
      </c>
      <c r="W507" s="15" t="str">
        <f>_xlfn.TEXTBEFORE(_xlfn.TEXTAFTER(CantoralDB[[#This Row],[index.html]],"&gt;"),"&gt;")&amp;"&gt;"</f>
        <v>&lt;a href="canciones/nsb/alza_tu_mano_(comunidad).html"&gt;</v>
      </c>
      <c r="AA507" s="1"/>
    </row>
    <row r="508" spans="1:27" x14ac:dyDescent="0.3">
      <c r="A508" s="1">
        <f>ROW(CantoralDB[[#This Row],[Título]])-1</f>
        <v>507</v>
      </c>
      <c r="B508" s="1" t="s">
        <v>551</v>
      </c>
      <c r="C508" s="1" t="s">
        <v>476</v>
      </c>
      <c r="D508" s="1" t="s">
        <v>1068</v>
      </c>
      <c r="E508" s="1">
        <v>171</v>
      </c>
      <c r="H508" s="1" t="s">
        <v>1029</v>
      </c>
      <c r="J508" s="1" t="s">
        <v>608</v>
      </c>
      <c r="M508" s="15" t="s">
        <v>541</v>
      </c>
      <c r="N508" s="15"/>
      <c r="O508" s="15"/>
      <c r="P508" s="15" t="str" cm="1">
        <f t="array" ref="P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08" s="15" t="str" cm="1">
        <f t="array" ref="Q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canciones/nsb/vivid_la_navidad.html</v>
      </c>
      <c r="S508" s="1"/>
      <c r="T508" s="1"/>
      <c r="U508" s="1"/>
      <c r="V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data-author="Comunidad San Pedro" data-momento="Navidad" data-nnew="O18" data-nold="171"&gt;&lt;a href="canciones/nsb/vivid_la_navidad.html"&gt;Vivid la Navidad&lt;/a&gt;&lt;/li&gt;</v>
      </c>
      <c r="W508" s="15" t="str">
        <f>_xlfn.TEXTBEFORE(_xlfn.TEXTAFTER(CantoralDB[[#This Row],[index.html]],"&gt;"),"&gt;")&amp;"&gt;"</f>
        <v>&lt;a href="canciones/nsb/vivid_la_navidad.html"&gt;</v>
      </c>
      <c r="AA508" s="1"/>
    </row>
    <row r="509" spans="1:27" x14ac:dyDescent="0.3">
      <c r="A509" s="1">
        <f>ROW(CantoralDB[[#This Row],[Título]])-1</f>
        <v>508</v>
      </c>
      <c r="B509" s="1" t="s">
        <v>68</v>
      </c>
      <c r="C509" s="1" t="s">
        <v>193</v>
      </c>
      <c r="D509" s="1" t="s">
        <v>1423</v>
      </c>
      <c r="E509" s="1">
        <v>426</v>
      </c>
      <c r="F509" s="1">
        <v>284</v>
      </c>
      <c r="G509" s="1" t="s">
        <v>209</v>
      </c>
      <c r="H509" s="1" t="s">
        <v>531</v>
      </c>
      <c r="I509" s="1" t="s">
        <v>2963</v>
      </c>
      <c r="J509" s="1" t="s">
        <v>608</v>
      </c>
      <c r="M509" s="15" t="s">
        <v>506</v>
      </c>
      <c r="N509" s="15"/>
      <c r="O509" s="15"/>
      <c r="P509" s="15" t="str" cm="1">
        <f t="array" ref="P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09" s="15" t="str" cm="1">
        <f t="array" ref="Q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canciones/nsb/gloria_a_dios_gloria_al_padre.html</v>
      </c>
      <c r="S509" s="1"/>
      <c r="T509" s="1"/>
      <c r="U509" s="1"/>
      <c r="V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data-author="Coral Católica Juvenil" data-momento="Gloria" data-nnew="C03" data-nold="426"&gt;&lt;a href="canciones/nsb/gloria_a_dios_gloria_al_padre.html"&gt;Gloria a Dios, gloria al Padre&lt;/a&gt;&lt;/li&gt;</v>
      </c>
      <c r="W509" s="15" t="str">
        <f>_xlfn.TEXTBEFORE(_xlfn.TEXTAFTER(CantoralDB[[#This Row],[index.html]],"&gt;"),"&gt;")&amp;"&gt;"</f>
        <v>&lt;a href="canciones/nsb/gloria_a_dios_gloria_al_padre.html"&gt;</v>
      </c>
      <c r="AA509" s="1"/>
    </row>
    <row r="510" spans="1:27" x14ac:dyDescent="0.3">
      <c r="A510" s="1">
        <f>ROW(CantoralDB[[#This Row],[Título]])-1</f>
        <v>509</v>
      </c>
      <c r="B510" s="1" t="s">
        <v>133</v>
      </c>
      <c r="C510" s="1" t="s">
        <v>192</v>
      </c>
      <c r="D510" s="1" t="s">
        <v>1468</v>
      </c>
      <c r="E510" s="1">
        <v>460</v>
      </c>
      <c r="G510" s="1" t="s">
        <v>209</v>
      </c>
      <c r="H510" s="1" t="s">
        <v>531</v>
      </c>
      <c r="I510" s="1" t="s">
        <v>2963</v>
      </c>
      <c r="J510" s="1" t="s">
        <v>608</v>
      </c>
      <c r="M510" s="15" t="s">
        <v>792</v>
      </c>
      <c r="N510" s="15"/>
      <c r="O510" s="15"/>
      <c r="P510" s="15" t="str" cm="1">
        <f t="array" ref="P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10" s="15" t="str" cm="1">
        <f t="array" ref="Q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canciones/nsb/señor_ten_piedad.html</v>
      </c>
      <c r="S510" s="1"/>
      <c r="T510" s="1"/>
      <c r="U510" s="1"/>
      <c r="V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data-author="Coro Niño Jesús (Cádiz)" data-momento="Perdón - Agua" data-nnew="B06" data-nold="460"&gt;&lt;a href="canciones/nsb/señor_ten_piedad.html"&gt;Señor, ten piedad&lt;/a&gt;&lt;/li&gt;</v>
      </c>
      <c r="W510" s="15" t="str">
        <f>_xlfn.TEXTBEFORE(_xlfn.TEXTAFTER(CantoralDB[[#This Row],[index.html]],"&gt;"),"&gt;")&amp;"&gt;"</f>
        <v>&lt;a href="canciones/nsb/señor_ten_piedad.html"&gt;</v>
      </c>
      <c r="AA510" s="1"/>
    </row>
    <row r="511" spans="1:27" x14ac:dyDescent="0.3">
      <c r="A511" s="1">
        <f>ROW(CantoralDB[[#This Row],[Título]])-1</f>
        <v>510</v>
      </c>
      <c r="B511" s="1" t="s">
        <v>150</v>
      </c>
      <c r="C511" s="1" t="s">
        <v>195</v>
      </c>
      <c r="D511" s="1" t="s">
        <v>772</v>
      </c>
      <c r="E511" s="1">
        <v>467</v>
      </c>
      <c r="G511" s="1" t="s">
        <v>209</v>
      </c>
      <c r="H511" s="1" t="s">
        <v>531</v>
      </c>
      <c r="I511" s="1" t="s">
        <v>2962</v>
      </c>
      <c r="J511" s="1" t="s">
        <v>608</v>
      </c>
      <c r="M511" s="15" t="s">
        <v>793</v>
      </c>
      <c r="N511" s="15"/>
      <c r="O511" s="15"/>
      <c r="P511" s="15" t="str" cm="1">
        <f t="array" ref="P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11" s="15" t="str" cm="1">
        <f t="array" ref="Q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canciones/nsb/un_dia_abri_los_ojos.html</v>
      </c>
      <c r="S511" s="1"/>
      <c r="T511" s="1"/>
      <c r="U511" s="1"/>
      <c r="V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data-author="Coro Parroquial San Miguel" data-momento="Ofertorio" data-nnew="F17" data-nold="467"&gt;&lt;a href="canciones/nsb/un_dia_abri_los_ojos.html"&gt;Un día abrí los ojos&lt;/a&gt;&lt;/li&gt;</v>
      </c>
      <c r="W511" s="15" t="str">
        <f>_xlfn.TEXTBEFORE(_xlfn.TEXTAFTER(CantoralDB[[#This Row],[index.html]],"&gt;"),"&gt;")&amp;"&gt;"</f>
        <v>&lt;a href="canciones/nsb/un_dia_abri_los_ojos.html"&gt;</v>
      </c>
      <c r="AA511" s="1"/>
    </row>
    <row r="512" spans="1:27" x14ac:dyDescent="0.3">
      <c r="A512" s="1">
        <f>ROW(CantoralDB[[#This Row],[Título]])-1</f>
        <v>511</v>
      </c>
      <c r="B512" s="1" t="s">
        <v>2461</v>
      </c>
      <c r="C512" s="1"/>
      <c r="F512" s="1">
        <v>70</v>
      </c>
      <c r="J512" s="1"/>
      <c r="M512" s="15" t="s">
        <v>2462</v>
      </c>
      <c r="N512" s="15"/>
      <c r="O512" s="15"/>
      <c r="P512" s="15" t="str" cm="1">
        <f t="array" ref="P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12" s="15" t="str" cm="1">
        <f t="array" ref="Q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canciones/nuevas/espiritu_santo_de_dios.html</v>
      </c>
      <c r="S512" s="1"/>
      <c r="T512" s="1"/>
      <c r="U512" s="1"/>
      <c r="V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data-author="Daniel Iverson"&gt;&lt;a href="canciones/nuevas/espiritu_santo_de_dios.html"&gt;Espíritu Santo de Dios&lt;/a&gt;&lt;/li&gt;</v>
      </c>
      <c r="W512" s="15" t="str">
        <f>_xlfn.TEXTBEFORE(_xlfn.TEXTAFTER(CantoralDB[[#This Row],[index.html]],"&gt;"),"&gt;")&amp;"&gt;"</f>
        <v>&lt;a href="canciones/nuevas/espiritu_santo_de_dios.html"&gt;</v>
      </c>
      <c r="AA512" s="1"/>
    </row>
    <row r="513" spans="1:27" x14ac:dyDescent="0.3">
      <c r="A513" s="1">
        <f>ROW(CantoralDB[[#This Row],[Título]])-1</f>
        <v>512</v>
      </c>
      <c r="B513" s="1" t="s">
        <v>2759</v>
      </c>
      <c r="C513" s="1"/>
      <c r="F513" s="1">
        <v>373</v>
      </c>
      <c r="J513" s="1"/>
      <c r="M513" s="15" t="s">
        <v>2758</v>
      </c>
      <c r="N513" s="15"/>
      <c r="O513" s="15"/>
      <c r="P513" s="15" t="str" cm="1">
        <f t="array" ref="P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13" s="15" t="str" cm="1">
        <f t="array" ref="Q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canciones/nuevas/mi_cristo_mi_rey.html</v>
      </c>
      <c r="S513" s="1"/>
      <c r="T513" s="1"/>
      <c r="U513" s="1"/>
      <c r="V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data-author="Darlene Zschech"&gt;&lt;a href="canciones/nuevas/mi_cristo_mi_rey.html"&gt;Mi Cristo, mi rey&lt;/a&gt;&lt;/li&gt;</v>
      </c>
      <c r="W513" s="15" t="str">
        <f>_xlfn.TEXTBEFORE(_xlfn.TEXTAFTER(CantoralDB[[#This Row],[index.html]],"&gt;"),"&gt;")&amp;"&gt;"</f>
        <v>&lt;a href="canciones/nuevas/mi_cristo_mi_rey.html"&gt;</v>
      </c>
      <c r="AA513" s="1"/>
    </row>
    <row r="514" spans="1:27" x14ac:dyDescent="0.3">
      <c r="A514" s="1">
        <f>ROW(CantoralDB[[#This Row],[Título]])-1</f>
        <v>513</v>
      </c>
      <c r="B514" s="1" t="s">
        <v>2654</v>
      </c>
      <c r="C514" s="1"/>
      <c r="F514" s="1">
        <v>269</v>
      </c>
      <c r="J514" s="1"/>
      <c r="M514" s="15" t="s">
        <v>2655</v>
      </c>
      <c r="N514" s="15"/>
      <c r="O514" s="15"/>
      <c r="P514" s="15" t="str" cm="1">
        <f t="array" ref="P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14" s="15" t="str" cm="1">
        <f t="array" ref="Q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canciones/nuevas/en_momentos_asi.html</v>
      </c>
      <c r="S514" s="1"/>
      <c r="T514" s="1"/>
      <c r="U514" s="1"/>
      <c r="V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data-author="David Graham"&gt;&lt;a href="canciones/nuevas/en_momentos_asi.html"&gt;En momentos así&lt;/a&gt;&lt;/li&gt;</v>
      </c>
      <c r="W514" s="15" t="str">
        <f>_xlfn.TEXTBEFORE(_xlfn.TEXTAFTER(CantoralDB[[#This Row],[index.html]],"&gt;"),"&gt;")&amp;"&gt;"</f>
        <v>&lt;a href="canciones/nuevas/en_momentos_asi.html"&gt;</v>
      </c>
      <c r="AA514" s="1"/>
    </row>
    <row r="515" spans="1:27" x14ac:dyDescent="0.3">
      <c r="A515" s="1">
        <f>ROW(CantoralDB[[#This Row],[Título]])-1</f>
        <v>514</v>
      </c>
      <c r="B515" s="1" t="s">
        <v>162</v>
      </c>
      <c r="C515" s="1" t="s">
        <v>993</v>
      </c>
      <c r="D515" s="1" t="s">
        <v>1017</v>
      </c>
      <c r="E515" s="1">
        <v>286</v>
      </c>
      <c r="G515" s="1" t="s">
        <v>209</v>
      </c>
      <c r="H515" s="1" t="s">
        <v>473</v>
      </c>
      <c r="I515" s="1" t="s">
        <v>2961</v>
      </c>
      <c r="J515" s="1" t="s">
        <v>608</v>
      </c>
      <c r="M515" s="15" t="s">
        <v>2881</v>
      </c>
      <c r="N515" s="15"/>
      <c r="O515" s="15"/>
      <c r="P515" s="15" t="str" cm="1">
        <f t="array" ref="P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15" s="15" t="str" cm="1">
        <f t="array" ref="Q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canciones/nsb/victoria_tu_reinaras.html</v>
      </c>
      <c r="S515" s="1"/>
      <c r="T515" s="1"/>
      <c r="U515" s="1"/>
      <c r="V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data-author="David Julien" data-momento="Comunión" data-nnew="K80" data-nold="286"&gt;&lt;a href="canciones/nsb/victoria_tu_reinaras.html"&gt;Victoria, tú reinarás&lt;/a&gt;&lt;/li&gt;</v>
      </c>
      <c r="W515" s="15" t="str">
        <f>_xlfn.TEXTBEFORE(_xlfn.TEXTAFTER(CantoralDB[[#This Row],[index.html]],"&gt;"),"&gt;")&amp;"&gt;"</f>
        <v>&lt;a href="canciones/nsb/victoria_tu_reinaras.html"&gt;</v>
      </c>
      <c r="AA515" s="1"/>
    </row>
    <row r="516" spans="1:27" x14ac:dyDescent="0.3">
      <c r="A516" s="1">
        <f>ROW(CantoralDB[[#This Row],[Título]])-1</f>
        <v>515</v>
      </c>
      <c r="B516" s="1" t="s">
        <v>2156</v>
      </c>
      <c r="C516" s="15"/>
      <c r="F516" s="1">
        <v>205</v>
      </c>
      <c r="H516" s="1" t="s">
        <v>473</v>
      </c>
      <c r="J516" s="1" t="s">
        <v>608</v>
      </c>
      <c r="M516" s="15" t="s">
        <v>2175</v>
      </c>
      <c r="N516" s="15"/>
      <c r="O516" s="15"/>
      <c r="P516" s="15" t="str" cm="1">
        <f t="array" ref="P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16" s="15" t="str" cm="1">
        <f t="array" ref="Q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canciones/nuevas/al_que_esta_sentado_en_el_trono_y_al_cordero.html</v>
      </c>
      <c r="S516" s="1"/>
      <c r="T516" s="1"/>
      <c r="U516" s="14" t="s">
        <v>3001</v>
      </c>
      <c r="V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data-author="Debbye Graafsma"&gt;&lt;a href="canciones/nuevas/al_que_esta_sentado_en_el_trono_y_al_cordero.html"&gt;Al que está sentado en el trono y al cordero&lt;/a&gt;&lt;/li&gt;</v>
      </c>
      <c r="W516" s="15" t="str">
        <f>_xlfn.TEXTBEFORE(_xlfn.TEXTAFTER(CantoralDB[[#This Row],[index.html]],"&gt;"),"&gt;")&amp;"&gt;"</f>
        <v>&lt;a href="canciones/nuevas/al_que_esta_sentado_en_el_trono_y_al_cordero.html"&gt;</v>
      </c>
      <c r="AA516" s="1"/>
    </row>
    <row r="517" spans="1:27" x14ac:dyDescent="0.3">
      <c r="A517" s="1">
        <f>ROW(CantoralDB[[#This Row],[Título]])-1</f>
        <v>516</v>
      </c>
      <c r="B517" s="1" t="s">
        <v>2805</v>
      </c>
      <c r="C517" s="1"/>
      <c r="F517" s="1">
        <v>410</v>
      </c>
      <c r="J517" s="1"/>
      <c r="M517" s="15" t="s">
        <v>2806</v>
      </c>
      <c r="N517" s="15"/>
      <c r="O517" s="15"/>
      <c r="P517" s="15" t="str" cm="1">
        <f t="array" ref="P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17" s="15" t="str" cm="1">
        <f t="array" ref="Q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canciones/nuevas/tu_eres_dios.html</v>
      </c>
      <c r="S517" s="1"/>
      <c r="T517" s="1"/>
      <c r="U517" s="1"/>
      <c r="V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 Harris"&gt;&lt;a href="canciones/nuevas/tu_eres_dios.html"&gt;Tú eres Dios&lt;/a&gt;&lt;/li&gt;</v>
      </c>
      <c r="W517" s="15" t="str">
        <f>_xlfn.TEXTBEFORE(_xlfn.TEXTAFTER(CantoralDB[[#This Row],[index.html]],"&gt;"),"&gt;")&amp;"&gt;"</f>
        <v>&lt;a href="canciones/nuevas/tu_eres_dios.html"&gt;</v>
      </c>
      <c r="AA517" s="1"/>
    </row>
    <row r="518" spans="1:27" x14ac:dyDescent="0.3">
      <c r="A518" s="1">
        <f>ROW(CantoralDB[[#This Row],[Título]])-1</f>
        <v>517</v>
      </c>
      <c r="B518" s="1" t="s">
        <v>2513</v>
      </c>
      <c r="C518" s="1"/>
      <c r="F518" s="1">
        <v>121</v>
      </c>
      <c r="J518" s="1"/>
      <c r="M518" s="15" t="s">
        <v>2512</v>
      </c>
      <c r="N518" s="15"/>
      <c r="O518" s="15"/>
      <c r="P518" s="15" t="str" cm="1">
        <f t="array" ref="P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18" s="15" t="str" cm="1">
        <f t="array" ref="Q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canciones/nuevas/sendas_dios_hara.html</v>
      </c>
      <c r="S518" s="1"/>
      <c r="T518" s="1"/>
      <c r="U518" s="1"/>
      <c r="V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 Moen"&gt;&lt;a href="canciones/nuevas/sendas_dios_hara.html"&gt;Sendas Dios hará&lt;/a&gt;&lt;/li&gt;</v>
      </c>
      <c r="W518" s="15" t="str">
        <f>_xlfn.TEXTBEFORE(_xlfn.TEXTAFTER(CantoralDB[[#This Row],[index.html]],"&gt;"),"&gt;")&amp;"&gt;"</f>
        <v>&lt;a href="canciones/nuevas/sendas_dios_hara.html"&gt;</v>
      </c>
      <c r="AA518" s="1"/>
    </row>
    <row r="519" spans="1:27" x14ac:dyDescent="0.3">
      <c r="A519" s="1">
        <f>ROW(CantoralDB[[#This Row],[Título]])-1</f>
        <v>518</v>
      </c>
      <c r="B519" s="1" t="s">
        <v>2682</v>
      </c>
      <c r="C519" s="1"/>
      <c r="F519" s="1">
        <v>297</v>
      </c>
      <c r="H519" s="1" t="s">
        <v>1027</v>
      </c>
      <c r="J519" s="1" t="s">
        <v>608</v>
      </c>
      <c r="M519" s="15" t="s">
        <v>2683</v>
      </c>
      <c r="N519" s="15"/>
      <c r="O519" s="15"/>
      <c r="P519" s="15" t="str" cm="1">
        <f t="array" ref="P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19" s="15" t="str" cm="1">
        <f t="array" ref="Q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canciones/nuevas/aleluya_demos_gracias.html</v>
      </c>
      <c r="S519" s="1"/>
      <c r="T519" s="1"/>
      <c r="U519" s="14" t="s">
        <v>3002</v>
      </c>
      <c r="V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data-author="Donald Fishel"&gt;&lt;a href="canciones/nuevas/aleluya_demos_gracias.html"&gt;Aleluya, demos gracias&lt;/a&gt;&lt;/li&gt;</v>
      </c>
      <c r="W519" s="15" t="str">
        <f>_xlfn.TEXTBEFORE(_xlfn.TEXTAFTER(CantoralDB[[#This Row],[index.html]],"&gt;"),"&gt;")&amp;"&gt;"</f>
        <v>&lt;a href="canciones/nuevas/aleluya_demos_gracias.html"&gt;</v>
      </c>
      <c r="AA519" s="1"/>
    </row>
    <row r="520" spans="1:27" x14ac:dyDescent="0.3">
      <c r="A520" s="1">
        <f>ROW(CantoralDB[[#This Row],[Título]])-1</f>
        <v>519</v>
      </c>
      <c r="B520" s="1" t="s">
        <v>2821</v>
      </c>
      <c r="C520" s="1"/>
      <c r="F520" s="1">
        <v>422</v>
      </c>
      <c r="J520" s="1"/>
      <c r="M520" s="15" t="s">
        <v>2825</v>
      </c>
      <c r="N520" s="15"/>
      <c r="O520" s="15"/>
      <c r="P520" s="15" t="str" cm="1">
        <f t="array" ref="P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20" s="15" t="str" cm="1">
        <f t="array" ref="Q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canciones/nuevas/queremos_a_cristo_proclamar.html</v>
      </c>
      <c r="S520" s="1"/>
      <c r="T520" s="1"/>
      <c r="U520" s="1"/>
      <c r="V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data-author="Doug Horley"&gt;&lt;a href="canciones/nuevas/queremos_a_cristo_proclamar.html"&gt;Queremos a Cristo proclamar&lt;/a&gt;&lt;/li&gt;</v>
      </c>
      <c r="W520" s="15" t="str">
        <f>_xlfn.TEXTBEFORE(_xlfn.TEXTAFTER(CantoralDB[[#This Row],[index.html]],"&gt;"),"&gt;")&amp;"&gt;"</f>
        <v>&lt;a href="canciones/nuevas/queremos_a_cristo_proclamar.html"&gt;</v>
      </c>
      <c r="AA520" s="1"/>
    </row>
    <row r="521" spans="1:27" x14ac:dyDescent="0.3">
      <c r="A521" s="1">
        <f>ROW(CantoralDB[[#This Row],[Título]])-1</f>
        <v>520</v>
      </c>
      <c r="B521" s="1" t="s">
        <v>1342</v>
      </c>
      <c r="C521" s="1"/>
      <c r="E521" s="1">
        <v>280</v>
      </c>
      <c r="J521" s="1"/>
      <c r="M521" s="15" t="s">
        <v>2108</v>
      </c>
      <c r="N521" s="15"/>
      <c r="O521" s="15"/>
      <c r="P521" s="15" t="str" cm="1">
        <f t="array" ref="P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21" s="15" t="str" cm="1">
        <f t="array" ref="Q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canciones/nsb/ven_a_nuestro_mundo.html</v>
      </c>
      <c r="S521" s="1"/>
      <c r="T521" s="1"/>
      <c r="U521" s="1"/>
      <c r="V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data-author="Dubé" data-nold="280"&gt;&lt;a href="canciones/nsb/ven_a_nuestro_mundo.html"&gt;Ven a nuestro mundo&lt;/a&gt;&lt;/li&gt;</v>
      </c>
      <c r="W521" s="15" t="str">
        <f>_xlfn.TEXTBEFORE(_xlfn.TEXTAFTER(CantoralDB[[#This Row],[index.html]],"&gt;"),"&gt;")&amp;"&gt;"</f>
        <v>&lt;a href="canciones/nsb/ven_a_nuestro_mundo.html"&gt;</v>
      </c>
      <c r="AA521" s="1"/>
    </row>
    <row r="522" spans="1:27" x14ac:dyDescent="0.3">
      <c r="A522" s="1">
        <f>ROW(CantoralDB[[#This Row],[Título]])-1</f>
        <v>521</v>
      </c>
      <c r="B522" s="1" t="s">
        <v>2628</v>
      </c>
      <c r="C522" s="1"/>
      <c r="F522" s="1">
        <v>238</v>
      </c>
      <c r="J522" s="1"/>
      <c r="M522" s="15" t="s">
        <v>2627</v>
      </c>
      <c r="N522" s="15"/>
      <c r="O522" s="15"/>
      <c r="P522" s="15" t="str" cm="1">
        <f t="array" ref="P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22" s="15" t="str" cm="1">
        <f t="array" ref="Q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canciones/nuevas/el_gran_amor.html</v>
      </c>
      <c r="S522" s="1"/>
      <c r="T522" s="1"/>
      <c r="U522" s="1"/>
      <c r="V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data-author="Edith McNeill"&gt;&lt;a href="canciones/nuevas/el_gran_amor.html"&gt;El gran amor&lt;/a&gt;&lt;/li&gt;</v>
      </c>
      <c r="W522" s="15" t="str">
        <f>_xlfn.TEXTBEFORE(_xlfn.TEXTAFTER(CantoralDB[[#This Row],[index.html]],"&gt;"),"&gt;")&amp;"&gt;"</f>
        <v>&lt;a href="canciones/nuevas/el_gran_amor.html"&gt;</v>
      </c>
      <c r="AA522" s="1"/>
    </row>
    <row r="523" spans="1:27" x14ac:dyDescent="0.3">
      <c r="A523" s="1">
        <f>ROW(CantoralDB[[#This Row],[Título]])-1</f>
        <v>522</v>
      </c>
      <c r="B523" s="1" t="s">
        <v>60</v>
      </c>
      <c r="C523" s="1" t="s">
        <v>993</v>
      </c>
      <c r="D523" s="1" t="s">
        <v>703</v>
      </c>
      <c r="E523" s="1">
        <v>424</v>
      </c>
      <c r="G523" s="1" t="s">
        <v>209</v>
      </c>
      <c r="H523" s="1" t="s">
        <v>1027</v>
      </c>
      <c r="J523" s="1" t="s">
        <v>608</v>
      </c>
      <c r="M523" s="15" t="s">
        <v>628</v>
      </c>
      <c r="N523" s="15"/>
      <c r="O523" s="15"/>
      <c r="P523" s="15" t="str" cm="1">
        <f t="array" ref="P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23" s="15" t="str" cm="1">
        <f t="array" ref="Q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canciones/nsb/en_mi_getsemani.html</v>
      </c>
      <c r="S523" s="1" t="s">
        <v>831</v>
      </c>
      <c r="T523" s="1"/>
      <c r="U523" s="1"/>
      <c r="V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Meana" data-momento="Comunión" data-nnew="K30" data-nold="424"&gt;&lt;a href="canciones/nsb/en_mi_getsemani.html"&gt;En mi Getsemaní&lt;/a&gt;&lt;/li&gt;</v>
      </c>
      <c r="W523" s="15" t="str">
        <f>_xlfn.TEXTBEFORE(_xlfn.TEXTAFTER(CantoralDB[[#This Row],[index.html]],"&gt;"),"&gt;")&amp;"&gt;"</f>
        <v>&lt;a href="canciones/nsb/en_mi_getsemani.html"&gt;</v>
      </c>
      <c r="AA523" s="1"/>
    </row>
    <row r="524" spans="1:27" x14ac:dyDescent="0.3">
      <c r="A524" s="1">
        <f>ROW(CantoralDB[[#This Row],[Título]])-1</f>
        <v>523</v>
      </c>
      <c r="B524" s="1" t="s">
        <v>594</v>
      </c>
      <c r="C524" s="1" t="s">
        <v>993</v>
      </c>
      <c r="D524" s="1" t="s">
        <v>1000</v>
      </c>
      <c r="G524" s="1" t="s">
        <v>595</v>
      </c>
      <c r="H524" s="1" t="s">
        <v>1027</v>
      </c>
      <c r="J524" s="1" t="s">
        <v>608</v>
      </c>
      <c r="M524" s="15" t="s">
        <v>628</v>
      </c>
      <c r="N524" s="15"/>
      <c r="O524" s="15"/>
      <c r="P524" s="15" t="str" cm="1">
        <f t="array" ref="P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24" s="15" t="str" cm="1">
        <f t="array" ref="Q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canciones/nsb/quiero_ser_pan.html</v>
      </c>
      <c r="S524" s="1"/>
      <c r="T524" s="1"/>
      <c r="U524" s="1"/>
      <c r="V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Meana" data-momento="Comunión" data-nnew="K63"&gt;&lt;a href="canciones/nsb/quiero_ser_pan.html"&gt;Quiero ser pan&lt;/a&gt;&lt;/li&gt;</v>
      </c>
      <c r="W524" s="15" t="str">
        <f>_xlfn.TEXTBEFORE(_xlfn.TEXTAFTER(CantoralDB[[#This Row],[index.html]],"&gt;"),"&gt;")&amp;"&gt;"</f>
        <v>&lt;a href="canciones/nsb/quiero_ser_pan.html"&gt;</v>
      </c>
      <c r="AA524" s="1"/>
    </row>
    <row r="525" spans="1:27" x14ac:dyDescent="0.3">
      <c r="A525" s="1">
        <f>ROW(CantoralDB[[#This Row],[Título]])-1</f>
        <v>524</v>
      </c>
      <c r="B525" s="1" t="s">
        <v>532</v>
      </c>
      <c r="C525" s="1" t="s">
        <v>195</v>
      </c>
      <c r="D525" s="1" t="s">
        <v>1419</v>
      </c>
      <c r="G525" s="1" t="s">
        <v>533</v>
      </c>
      <c r="H525" s="1" t="s">
        <v>473</v>
      </c>
      <c r="I525" s="1" t="s">
        <v>2962</v>
      </c>
      <c r="J525" s="1" t="s">
        <v>608</v>
      </c>
      <c r="M525" s="15" t="s">
        <v>616</v>
      </c>
      <c r="N525" s="15"/>
      <c r="O525" s="15"/>
      <c r="P525" s="15" t="str" cm="1">
        <f t="array" ref="P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25" s="15" t="str" cm="1">
        <f t="array" ref="Q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canciones/nsb/esto_que_te_doy.html</v>
      </c>
      <c r="S525" s="1"/>
      <c r="T525" s="1"/>
      <c r="U525" s="14" t="s">
        <v>2992</v>
      </c>
      <c r="V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data-author="Eduardo Ortiz" data-momento="Ofertorio" data-nnew="F08"&gt;&lt;a href="canciones/nsb/esto_que_te_doy.html"&gt;Esto que te doy&lt;/a&gt;&lt;/li&gt;</v>
      </c>
      <c r="W525" s="15" t="str">
        <f>_xlfn.TEXTBEFORE(_xlfn.TEXTAFTER(CantoralDB[[#This Row],[index.html]],"&gt;"),"&gt;")&amp;"&gt;"</f>
        <v>&lt;a href="canciones/nsb/esto_que_te_doy.html"&gt;</v>
      </c>
      <c r="AA525" s="1"/>
    </row>
    <row r="526" spans="1:27" x14ac:dyDescent="0.3">
      <c r="A526" s="1">
        <f>ROW(CantoralDB[[#This Row],[Título]])-1</f>
        <v>525</v>
      </c>
      <c r="B526" s="1" t="s">
        <v>2506</v>
      </c>
      <c r="C526" s="1"/>
      <c r="F526" s="1">
        <v>117</v>
      </c>
      <c r="J526" s="1"/>
      <c r="M526" s="15" t="s">
        <v>2507</v>
      </c>
      <c r="N526" s="15"/>
      <c r="O526" s="15"/>
      <c r="P526" s="15" t="str" cm="1">
        <f t="array" ref="P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26" s="15" t="str" cm="1">
        <f t="array" ref="Q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canciones/nuevas/algo_nuevo_esta_naciendo.html</v>
      </c>
      <c r="S526" s="1"/>
      <c r="T526" s="1"/>
      <c r="U526" s="1"/>
      <c r="V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Andrés"&gt;&lt;a href="canciones/nuevas/algo_nuevo_esta_naciendo.html"&gt;Algo nuevo está naciendo&lt;/a&gt;&lt;/li&gt;</v>
      </c>
      <c r="W526" s="15" t="str">
        <f>_xlfn.TEXTBEFORE(_xlfn.TEXTAFTER(CantoralDB[[#This Row],[index.html]],"&gt;"),"&gt;")&amp;"&gt;"</f>
        <v>&lt;a href="canciones/nuevas/algo_nuevo_esta_naciendo.html"&gt;</v>
      </c>
      <c r="AA526" s="1"/>
    </row>
    <row r="527" spans="1:27" x14ac:dyDescent="0.3">
      <c r="A527" s="1">
        <f>ROW(CantoralDB[[#This Row],[Título]])-1</f>
        <v>526</v>
      </c>
      <c r="B527" s="1" t="s">
        <v>2630</v>
      </c>
      <c r="C527" s="1"/>
      <c r="F527" s="1">
        <v>242</v>
      </c>
      <c r="J527" s="1"/>
      <c r="M527" s="15" t="s">
        <v>2507</v>
      </c>
      <c r="N527" s="15"/>
      <c r="O527" s="15"/>
      <c r="P527" s="15" t="str" cm="1">
        <f t="array" ref="P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27" s="15" t="str" cm="1">
        <f t="array" ref="Q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canciones/nuevas/oh_alabad.html</v>
      </c>
      <c r="S527" s="1"/>
      <c r="T527" s="1"/>
      <c r="U527" s="1"/>
      <c r="V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Andrés"&gt;&lt;a href="canciones/nuevas/oh_alabad.html"&gt;Oh, alabad&lt;/a&gt;&lt;/li&gt;</v>
      </c>
      <c r="W527" s="15" t="str">
        <f>_xlfn.TEXTBEFORE(_xlfn.TEXTAFTER(CantoralDB[[#This Row],[index.html]],"&gt;"),"&gt;")&amp;"&gt;"</f>
        <v>&lt;a href="canciones/nuevas/oh_alabad.html"&gt;</v>
      </c>
      <c r="AA527" s="1"/>
    </row>
    <row r="528" spans="1:27" x14ac:dyDescent="0.3">
      <c r="A528" s="1">
        <f>ROW(CantoralDB[[#This Row],[Título]])-1</f>
        <v>527</v>
      </c>
      <c r="B528" s="1" t="s">
        <v>37</v>
      </c>
      <c r="C528" s="1" t="s">
        <v>993</v>
      </c>
      <c r="D528" s="1" t="s">
        <v>691</v>
      </c>
      <c r="E528" s="1">
        <v>414</v>
      </c>
      <c r="G528" s="1" t="s">
        <v>209</v>
      </c>
      <c r="H528" s="1" t="s">
        <v>531</v>
      </c>
      <c r="J528" s="1" t="s">
        <v>608</v>
      </c>
      <c r="M528" s="15" t="s">
        <v>619</v>
      </c>
      <c r="N528" s="15"/>
      <c r="O528" s="15"/>
      <c r="P528" s="15" t="str" cm="1">
        <f t="array" ref="P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28" s="15" t="str" cm="1">
        <f t="array" ref="Q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canciones/nsb/corazon_inquieto.html</v>
      </c>
      <c r="S528" s="1" t="s">
        <v>817</v>
      </c>
      <c r="T528" s="1"/>
      <c r="U528" s="1"/>
      <c r="V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data-author="Elena Ráfales" data-momento="Comunión" data-nnew="K18" data-nold="414"&gt;&lt;a href="canciones/nsb/corazon_inquieto.html"&gt;Corazón inquieto&lt;/a&gt;&lt;/li&gt;</v>
      </c>
      <c r="W528" s="15" t="str">
        <f>_xlfn.TEXTBEFORE(_xlfn.TEXTAFTER(CantoralDB[[#This Row],[index.html]],"&gt;"),"&gt;")&amp;"&gt;"</f>
        <v>&lt;a href="canciones/nsb/corazon_inquieto.html"&gt;</v>
      </c>
      <c r="AA528" s="1"/>
    </row>
    <row r="529" spans="1:27" x14ac:dyDescent="0.3">
      <c r="A529" s="1">
        <f>ROW(CantoralDB[[#This Row],[Título]])-1</f>
        <v>528</v>
      </c>
      <c r="B529" s="1" t="s">
        <v>27</v>
      </c>
      <c r="C529" s="1" t="s">
        <v>993</v>
      </c>
      <c r="D529" s="1" t="s">
        <v>686</v>
      </c>
      <c r="E529" s="1">
        <v>34</v>
      </c>
      <c r="G529" s="1" t="s">
        <v>209</v>
      </c>
      <c r="H529" s="1" t="s">
        <v>1030</v>
      </c>
      <c r="I529" s="1" t="s">
        <v>2961</v>
      </c>
      <c r="J529" s="1" t="s">
        <v>608</v>
      </c>
      <c r="M529" s="15" t="s">
        <v>543</v>
      </c>
      <c r="N529" s="15"/>
      <c r="O529" s="15"/>
      <c r="P529" s="15" t="str" cm="1">
        <f t="array" ref="P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529" s="15" t="str" cm="1">
        <f t="array" ref="Q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canciones/emilio_vicente_mateu/bienaventurados_seremos_señor.html</v>
      </c>
      <c r="S529" s="1" t="s">
        <v>809</v>
      </c>
      <c r="T529" s="1"/>
      <c r="U529" s="1"/>
      <c r="V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data-nnew="K13" data-nold="34"&gt;&lt;a href="canciones/emilio_vicente_mateu/bienaventurados_seremos_señor.html"&gt;Bienaventurados seremos, Señor&lt;/a&gt;&lt;/li&gt;</v>
      </c>
      <c r="W529" s="15" t="str">
        <f>_xlfn.TEXTBEFORE(_xlfn.TEXTAFTER(CantoralDB[[#This Row],[index.html]],"&gt;"),"&gt;")&amp;"&gt;"</f>
        <v>&lt;a href="canciones/emilio_vicente_mateu/bienaventurados_seremos_señor.html"&gt;</v>
      </c>
      <c r="AA529" s="1"/>
    </row>
    <row r="530" spans="1:27" x14ac:dyDescent="0.3">
      <c r="A530" s="1">
        <f>ROW(CantoralDB[[#This Row],[Título]])-1</f>
        <v>529</v>
      </c>
      <c r="B530" s="1" t="s">
        <v>32</v>
      </c>
      <c r="C530" s="1" t="s">
        <v>476</v>
      </c>
      <c r="D530" s="1" t="s">
        <v>1398</v>
      </c>
      <c r="E530" s="1">
        <v>50</v>
      </c>
      <c r="G530" s="1" t="s">
        <v>209</v>
      </c>
      <c r="H530" s="1" t="s">
        <v>1027</v>
      </c>
      <c r="J530" s="1" t="s">
        <v>608</v>
      </c>
      <c r="M530" s="15" t="s">
        <v>543</v>
      </c>
      <c r="N530" s="15"/>
      <c r="O530" s="15"/>
      <c r="P530" s="15" t="str" cm="1">
        <f t="array" ref="P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530" s="15" t="str" cm="1">
        <f t="array" ref="Q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canciones/emilio_vicente_mateu/cantemos_todos_la_navidad.html</v>
      </c>
      <c r="S530" s="1"/>
      <c r="T530" s="1"/>
      <c r="U530" s="1"/>
      <c r="V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data-nnew="O05" data-nold="50"&gt;&lt;a href="canciones/emilio_vicente_mateu/cantemos_todos_la_navidad.html"&gt;Cantemos todos la Navidad&lt;/a&gt;&lt;/li&gt;</v>
      </c>
      <c r="W530" s="15" t="str">
        <f>_xlfn.TEXTBEFORE(_xlfn.TEXTAFTER(CantoralDB[[#This Row],[index.html]],"&gt;"),"&gt;")&amp;"&gt;"</f>
        <v>&lt;a href="canciones/emilio_vicente_mateu/cantemos_todos_la_navidad.html"&gt;</v>
      </c>
      <c r="AA530" s="1"/>
    </row>
    <row r="531" spans="1:27" x14ac:dyDescent="0.3">
      <c r="A531" s="1">
        <f>ROW(CantoralDB[[#This Row],[Título]])-1</f>
        <v>530</v>
      </c>
      <c r="B531" s="1" t="s">
        <v>1208</v>
      </c>
      <c r="C531" s="1"/>
      <c r="E531" s="1">
        <v>85</v>
      </c>
      <c r="J531" s="1"/>
      <c r="M531" s="15" t="s">
        <v>543</v>
      </c>
      <c r="N531" s="15"/>
      <c r="O531" s="15"/>
      <c r="P531" s="15" t="str" cm="1">
        <f t="array" ref="P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531" s="15" t="str" cm="1">
        <f t="array" ref="Q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canciones/emilio_vicente_mateu/dios_te_salve_mi_señora.html</v>
      </c>
      <c r="S531" s="1"/>
      <c r="T531" s="1"/>
      <c r="U531" s="1"/>
      <c r="V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data-nold="85"&gt;&lt;a href="canciones/emilio_vicente_mateu/dios_te_salve_mi_señora.html"&gt;Dios te salve, mi señora&lt;/a&gt;&lt;/li&gt;</v>
      </c>
      <c r="W531" s="15" t="str">
        <f>_xlfn.TEXTBEFORE(_xlfn.TEXTAFTER(CantoralDB[[#This Row],[index.html]],"&gt;"),"&gt;")&amp;"&gt;"</f>
        <v>&lt;a href="canciones/emilio_vicente_mateu/dios_te_salve_mi_señora.html"&gt;</v>
      </c>
      <c r="AA531" s="1"/>
    </row>
    <row r="532" spans="1:27" x14ac:dyDescent="0.3">
      <c r="A532" s="1">
        <f>ROW(CantoralDB[[#This Row],[Título]])-1</f>
        <v>531</v>
      </c>
      <c r="B532" s="1" t="s">
        <v>54</v>
      </c>
      <c r="C532" s="1" t="s">
        <v>476</v>
      </c>
      <c r="D532" s="1" t="s">
        <v>1414</v>
      </c>
      <c r="E532" s="1">
        <v>92</v>
      </c>
      <c r="G532" s="1" t="s">
        <v>209</v>
      </c>
      <c r="H532" s="1" t="s">
        <v>1030</v>
      </c>
      <c r="J532" s="1" t="s">
        <v>608</v>
      </c>
      <c r="M532" s="15" t="s">
        <v>543</v>
      </c>
      <c r="N532" s="15"/>
      <c r="O532" s="15"/>
      <c r="P532" s="15" t="str" cm="1">
        <f t="array" ref="P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532" s="15" t="str" cm="1">
        <f t="array" ref="Q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canciones/emilio_vicente_mateu/el_señor_nos_ha_nacido_en_belen.html</v>
      </c>
      <c r="S532" s="1"/>
      <c r="T532" s="1"/>
      <c r="U532" s="1"/>
      <c r="V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data-nnew="O08" data-nold="92"&gt;&lt;a href="canciones/emilio_vicente_mateu/el_señor_nos_ha_nacido_en_belen.html"&gt;El Señor nos ha nacido en Belén&lt;/a&gt;&lt;/li&gt;</v>
      </c>
      <c r="W532" s="15" t="str">
        <f>_xlfn.TEXTBEFORE(_xlfn.TEXTAFTER(CantoralDB[[#This Row],[index.html]],"&gt;"),"&gt;")&amp;"&gt;"</f>
        <v>&lt;a href="canciones/emilio_vicente_mateu/el_señor_nos_ha_nacido_en_belen.html"&gt;</v>
      </c>
      <c r="AA532" s="1"/>
    </row>
    <row r="533" spans="1:27" x14ac:dyDescent="0.3">
      <c r="A533" s="1">
        <f>ROW(CantoralDB[[#This Row],[Título]])-1</f>
        <v>532</v>
      </c>
      <c r="B533" s="1" t="s">
        <v>87</v>
      </c>
      <c r="C533" s="1" t="s">
        <v>476</v>
      </c>
      <c r="D533" s="1" t="s">
        <v>1060</v>
      </c>
      <c r="E533" s="1">
        <v>158</v>
      </c>
      <c r="G533" s="1" t="s">
        <v>209</v>
      </c>
      <c r="H533" s="1" t="s">
        <v>531</v>
      </c>
      <c r="J533" s="1" t="s">
        <v>608</v>
      </c>
      <c r="M533" s="15" t="s">
        <v>543</v>
      </c>
      <c r="N533" s="15"/>
      <c r="O533" s="15"/>
      <c r="P533" s="15" t="str" cm="1">
        <f t="array" ref="P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533" s="15" t="str" cm="1">
        <f t="array" ref="Q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canciones/emilio_vicente_mateu/los_magos_vienen_de_oriente.html</v>
      </c>
      <c r="S533" s="1"/>
      <c r="T533" s="1"/>
      <c r="U533" s="1"/>
      <c r="V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data-momento="Navidad" data-nnew="O11" data-nold="158"&gt;&lt;a href="canciones/emilio_vicente_mateu/los_magos_vienen_de_oriente.html"&gt;Los magos vienen de Oriente&lt;/a&gt;&lt;/li&gt;</v>
      </c>
      <c r="W533" s="15" t="str">
        <f>_xlfn.TEXTBEFORE(_xlfn.TEXTAFTER(CantoralDB[[#This Row],[index.html]],"&gt;"),"&gt;")&amp;"&gt;"</f>
        <v>&lt;a href="canciones/emilio_vicente_mateu/los_magos_vienen_de_oriente.html"&gt;</v>
      </c>
      <c r="AA533" s="1"/>
    </row>
    <row r="534" spans="1:27" x14ac:dyDescent="0.3">
      <c r="A534" s="1">
        <f>ROW(CantoralDB[[#This Row],[Título]])-1</f>
        <v>533</v>
      </c>
      <c r="B534" s="1" t="s">
        <v>138</v>
      </c>
      <c r="C534" s="1" t="s">
        <v>993</v>
      </c>
      <c r="D534" s="1" t="s">
        <v>1006</v>
      </c>
      <c r="E534" s="1">
        <v>237</v>
      </c>
      <c r="G534" s="1" t="s">
        <v>209</v>
      </c>
      <c r="H534" s="1" t="s">
        <v>1030</v>
      </c>
      <c r="I534" s="1" t="s">
        <v>2963</v>
      </c>
      <c r="J534" s="1" t="s">
        <v>608</v>
      </c>
      <c r="M534" s="15" t="s">
        <v>543</v>
      </c>
      <c r="N534" s="15"/>
      <c r="O534" s="15"/>
      <c r="P534" s="15" t="str" cm="1">
        <f t="array" ref="P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534" s="15" t="str" cm="1">
        <f t="array" ref="Q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canciones/emilio_vicente_mateu/somos_un_pueblo_que_camina.html</v>
      </c>
      <c r="S534" s="1"/>
      <c r="T534" s="1"/>
      <c r="U534" s="1"/>
      <c r="V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data-nnew="K69" data-nold="237"&gt;&lt;a href="canciones/emilio_vicente_mateu/somos_un_pueblo_que_camina.html"&gt;Somos un pueblo que camina&lt;/a&gt;&lt;/li&gt;</v>
      </c>
      <c r="W534" s="15" t="str">
        <f>_xlfn.TEXTBEFORE(_xlfn.TEXTAFTER(CantoralDB[[#This Row],[index.html]],"&gt;"),"&gt;")&amp;"&gt;"</f>
        <v>&lt;a href="canciones/emilio_vicente_mateu/somos_un_pueblo_que_camina.html"&gt;</v>
      </c>
      <c r="AA534" s="1"/>
    </row>
    <row r="535" spans="1:27" x14ac:dyDescent="0.3">
      <c r="A535" s="1">
        <f>ROW(CantoralDB[[#This Row],[Título]])-1</f>
        <v>534</v>
      </c>
      <c r="B535" s="1" t="s">
        <v>1319</v>
      </c>
      <c r="C535" s="1"/>
      <c r="E535" s="1">
        <v>239</v>
      </c>
      <c r="H535" s="1" t="s">
        <v>531</v>
      </c>
      <c r="J535" s="1" t="s">
        <v>608</v>
      </c>
      <c r="M535" s="15" t="s">
        <v>543</v>
      </c>
      <c r="N535" s="15"/>
      <c r="O535" s="15"/>
      <c r="P535" s="15" t="str" cm="1">
        <f t="array" ref="P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535" s="15" t="str" cm="1">
        <f t="array" ref="Q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canciones/emilio_vicente_mateu/siempre_unidos_mano_a_mano.html</v>
      </c>
      <c r="S535" s="1"/>
      <c r="T535" s="1"/>
      <c r="U535" s="1"/>
      <c r="V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data-nold="239"&gt;&lt;a href="canciones/emilio_vicente_mateu/siempre_unidos_mano_a_mano.html"&gt;Siempre unidos, mano a mano&lt;/a&gt;&lt;/li&gt;</v>
      </c>
      <c r="W535" s="15" t="str">
        <f>_xlfn.TEXTBEFORE(_xlfn.TEXTAFTER(CantoralDB[[#This Row],[index.html]],"&gt;"),"&gt;")&amp;"&gt;"</f>
        <v>&lt;a href="canciones/emilio_vicente_mateu/siempre_unidos_mano_a_mano.html"&gt;</v>
      </c>
      <c r="AA535" s="1"/>
    </row>
    <row r="536" spans="1:27" x14ac:dyDescent="0.3">
      <c r="A536" s="1">
        <f>ROW(CantoralDB[[#This Row],[Título]])-1</f>
        <v>535</v>
      </c>
      <c r="B536" s="1" t="s">
        <v>1324</v>
      </c>
      <c r="C536" s="1"/>
      <c r="E536" s="1">
        <v>246</v>
      </c>
      <c r="J536" s="1"/>
      <c r="M536" s="15" t="s">
        <v>543</v>
      </c>
      <c r="N536" s="15"/>
      <c r="O536" s="15"/>
      <c r="P536" s="15" t="str" cm="1">
        <f t="array" ref="P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536" s="15" t="str" cm="1">
        <f t="array" ref="Q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canciones/emilio_vicente_mateu/somos_un_solo_cuerpo.html</v>
      </c>
      <c r="S536" s="1"/>
      <c r="T536" s="1"/>
      <c r="U536" s="1"/>
      <c r="V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data-nold="246"&gt;&lt;a href="canciones/emilio_vicente_mateu/somos_un_solo_cuerpo.html"&gt;Somos un solo cuerpo&lt;/a&gt;&lt;/li&gt;</v>
      </c>
      <c r="W536" s="15" t="str">
        <f>_xlfn.TEXTBEFORE(_xlfn.TEXTAFTER(CantoralDB[[#This Row],[index.html]],"&gt;"),"&gt;")&amp;"&gt;"</f>
        <v>&lt;a href="canciones/emilio_vicente_mateu/somos_un_solo_cuerpo.html"&gt;</v>
      </c>
      <c r="AA536" s="1"/>
    </row>
    <row r="537" spans="1:27" x14ac:dyDescent="0.3">
      <c r="A537" s="1">
        <f>ROW(CantoralDB[[#This Row],[Título]])-1</f>
        <v>536</v>
      </c>
      <c r="B537" s="1" t="s">
        <v>1331</v>
      </c>
      <c r="C537" s="1"/>
      <c r="E537" s="1">
        <v>256</v>
      </c>
      <c r="J537" s="1"/>
      <c r="M537" s="15" t="s">
        <v>543</v>
      </c>
      <c r="N537" s="15"/>
      <c r="O537" s="15"/>
      <c r="P537" s="15" t="str" cm="1">
        <f t="array" ref="P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537" s="15" t="str" cm="1">
        <f t="array" ref="Q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canciones/emilio_vicente_mateu/te_buscamos_señor.html</v>
      </c>
      <c r="S537" s="1"/>
      <c r="T537" s="1"/>
      <c r="U537" s="1"/>
      <c r="V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data-nold="256"&gt;&lt;a href="canciones/emilio_vicente_mateu/te_buscamos_señor.html"&gt;Te buscamos, Señor&lt;/a&gt;&lt;/li&gt;</v>
      </c>
      <c r="W537" s="15" t="str">
        <f>_xlfn.TEXTBEFORE(_xlfn.TEXTAFTER(CantoralDB[[#This Row],[index.html]],"&gt;"),"&gt;")&amp;"&gt;"</f>
        <v>&lt;a href="canciones/emilio_vicente_mateu/te_buscamos_señor.html"&gt;</v>
      </c>
      <c r="AA537" s="1"/>
    </row>
    <row r="538" spans="1:27" x14ac:dyDescent="0.3">
      <c r="A538" s="1">
        <f>ROW(CantoralDB[[#This Row],[Título]])-1</f>
        <v>537</v>
      </c>
      <c r="B538" s="1" t="s">
        <v>1333</v>
      </c>
      <c r="C538" s="1"/>
      <c r="E538" s="1">
        <v>260</v>
      </c>
      <c r="H538" s="1" t="s">
        <v>1030</v>
      </c>
      <c r="J538" s="1" t="s">
        <v>608</v>
      </c>
      <c r="M538" s="15" t="s">
        <v>543</v>
      </c>
      <c r="N538" s="15"/>
      <c r="O538" s="15"/>
      <c r="P538" s="15" t="str" cm="1">
        <f t="array" ref="P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538" s="15" t="str" cm="1">
        <f t="array" ref="Q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canciones/emilio_vicente_mateu/tiempo_de_espera.html</v>
      </c>
      <c r="S538" s="1"/>
      <c r="T538" s="1"/>
      <c r="U538" s="14" t="s">
        <v>2980</v>
      </c>
      <c r="V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data-nold="260"&gt;&lt;a href="canciones/emilio_vicente_mateu/tiempo_de_espera.html"&gt;Tiempo de espera&lt;/a&gt;&lt;/li&gt;</v>
      </c>
      <c r="W538" s="15" t="str">
        <f>_xlfn.TEXTBEFORE(_xlfn.TEXTAFTER(CantoralDB[[#This Row],[index.html]],"&gt;"),"&gt;")&amp;"&gt;"</f>
        <v>&lt;a href="canciones/emilio_vicente_mateu/tiempo_de_espera.html"&gt;</v>
      </c>
      <c r="AA538" s="1"/>
    </row>
    <row r="539" spans="1:27" x14ac:dyDescent="0.3">
      <c r="A539" s="1">
        <f>ROW(CantoralDB[[#This Row],[Título]])-1</f>
        <v>538</v>
      </c>
      <c r="B539" s="1" t="s">
        <v>1241</v>
      </c>
      <c r="C539" s="1"/>
      <c r="E539" s="1">
        <v>282</v>
      </c>
      <c r="H539" s="1" t="s">
        <v>473</v>
      </c>
      <c r="J539" s="1" t="s">
        <v>608</v>
      </c>
      <c r="M539" s="15" t="s">
        <v>543</v>
      </c>
      <c r="N539" s="15"/>
      <c r="O539" s="15"/>
      <c r="P539" s="15" t="str" cm="1">
        <f t="array" ref="P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539" s="15" t="str" cm="1">
        <f t="array" ref="Q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canciones/emilio_vicente_mateu/vendra_la_libertad.html</v>
      </c>
      <c r="S539" s="1"/>
      <c r="T539" s="1"/>
      <c r="U539" s="1"/>
      <c r="V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data-nold="282"&gt;&lt;a href="canciones/emilio_vicente_mateu/vendra_la_libertad.html"&gt;Vendrá la libertad&lt;/a&gt;&lt;/li&gt;</v>
      </c>
      <c r="W539" s="15" t="str">
        <f>_xlfn.TEXTBEFORE(_xlfn.TEXTAFTER(CantoralDB[[#This Row],[index.html]],"&gt;"),"&gt;")&amp;"&gt;"</f>
        <v>&lt;a href="canciones/emilio_vicente_mateu/vendra_la_libertad.html"&gt;</v>
      </c>
      <c r="AA539" s="1"/>
    </row>
    <row r="540" spans="1:27" x14ac:dyDescent="0.3">
      <c r="A540" s="1">
        <f>ROW(CantoralDB[[#This Row],[Título]])-1</f>
        <v>539</v>
      </c>
      <c r="B540" s="1" t="s">
        <v>24</v>
      </c>
      <c r="C540" s="1" t="s">
        <v>993</v>
      </c>
      <c r="D540" s="1" t="s">
        <v>1039</v>
      </c>
      <c r="E540" s="1">
        <v>410</v>
      </c>
      <c r="G540" s="1" t="s">
        <v>209</v>
      </c>
      <c r="H540" s="1" t="s">
        <v>1027</v>
      </c>
      <c r="J540" s="1" t="s">
        <v>608</v>
      </c>
      <c r="M540" s="15" t="s">
        <v>543</v>
      </c>
      <c r="N540" s="15"/>
      <c r="O540" s="15"/>
      <c r="P540" s="15" t="str" cm="1">
        <f t="array" ref="P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Q540" s="15" t="str" cm="1">
        <f t="array" ref="Q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canciones/emilio_vicente_mateu/amar_es_darse.html</v>
      </c>
      <c r="S540" s="1"/>
      <c r="T540" s="1"/>
      <c r="U540" s="1"/>
      <c r="V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data-author="Emilio Vicente Mateu" data-momento="Comunión" data-nnew="K08" data-nold="410"&gt;&lt;a href="canciones/emilio_vicente_mateu/amar_es_darse.html"&gt;Amar es darse&lt;/a&gt;&lt;/li&gt;</v>
      </c>
      <c r="W540" s="15" t="str">
        <f>_xlfn.TEXTBEFORE(_xlfn.TEXTAFTER(CantoralDB[[#This Row],[index.html]],"&gt;"),"&gt;")&amp;"&gt;"</f>
        <v>&lt;a href="canciones/emilio_vicente_mateu/amar_es_darse.html"&gt;</v>
      </c>
      <c r="AA540" s="1"/>
    </row>
    <row r="541" spans="1:27" x14ac:dyDescent="0.3">
      <c r="A541" s="1">
        <f>ROW(CantoralDB[[#This Row],[Título]])-1</f>
        <v>540</v>
      </c>
      <c r="B541" s="1" t="s">
        <v>20</v>
      </c>
      <c r="C541" s="1" t="s">
        <v>993</v>
      </c>
      <c r="D541" s="1" t="s">
        <v>1037</v>
      </c>
      <c r="E541" s="1">
        <v>407</v>
      </c>
      <c r="G541" s="1" t="s">
        <v>209</v>
      </c>
      <c r="H541" s="1" t="s">
        <v>1030</v>
      </c>
      <c r="J541" s="1" t="s">
        <v>608</v>
      </c>
      <c r="M541" s="15" t="s">
        <v>540</v>
      </c>
      <c r="N541" s="15"/>
      <c r="O541" s="15"/>
      <c r="P541" s="15" t="str" cm="1">
        <f t="array" ref="P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41" s="15" t="str" cm="1">
        <f t="array" ref="Q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canciones/nsb/alma_misionera.html</v>
      </c>
      <c r="S541" s="1"/>
      <c r="T541" s="1"/>
      <c r="U541" s="1"/>
      <c r="V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data-author="Enrique García Vélez" data-momento="Comunión" data-nnew="K06" data-nold="407"&gt;&lt;a href="canciones/nsb/alma_misionera.html"&gt;Alma misionera&lt;/a&gt;&lt;/li&gt;</v>
      </c>
      <c r="W541" s="15" t="str">
        <f>_xlfn.TEXTBEFORE(_xlfn.TEXTAFTER(CantoralDB[[#This Row],[index.html]],"&gt;"),"&gt;")&amp;"&gt;"</f>
        <v>&lt;a href="canciones/nsb/alma_misionera.html"&gt;</v>
      </c>
      <c r="AA541" s="1"/>
    </row>
    <row r="542" spans="1:27" x14ac:dyDescent="0.3">
      <c r="A542" s="1">
        <f>ROW(CantoralDB[[#This Row],[Título]])-1</f>
        <v>541</v>
      </c>
      <c r="B542" s="1" t="s">
        <v>2534</v>
      </c>
      <c r="C542" s="1"/>
      <c r="F542" s="1">
        <v>139</v>
      </c>
      <c r="J542" s="1"/>
      <c r="M542" s="15" t="s">
        <v>2535</v>
      </c>
      <c r="N542" s="15"/>
      <c r="O542" s="15"/>
      <c r="P542" s="15" t="str" cm="1">
        <f t="array" ref="P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42" s="15" t="str" cm="1">
        <f t="array" ref="Q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canciones/nuevas/fuego_en_esta_casa.html</v>
      </c>
      <c r="S542" s="1"/>
      <c r="T542" s="1"/>
      <c r="U542" s="1"/>
      <c r="V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data-author="Eric Nuzum"&gt;&lt;a href="canciones/nuevas/fuego_en_esta_casa.html"&gt;Fuego en esta casa&lt;/a&gt;&lt;/li&gt;</v>
      </c>
      <c r="W542" s="15" t="str">
        <f>_xlfn.TEXTBEFORE(_xlfn.TEXTAFTER(CantoralDB[[#This Row],[index.html]],"&gt;"),"&gt;")&amp;"&gt;"</f>
        <v>&lt;a href="canciones/nuevas/fuego_en_esta_casa.html"&gt;</v>
      </c>
      <c r="AA542" s="1"/>
    </row>
    <row r="543" spans="1:27" x14ac:dyDescent="0.3">
      <c r="A543" s="1">
        <f>ROW(CantoralDB[[#This Row],[Título]])-1</f>
        <v>542</v>
      </c>
      <c r="B543" s="1" t="s">
        <v>2389</v>
      </c>
      <c r="C543" s="1"/>
      <c r="F543" s="1">
        <v>3</v>
      </c>
      <c r="J543" s="1" t="s">
        <v>608</v>
      </c>
      <c r="M543" s="15" t="s">
        <v>2388</v>
      </c>
      <c r="N543" s="15"/>
      <c r="O543" s="15"/>
      <c r="P543" s="15" t="str" cm="1">
        <f t="array" ref="P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43" s="15" t="str" cm="1">
        <f t="array" ref="Q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canciones/nuevas/con_mis_manos_alzadas.html</v>
      </c>
      <c r="S543" s="1"/>
      <c r="T543" s="1"/>
      <c r="U543" s="1"/>
      <c r="V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data-author="Esther Watanabe"&gt;&lt;a href="canciones/nuevas/con_mis_manos_alzadas.html"&gt;Con mis manos alzadas&lt;/a&gt;&lt;/li&gt;</v>
      </c>
      <c r="W543" s="15" t="str">
        <f>_xlfn.TEXTBEFORE(_xlfn.TEXTAFTER(CantoralDB[[#This Row],[index.html]],"&gt;"),"&gt;")&amp;"&gt;"</f>
        <v>&lt;a href="canciones/nuevas/con_mis_manos_alzadas.html"&gt;</v>
      </c>
      <c r="AA543" s="1"/>
    </row>
    <row r="544" spans="1:27" x14ac:dyDescent="0.3">
      <c r="A544" s="1">
        <f>ROW(CantoralDB[[#This Row],[Título]])-1</f>
        <v>543</v>
      </c>
      <c r="B544" s="1" t="s">
        <v>2613</v>
      </c>
      <c r="C544" s="1"/>
      <c r="F544" s="1">
        <v>221</v>
      </c>
      <c r="J544" s="1"/>
      <c r="M544" s="15" t="s">
        <v>2614</v>
      </c>
      <c r="N544" s="15"/>
      <c r="O544" s="15"/>
      <c r="P544" s="15" t="str" cm="1">
        <f t="array" ref="P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44" s="15" t="str" cm="1">
        <f t="array" ref="Q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canciones/nuevas/enseñame_tu_camino_señor.html</v>
      </c>
      <c r="S544" s="1"/>
      <c r="T544" s="1"/>
      <c r="U544" s="1"/>
      <c r="V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data-author="Eugene Greco"&gt;&lt;a href="canciones/nuevas/enseñame_tu_camino_señor.html"&gt;Enséñame tu camino, Señor&lt;/a&gt;&lt;/li&gt;</v>
      </c>
      <c r="W544" s="15" t="str">
        <f>_xlfn.TEXTBEFORE(_xlfn.TEXTAFTER(CantoralDB[[#This Row],[index.html]],"&gt;"),"&gt;")&amp;"&gt;"</f>
        <v>&lt;a href="canciones/nuevas/enseñame_tu_camino_señor.html"&gt;</v>
      </c>
      <c r="AA544" s="1"/>
    </row>
    <row r="545" spans="1:27" x14ac:dyDescent="0.3">
      <c r="A545" s="1">
        <f>ROW(CantoralDB[[#This Row],[Título]])-1</f>
        <v>544</v>
      </c>
      <c r="B545" s="1" t="s">
        <v>2642</v>
      </c>
      <c r="C545" s="1"/>
      <c r="F545" s="1">
        <v>257</v>
      </c>
      <c r="J545" s="1"/>
      <c r="M545" s="15" t="s">
        <v>2644</v>
      </c>
      <c r="N545" s="15"/>
      <c r="O545" s="15"/>
      <c r="P545" s="15" t="str" cm="1">
        <f t="array" ref="P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45" s="15" t="str" cm="1">
        <f t="array" ref="Q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canciones/nuevas/mi_alma_tiene_sed_de_dios.html</v>
      </c>
      <c r="S545" s="1"/>
      <c r="T545" s="1"/>
      <c r="U545" s="1"/>
      <c r="V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data-author="Fausto Pflucker"&gt;&lt;a href="canciones/nuevas/mi_alma_tiene_sed_de_dios.html"&gt;Mi alma tiene sed de Dios&lt;/a&gt;&lt;/li&gt;</v>
      </c>
      <c r="W545" s="15" t="str">
        <f>_xlfn.TEXTBEFORE(_xlfn.TEXTAFTER(CantoralDB[[#This Row],[index.html]],"&gt;"),"&gt;")&amp;"&gt;"</f>
        <v>&lt;a href="canciones/nuevas/mi_alma_tiene_sed_de_dios.html"&gt;</v>
      </c>
      <c r="AA545" s="1"/>
    </row>
    <row r="546" spans="1:27" x14ac:dyDescent="0.3">
      <c r="A546" s="1">
        <f>ROW(CantoralDB[[#This Row],[Título]])-1</f>
        <v>545</v>
      </c>
      <c r="B546" s="1" t="s">
        <v>2767</v>
      </c>
      <c r="C546" s="1"/>
      <c r="F546" s="1">
        <v>382</v>
      </c>
      <c r="J546" s="1"/>
      <c r="M546" s="15" t="s">
        <v>2770</v>
      </c>
      <c r="N546" s="15"/>
      <c r="O546" s="15"/>
      <c r="P546" s="15" t="str" cm="1">
        <f t="array" ref="P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546" s="15" t="str" cm="1">
        <f t="array" ref="Q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canciones/nuevas/majestuoso_poderoso.html</v>
      </c>
      <c r="S546" s="1"/>
      <c r="T546" s="1"/>
      <c r="U546" s="1"/>
      <c r="V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data-author="Fermín García"&gt;&lt;a href="canciones/nuevas/majestuoso_poderoso.html"&gt;Majestuoso, poderoso&lt;/a&gt;&lt;/li&gt;</v>
      </c>
      <c r="W546" s="15" t="str">
        <f>_xlfn.TEXTBEFORE(_xlfn.TEXTAFTER(CantoralDB[[#This Row],[index.html]],"&gt;"),"&gt;")&amp;"&gt;"</f>
        <v>&lt;a href="canciones/nuevas/majestuoso_poderoso.html"&gt;</v>
      </c>
      <c r="AA546" s="1"/>
    </row>
    <row r="547" spans="1:27" x14ac:dyDescent="0.3">
      <c r="A547" s="1">
        <f>ROW(CantoralDB[[#This Row],[Título]])-1</f>
        <v>546</v>
      </c>
      <c r="B547" s="1" t="s">
        <v>1191</v>
      </c>
      <c r="C547" s="1"/>
      <c r="E547" s="1">
        <v>64</v>
      </c>
      <c r="H547" s="1" t="s">
        <v>1027</v>
      </c>
      <c r="J547" s="1" t="s">
        <v>608</v>
      </c>
      <c r="M547" s="15" t="s">
        <v>2144</v>
      </c>
      <c r="N547" s="15"/>
      <c r="O547" s="15"/>
      <c r="P547" s="15" t="str" cm="1">
        <f t="array" ref="P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547" s="15" t="str" cm="1">
        <f t="array" ref="Q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canciones/fernando_viejo/creo_en_dios_y_en_su_palabra.html</v>
      </c>
      <c r="S547" s="1"/>
      <c r="T547" s="1"/>
      <c r="U547" s="1"/>
      <c r="V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data-nold="64"&gt;&lt;a href="canciones/fernando_viejo/creo_en_dios_y_en_su_palabra.html"&gt;Creo en Dios y en su Palabra&lt;/a&gt;&lt;/li&gt;</v>
      </c>
      <c r="W547" s="15" t="str">
        <f>_xlfn.TEXTBEFORE(_xlfn.TEXTAFTER(CantoralDB[[#This Row],[index.html]],"&gt;"),"&gt;")&amp;"&gt;"</f>
        <v>&lt;a href="canciones/fernando_viejo/creo_en_dios_y_en_su_palabra.html"&gt;</v>
      </c>
      <c r="AA547" s="1"/>
    </row>
    <row r="548" spans="1:27" x14ac:dyDescent="0.3">
      <c r="A548" s="1">
        <f>ROW(CantoralDB[[#This Row],[Título]])-1</f>
        <v>547</v>
      </c>
      <c r="B548" s="1" t="s">
        <v>1261</v>
      </c>
      <c r="C548" s="1"/>
      <c r="E548" s="1">
        <v>132</v>
      </c>
      <c r="H548" s="1" t="s">
        <v>1030</v>
      </c>
      <c r="J548" s="1" t="s">
        <v>608</v>
      </c>
      <c r="M548" s="15" t="s">
        <v>2144</v>
      </c>
      <c r="N548" s="15"/>
      <c r="O548" s="15"/>
      <c r="P548" s="15" t="str" cm="1">
        <f t="array" ref="P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548" s="15" t="str" cm="1">
        <f t="array" ref="Q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canciones/fernando_viejo/hasta_cuando_señor.html</v>
      </c>
      <c r="S548" s="1"/>
      <c r="T548" s="1"/>
      <c r="U548" s="1"/>
      <c r="V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data-nold="132"&gt;&lt;a href="canciones/fernando_viejo/hasta_cuando_señor.html"&gt;Hasta cuándo, Señor&lt;/a&gt;&lt;/li&gt;</v>
      </c>
      <c r="W548" s="15" t="str">
        <f>_xlfn.TEXTBEFORE(_xlfn.TEXTAFTER(CantoralDB[[#This Row],[index.html]],"&gt;"),"&gt;")&amp;"&gt;"</f>
        <v>&lt;a href="canciones/fernando_viejo/hasta_cuando_señor.html"&gt;</v>
      </c>
      <c r="AA548" s="1"/>
    </row>
    <row r="549" spans="1:27" x14ac:dyDescent="0.3">
      <c r="A549" s="1">
        <f>ROW(CantoralDB[[#This Row],[Título]])-1</f>
        <v>548</v>
      </c>
      <c r="B549" s="1" t="s">
        <v>1300</v>
      </c>
      <c r="C549" s="1"/>
      <c r="E549" s="1">
        <v>199</v>
      </c>
      <c r="H549" s="1" t="s">
        <v>1030</v>
      </c>
      <c r="J549" s="1" t="s">
        <v>608</v>
      </c>
      <c r="M549" s="15" t="s">
        <v>2144</v>
      </c>
      <c r="N549" s="15"/>
      <c r="O549" s="15"/>
      <c r="P549" s="15" t="str" cm="1">
        <f t="array" ref="P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549" s="15" t="str" cm="1">
        <f t="array" ref="Q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canciones/fernando_viejo/padre_nuestro_que_estas_en_la_tierra.html</v>
      </c>
      <c r="S549" s="1"/>
      <c r="T549" s="1"/>
      <c r="U549" s="1"/>
      <c r="V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data-nold="199"&gt;&lt;a href="canciones/fernando_viejo/padre_nuestro_que_estas_en_la_tierra.html"&gt;Padre nuestro, que estás en la tierra&lt;/a&gt;&lt;/li&gt;</v>
      </c>
      <c r="W549" s="15" t="str">
        <f>_xlfn.TEXTBEFORE(_xlfn.TEXTAFTER(CantoralDB[[#This Row],[index.html]],"&gt;"),"&gt;")&amp;"&gt;"</f>
        <v>&lt;a href="canciones/fernando_viejo/padre_nuestro_que_estas_en_la_tierra.html"&gt;</v>
      </c>
      <c r="AA549" s="1"/>
    </row>
    <row r="550" spans="1:27" x14ac:dyDescent="0.3">
      <c r="A550" s="1">
        <f>ROW(CantoralDB[[#This Row],[Título]])-1</f>
        <v>549</v>
      </c>
      <c r="B550" s="1" t="s">
        <v>1301</v>
      </c>
      <c r="C550" s="1"/>
      <c r="E550" s="1">
        <v>204</v>
      </c>
      <c r="H550" s="1" t="s">
        <v>1029</v>
      </c>
      <c r="J550" s="1" t="s">
        <v>608</v>
      </c>
      <c r="M550" s="15" t="s">
        <v>2144</v>
      </c>
      <c r="N550" s="15"/>
      <c r="O550" s="15"/>
      <c r="P550" s="15" t="str" cm="1">
        <f t="array" ref="P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550" s="15" t="str" cm="1">
        <f t="array" ref="Q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canciones/fernando_viejo/piedad_señor_piedad.html</v>
      </c>
      <c r="S550" s="1"/>
      <c r="T550" s="1"/>
      <c r="U550" s="1"/>
      <c r="V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data-nold="204"&gt;&lt;a href="canciones/fernando_viejo/piedad_señor_piedad.html"&gt;Piedad, Señor, piedad&lt;/a&gt;&lt;/li&gt;</v>
      </c>
      <c r="W550" s="15" t="str">
        <f>_xlfn.TEXTBEFORE(_xlfn.TEXTAFTER(CantoralDB[[#This Row],[index.html]],"&gt;"),"&gt;")&amp;"&gt;"</f>
        <v>&lt;a href="canciones/fernando_viejo/piedad_señor_piedad.html"&gt;</v>
      </c>
      <c r="AA550" s="1"/>
    </row>
    <row r="551" spans="1:27" x14ac:dyDescent="0.3">
      <c r="A551" s="1">
        <f>ROW(CantoralDB[[#This Row],[Título]])-1</f>
        <v>550</v>
      </c>
      <c r="B551" s="1" t="s">
        <v>1310</v>
      </c>
      <c r="C551" s="1"/>
      <c r="E551" s="1">
        <v>223</v>
      </c>
      <c r="H551" s="1" t="s">
        <v>473</v>
      </c>
      <c r="J551" s="1" t="s">
        <v>608</v>
      </c>
      <c r="M551" s="15" t="s">
        <v>2144</v>
      </c>
      <c r="N551" s="15"/>
      <c r="O551" s="15"/>
      <c r="P551" s="15" t="str" cm="1">
        <f t="array" ref="P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551" s="15" t="str" cm="1">
        <f t="array" ref="Q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canciones/fernando_viejo/que_detalle_señor.html</v>
      </c>
      <c r="S551" s="1"/>
      <c r="T551" s="1"/>
      <c r="U551" s="14" t="s">
        <v>2981</v>
      </c>
      <c r="V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data-nold="223"&gt;&lt;a href="canciones/fernando_viejo/que_detalle_señor.html"&gt;Qué detalle, Señor&lt;/a&gt;&lt;/li&gt;</v>
      </c>
      <c r="W551" s="15" t="str">
        <f>_xlfn.TEXTBEFORE(_xlfn.TEXTAFTER(CantoralDB[[#This Row],[index.html]],"&gt;"),"&gt;")&amp;"&gt;"</f>
        <v>&lt;a href="canciones/fernando_viejo/que_detalle_señor.html"&gt;</v>
      </c>
      <c r="AA551" s="1"/>
    </row>
    <row r="552" spans="1:27" x14ac:dyDescent="0.3">
      <c r="A552" s="1">
        <f>ROW(CantoralDB[[#This Row],[Título]])-1</f>
        <v>551</v>
      </c>
      <c r="B552" s="1" t="s">
        <v>2119</v>
      </c>
      <c r="C552" s="1"/>
      <c r="E552" s="1">
        <v>293</v>
      </c>
      <c r="H552" s="1" t="s">
        <v>473</v>
      </c>
      <c r="J552" s="1" t="s">
        <v>608</v>
      </c>
      <c r="M552" s="15" t="s">
        <v>2144</v>
      </c>
      <c r="N552" s="15"/>
      <c r="O552" s="15"/>
      <c r="P552" s="15" t="str" cm="1">
        <f t="array" ref="P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Q552" s="15" t="str" cm="1">
        <f t="array" ref="Q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canciones/fernando_viejo/como_era_pedro.html</v>
      </c>
      <c r="S552" s="1"/>
      <c r="T552" s="1"/>
      <c r="U552" s="1"/>
      <c r="V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data-author="Fernando Viejo" data-nold="293"&gt;&lt;a href="canciones/fernando_viejo/como_era_pedro.html"&gt;Como era Pedro&lt;/a&gt;&lt;/li&gt;</v>
      </c>
      <c r="W552" s="15" t="str">
        <f>_xlfn.TEXTBEFORE(_xlfn.TEXTAFTER(CantoralDB[[#This Row],[index.html]],"&gt;"),"&gt;")&amp;"&gt;"</f>
        <v>&lt;a href="canciones/fernando_viejo/como_era_pedro.html"&gt;</v>
      </c>
      <c r="AA552" s="1"/>
    </row>
    <row r="553" spans="1:27" x14ac:dyDescent="0.3">
      <c r="A553" s="1">
        <f>ROW(CantoralDB[[#This Row],[Título]])-1</f>
        <v>552</v>
      </c>
      <c r="B553" s="1" t="s">
        <v>50</v>
      </c>
      <c r="C553" s="1" t="s">
        <v>993</v>
      </c>
      <c r="D553" s="1" t="s">
        <v>701</v>
      </c>
      <c r="E553" s="1">
        <v>420</v>
      </c>
      <c r="G553" s="1" t="s">
        <v>209</v>
      </c>
      <c r="H553" s="1" t="s">
        <v>531</v>
      </c>
      <c r="I553" s="1" t="s">
        <v>2959</v>
      </c>
      <c r="J553" s="1" t="s">
        <v>608</v>
      </c>
      <c r="M553" s="15" t="s">
        <v>630</v>
      </c>
      <c r="N553" s="15"/>
      <c r="O553" s="15"/>
      <c r="P553" s="15" t="str" cm="1">
        <f t="array" ref="P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53" s="15" t="str" cm="1">
        <f t="array" ref="Q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canciones/nsb/el_que_muere_por_mi.html</v>
      </c>
      <c r="S553" s="1" t="s">
        <v>824</v>
      </c>
      <c r="T553" s="1"/>
      <c r="U553" s="1"/>
      <c r="V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Alvarado (Schönstatt)" data-momento="Comunión" data-nnew="K28" data-nold="420"&gt;&lt;a href="canciones/nsb/el_que_muere_por_mi.html"&gt;El que muere por mí&lt;/a&gt;&lt;/li&gt;</v>
      </c>
      <c r="W553" s="15" t="str">
        <f>_xlfn.TEXTBEFORE(_xlfn.TEXTAFTER(CantoralDB[[#This Row],[index.html]],"&gt;"),"&gt;")&amp;"&gt;"</f>
        <v>&lt;a href="canciones/nsb/el_que_muere_por_mi.html"&gt;</v>
      </c>
      <c r="AA553" s="1"/>
    </row>
    <row r="554" spans="1:27" x14ac:dyDescent="0.3">
      <c r="A554" s="1">
        <f>ROW(CantoralDB[[#This Row],[Título]])-1</f>
        <v>553</v>
      </c>
      <c r="B554" s="1" t="s">
        <v>1309</v>
      </c>
      <c r="C554" s="1"/>
      <c r="E554" s="1">
        <v>219</v>
      </c>
      <c r="H554" s="1" t="s">
        <v>473</v>
      </c>
      <c r="J554" s="1" t="s">
        <v>608</v>
      </c>
      <c r="M554" s="15" t="s">
        <v>2102</v>
      </c>
      <c r="N554" s="15"/>
      <c r="O554" s="15"/>
      <c r="P554" s="15" t="str" cm="1">
        <f t="array" ref="P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554" s="15" t="str" cm="1">
        <f t="array" ref="Q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canciones/nsb/quiero_ser_oh_señor.html</v>
      </c>
      <c r="S554" s="1"/>
      <c r="T554" s="1"/>
      <c r="U554" s="1"/>
      <c r="V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de Asís" data-nold="219"&gt;&lt;a href="canciones/nsb/quiero_ser_oh_señor.html"&gt;Quiero ser, oh, Señor&lt;/a&gt;&lt;/li&gt;</v>
      </c>
      <c r="W554" s="15" t="str">
        <f>_xlfn.TEXTBEFORE(_xlfn.TEXTAFTER(CantoralDB[[#This Row],[index.html]],"&gt;"),"&gt;")&amp;"&gt;"</f>
        <v>&lt;a href="canciones/nsb/quiero_ser_oh_señor.html"&gt;</v>
      </c>
      <c r="AA554" s="1"/>
    </row>
    <row r="555" spans="1:27" x14ac:dyDescent="0.3">
      <c r="A555" s="1">
        <f>ROW(CantoralDB[[#This Row],[Título]])-1</f>
        <v>554</v>
      </c>
      <c r="B555" s="1" t="s">
        <v>21</v>
      </c>
      <c r="C555" s="1" t="s">
        <v>191</v>
      </c>
      <c r="D555" s="1" t="s">
        <v>1382</v>
      </c>
      <c r="E555" s="1">
        <v>21</v>
      </c>
      <c r="G555" s="1" t="s">
        <v>209</v>
      </c>
      <c r="H555" s="1" t="s">
        <v>1027</v>
      </c>
      <c r="I555" s="1" t="s">
        <v>2962</v>
      </c>
      <c r="J555" s="1" t="s">
        <v>608</v>
      </c>
      <c r="M555" s="15" t="s">
        <v>481</v>
      </c>
      <c r="N555" s="15" t="s">
        <v>21</v>
      </c>
      <c r="O555" s="15">
        <v>1</v>
      </c>
      <c r="P555" s="15" t="str" cm="1">
        <f t="array" ref="P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55" s="15" t="str" cm="1">
        <f t="array" ref="Q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canciones/francisco_palazon/alrededor_de_tu_mesa.html</v>
      </c>
      <c r="S555" s="1"/>
      <c r="T555" s="1"/>
      <c r="U555" s="1"/>
      <c r="V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data-nnew="A07" data-nold="21"&gt;&lt;a href="canciones/francisco_palazon/alrededor_de_tu_mesa.html"&gt;Alrededor de tu mesa&lt;/a&gt;&lt;/li&gt;</v>
      </c>
      <c r="W555" s="15" t="str">
        <f>_xlfn.TEXTBEFORE(_xlfn.TEXTAFTER(CantoralDB[[#This Row],[index.html]],"&gt;"),"&gt;")&amp;"&gt;"</f>
        <v>&lt;a href="canciones/francisco_palazon/alrededor_de_tu_mesa.html"&gt;</v>
      </c>
      <c r="AA555" s="1"/>
    </row>
    <row r="556" spans="1:27" x14ac:dyDescent="0.3">
      <c r="A556" s="1">
        <f>ROW(CantoralDB[[#This Row],[Título]])-1</f>
        <v>555</v>
      </c>
      <c r="B556" s="1" t="s">
        <v>2198</v>
      </c>
      <c r="C556" s="1"/>
      <c r="H556" s="1" t="s">
        <v>1028</v>
      </c>
      <c r="J556" s="1" t="s">
        <v>608</v>
      </c>
      <c r="M556" s="15" t="s">
        <v>481</v>
      </c>
      <c r="N556" s="15" t="s">
        <v>21</v>
      </c>
      <c r="O556" s="15">
        <v>2</v>
      </c>
      <c r="P556" s="15" t="str" cm="1">
        <f t="array" ref="P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56" s="15" t="str" cm="1">
        <f t="array" ref="Q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canciones/francisco_palazon/señor_ten_piedad_(alrededor_de_tu_mesa).html</v>
      </c>
      <c r="S556" s="1"/>
      <c r="T556" s="1"/>
      <c r="U556" s="1"/>
      <c r="V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href="canciones/francisco_palazon/señor_ten_piedad_(alrededor_de_tu_mesa).html"&gt;Señor, ten piedad (Alrededor de tu mesa)&lt;/a&gt;&lt;/li&gt;</v>
      </c>
      <c r="W556" s="15" t="str">
        <f>_xlfn.TEXTBEFORE(_xlfn.TEXTAFTER(CantoralDB[[#This Row],[index.html]],"&gt;"),"&gt;")&amp;"&gt;"</f>
        <v>&lt;a href="canciones/francisco_palazon/señor_ten_piedad_(alrededor_de_tu_mesa).html"&gt;</v>
      </c>
      <c r="AA556" s="1"/>
    </row>
    <row r="557" spans="1:27" x14ac:dyDescent="0.3">
      <c r="A557" s="1">
        <f>ROW(CantoralDB[[#This Row],[Título]])-1</f>
        <v>556</v>
      </c>
      <c r="B557" s="1" t="s">
        <v>67</v>
      </c>
      <c r="C557" s="1" t="s">
        <v>193</v>
      </c>
      <c r="D557" s="1" t="s">
        <v>1422</v>
      </c>
      <c r="E557" s="1">
        <v>128</v>
      </c>
      <c r="G557" s="1" t="s">
        <v>209</v>
      </c>
      <c r="H557" s="1" t="s">
        <v>531</v>
      </c>
      <c r="J557" s="1" t="s">
        <v>608</v>
      </c>
      <c r="M557" s="15" t="s">
        <v>481</v>
      </c>
      <c r="N557" s="15" t="s">
        <v>21</v>
      </c>
      <c r="O557" s="15">
        <v>3</v>
      </c>
      <c r="P557" s="15" t="str" cm="1">
        <f t="array" ref="P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57" s="15" t="str" cm="1">
        <f t="array" ref="Q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canciones/francisco_palazon/gloria_a_dios_en_el_cielo.html</v>
      </c>
      <c r="S557" s="1"/>
      <c r="T557" s="1"/>
      <c r="U557" s="1"/>
      <c r="V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data-momento="Gloria" data-nnew="C02" data-nold="128"&gt;&lt;a href="canciones/francisco_palazon/gloria_a_dios_en_el_cielo.html"&gt;Gloria a Dios en el cielo&lt;/a&gt;&lt;/li&gt;</v>
      </c>
      <c r="W557" s="15" t="str">
        <f>_xlfn.TEXTBEFORE(_xlfn.TEXTAFTER(CantoralDB[[#This Row],[index.html]],"&gt;"),"&gt;")&amp;"&gt;"</f>
        <v>&lt;a href="canciones/francisco_palazon/gloria_a_dios_en_el_cielo.html"&gt;</v>
      </c>
      <c r="AA557" s="1"/>
    </row>
    <row r="558" spans="1:27" x14ac:dyDescent="0.3">
      <c r="A558" s="1">
        <f>ROW(CantoralDB[[#This Row],[Título]])-1</f>
        <v>557</v>
      </c>
      <c r="B558" s="1" t="s">
        <v>1919</v>
      </c>
      <c r="C558" s="1"/>
      <c r="H558" s="1" t="s">
        <v>1028</v>
      </c>
      <c r="J558" s="1" t="s">
        <v>608</v>
      </c>
      <c r="M558" s="15" t="s">
        <v>481</v>
      </c>
      <c r="N558" s="15" t="s">
        <v>21</v>
      </c>
      <c r="O558" s="15">
        <v>4</v>
      </c>
      <c r="P558" s="15" t="str" cm="1">
        <f t="array" ref="P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58" s="15" t="str" cm="1">
        <f t="array" ref="Q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canciones/francisco_palazon/acabamos_de_oir_tu_palabra.html</v>
      </c>
      <c r="S558" s="1"/>
      <c r="T558" s="1"/>
      <c r="U558" s="1"/>
      <c r="V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href="canciones/francisco_palazon/acabamos_de_oir_tu_palabra.html"&gt;Acabamos de oír tu palabra&lt;/a&gt;&lt;/li&gt;</v>
      </c>
      <c r="W558" s="15" t="str">
        <f>_xlfn.TEXTBEFORE(_xlfn.TEXTAFTER(CantoralDB[[#This Row],[index.html]],"&gt;"),"&gt;")&amp;"&gt;"</f>
        <v>&lt;a href="canciones/francisco_palazon/acabamos_de_oir_tu_palabra.html"&gt;</v>
      </c>
      <c r="AA558" s="1"/>
    </row>
    <row r="559" spans="1:27" x14ac:dyDescent="0.3">
      <c r="A559" s="1">
        <f>ROW(CantoralDB[[#This Row],[Título]])-1</f>
        <v>558</v>
      </c>
      <c r="B559" s="1" t="s">
        <v>1920</v>
      </c>
      <c r="C559" s="1"/>
      <c r="H559" s="1" t="s">
        <v>1028</v>
      </c>
      <c r="J559" s="1" t="s">
        <v>608</v>
      </c>
      <c r="M559" s="15" t="s">
        <v>481</v>
      </c>
      <c r="N559" s="15" t="s">
        <v>21</v>
      </c>
      <c r="O559" s="15">
        <v>5</v>
      </c>
      <c r="P559" s="15" t="str" cm="1">
        <f t="array" ref="P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59" s="15" t="str" cm="1">
        <f t="array" ref="Q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canciones/francisco_palazon/bendito_seas_señor.html</v>
      </c>
      <c r="S559" s="1"/>
      <c r="T559" s="1"/>
      <c r="U559" s="1"/>
      <c r="V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href="canciones/francisco_palazon/bendito_seas_señor.html"&gt;Bendito seas, Señor&lt;/a&gt;&lt;/li&gt;</v>
      </c>
      <c r="W559" s="15" t="str">
        <f>_xlfn.TEXTBEFORE(_xlfn.TEXTAFTER(CantoralDB[[#This Row],[index.html]],"&gt;"),"&gt;")&amp;"&gt;"</f>
        <v>&lt;a href="canciones/francisco_palazon/bendito_seas_señor.html"&gt;</v>
      </c>
      <c r="AA559" s="1"/>
    </row>
    <row r="560" spans="1:27" x14ac:dyDescent="0.3">
      <c r="A560" s="1">
        <f>ROW(CantoralDB[[#This Row],[Título]])-1</f>
        <v>559</v>
      </c>
      <c r="B560" s="1" t="s">
        <v>1235</v>
      </c>
      <c r="C560" s="1" t="s">
        <v>196</v>
      </c>
      <c r="D560" s="1" t="s">
        <v>1464</v>
      </c>
      <c r="E560" s="1">
        <v>245</v>
      </c>
      <c r="G560" s="1" t="s">
        <v>209</v>
      </c>
      <c r="H560" s="1" t="s">
        <v>531</v>
      </c>
      <c r="I560" s="1" t="s">
        <v>2959</v>
      </c>
      <c r="J560" s="1" t="s">
        <v>608</v>
      </c>
      <c r="M560" s="15" t="s">
        <v>481</v>
      </c>
      <c r="N560" s="15" t="s">
        <v>21</v>
      </c>
      <c r="O560" s="15">
        <v>6</v>
      </c>
      <c r="P560" s="15" t="str" cm="1">
        <f t="array" ref="P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60" s="15" t="str" cm="1">
        <f t="array" ref="Q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canciones/francisco_palazon/santo_(palazon).html</v>
      </c>
      <c r="S560" s="1"/>
      <c r="T560" s="1"/>
      <c r="U560" s="1"/>
      <c r="V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data-momento="Santo" data-nnew="G05" data-nold="245"&gt;&lt;a href="canciones/francisco_palazon/santo_(palazon).html"&gt;Santo (Palazón)&lt;/a&gt;&lt;/li&gt;</v>
      </c>
      <c r="W560" s="15" t="str">
        <f>_xlfn.TEXTBEFORE(_xlfn.TEXTAFTER(CantoralDB[[#This Row],[index.html]],"&gt;"),"&gt;")&amp;"&gt;"</f>
        <v>&lt;a href="canciones/francisco_palazon/santo_(palazon).html"&gt;</v>
      </c>
      <c r="AA560" s="1"/>
    </row>
    <row r="561" spans="1:27" x14ac:dyDescent="0.3">
      <c r="A561" s="1">
        <f>ROW(CantoralDB[[#This Row],[Título]])-1</f>
        <v>560</v>
      </c>
      <c r="B561" s="1" t="s">
        <v>1921</v>
      </c>
      <c r="C561" s="1"/>
      <c r="H561" s="1" t="s">
        <v>1028</v>
      </c>
      <c r="J561" s="1" t="s">
        <v>608</v>
      </c>
      <c r="M561" s="15" t="s">
        <v>481</v>
      </c>
      <c r="N561" s="15" t="s">
        <v>21</v>
      </c>
      <c r="O561" s="15">
        <v>7</v>
      </c>
      <c r="P561" s="15" t="str" cm="1">
        <f t="array" ref="P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61" s="15" t="str" cm="1">
        <f t="array" ref="Q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canciones/francisco_palazon/anunciamos_tu_muerte.html</v>
      </c>
      <c r="S561" s="1"/>
      <c r="T561" s="1"/>
      <c r="U561" s="1"/>
      <c r="V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href="canciones/francisco_palazon/anunciamos_tu_muerte.html"&gt;Anunciamos tu muerte&lt;/a&gt;&lt;/li&gt;</v>
      </c>
      <c r="W561" s="15" t="str">
        <f>_xlfn.TEXTBEFORE(_xlfn.TEXTAFTER(CantoralDB[[#This Row],[index.html]],"&gt;"),"&gt;")&amp;"&gt;"</f>
        <v>&lt;a href="canciones/francisco_palazon/anunciamos_tu_muerte.html"&gt;</v>
      </c>
      <c r="AA561" s="1"/>
    </row>
    <row r="562" spans="1:27" x14ac:dyDescent="0.3">
      <c r="A562" s="1">
        <f>ROW(CantoralDB[[#This Row],[Título]])-1</f>
        <v>561</v>
      </c>
      <c r="B562" s="1" t="s">
        <v>1556</v>
      </c>
      <c r="C562" s="1"/>
      <c r="H562" s="1" t="s">
        <v>1028</v>
      </c>
      <c r="J562" s="1" t="s">
        <v>608</v>
      </c>
      <c r="M562" s="15" t="s">
        <v>481</v>
      </c>
      <c r="N562" s="15" t="s">
        <v>21</v>
      </c>
      <c r="O562" s="15">
        <v>8</v>
      </c>
      <c r="P562" s="15" t="str" cm="1">
        <f t="array" ref="P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62" s="15" t="str" cm="1">
        <f t="array" ref="Q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canciones/francisco_palazon/padre_nuestro.html</v>
      </c>
      <c r="S562" s="1"/>
      <c r="T562" s="1"/>
      <c r="U562" s="1"/>
      <c r="V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href="canciones/francisco_palazon/padre_nuestro.html"&gt;Padre nuestro&lt;/a&gt;&lt;/li&gt;</v>
      </c>
      <c r="W562" s="15" t="str">
        <f>_xlfn.TEXTBEFORE(_xlfn.TEXTAFTER(CantoralDB[[#This Row],[index.html]],"&gt;"),"&gt;")&amp;"&gt;"</f>
        <v>&lt;a href="canciones/francisco_palazon/padre_nuestro.html"&gt;</v>
      </c>
      <c r="AA562" s="1"/>
    </row>
    <row r="563" spans="1:27" x14ac:dyDescent="0.3">
      <c r="A563" s="1">
        <f>ROW(CantoralDB[[#This Row],[Título]])-1</f>
        <v>562</v>
      </c>
      <c r="B563" s="1" t="s">
        <v>202</v>
      </c>
      <c r="C563" s="1"/>
      <c r="H563" s="1" t="s">
        <v>1028</v>
      </c>
      <c r="J563" s="1" t="s">
        <v>608</v>
      </c>
      <c r="M563" s="15" t="s">
        <v>481</v>
      </c>
      <c r="N563" s="15" t="s">
        <v>21</v>
      </c>
      <c r="O563" s="15">
        <v>10</v>
      </c>
      <c r="P563" s="15" t="str" cm="1">
        <f t="array" ref="P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63" s="15" t="str" cm="1">
        <f t="array" ref="Q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canciones/francisco_palazon/cordero_de_dios.html</v>
      </c>
      <c r="S563" s="1"/>
      <c r="T563" s="1"/>
      <c r="U563" s="1"/>
      <c r="V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href="canciones/francisco_palazon/cordero_de_dios.html"&gt;Cordero de Dios&lt;/a&gt;&lt;/li&gt;</v>
      </c>
      <c r="W563" s="15" t="str">
        <f>_xlfn.TEXTBEFORE(_xlfn.TEXTAFTER(CantoralDB[[#This Row],[index.html]],"&gt;"),"&gt;")&amp;"&gt;"</f>
        <v>&lt;a href="canciones/francisco_palazon/cordero_de_dios.html"&gt;</v>
      </c>
      <c r="AA563" s="1"/>
    </row>
    <row r="564" spans="1:27" x14ac:dyDescent="0.3">
      <c r="A564" s="1">
        <f>ROW(CantoralDB[[#This Row],[Título]])-1</f>
        <v>563</v>
      </c>
      <c r="B564" s="1" t="s">
        <v>8</v>
      </c>
      <c r="C564" s="1" t="s">
        <v>191</v>
      </c>
      <c r="D564" s="1" t="s">
        <v>1366</v>
      </c>
      <c r="E564" s="1">
        <v>9</v>
      </c>
      <c r="G564" s="1" t="s">
        <v>209</v>
      </c>
      <c r="H564" s="1" t="s">
        <v>473</v>
      </c>
      <c r="I564" s="1" t="s">
        <v>2961</v>
      </c>
      <c r="J564" s="1" t="s">
        <v>608</v>
      </c>
      <c r="M564" s="15" t="s">
        <v>481</v>
      </c>
      <c r="N564" s="15" t="s">
        <v>21</v>
      </c>
      <c r="O564" s="15">
        <v>11</v>
      </c>
      <c r="P564" s="15" t="str" cm="1">
        <f t="array" ref="P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64" s="15" t="str" cm="1">
        <f t="array" ref="Q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canciones/francisco_palazon/acerquemonos_todos_al_altar.html</v>
      </c>
      <c r="S564" s="1"/>
      <c r="T564" s="1"/>
      <c r="U564" s="1"/>
      <c r="V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data-nnew="A04" data-nold="9"&gt;&lt;a href="canciones/francisco_palazon/acerquemonos_todos_al_altar.html"&gt;Acerquémonos todos al altar&lt;/a&gt;&lt;/li&gt;</v>
      </c>
      <c r="W564" s="15" t="str">
        <f>_xlfn.TEXTBEFORE(_xlfn.TEXTAFTER(CantoralDB[[#This Row],[index.html]],"&gt;"),"&gt;")&amp;"&gt;"</f>
        <v>&lt;a href="canciones/francisco_palazon/acerquemonos_todos_al_altar.html"&gt;</v>
      </c>
      <c r="AA564" s="1"/>
    </row>
    <row r="565" spans="1:27" x14ac:dyDescent="0.3">
      <c r="A565" s="1">
        <f>ROW(CantoralDB[[#This Row],[Título]])-1</f>
        <v>564</v>
      </c>
      <c r="B565" s="1" t="s">
        <v>1923</v>
      </c>
      <c r="C565" s="1"/>
      <c r="H565" s="1" t="s">
        <v>1028</v>
      </c>
      <c r="J565" s="1" t="s">
        <v>608</v>
      </c>
      <c r="M565" s="15" t="s">
        <v>481</v>
      </c>
      <c r="N565" s="15" t="s">
        <v>21</v>
      </c>
      <c r="O565" s="15">
        <v>12</v>
      </c>
      <c r="P565" s="15" t="str" cm="1">
        <f t="array" ref="P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65" s="15" t="str" cm="1">
        <f t="array" ref="Q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canciones/francisco_palazon/anunciando_tu_venida.html</v>
      </c>
      <c r="S565" s="1"/>
      <c r="T565" s="1"/>
      <c r="U565" s="1"/>
      <c r="V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href="canciones/francisco_palazon/anunciando_tu_venida.html"&gt;Anunciando tu venida&lt;/a&gt;&lt;/li&gt;</v>
      </c>
      <c r="W565" s="15" t="str">
        <f>_xlfn.TEXTBEFORE(_xlfn.TEXTAFTER(CantoralDB[[#This Row],[index.html]],"&gt;"),"&gt;")&amp;"&gt;"</f>
        <v>&lt;a href="canciones/francisco_palazon/anunciando_tu_venida.html"&gt;</v>
      </c>
      <c r="AA565" s="1"/>
    </row>
    <row r="566" spans="1:27" x14ac:dyDescent="0.3">
      <c r="A566" s="1">
        <f>ROW(CantoralDB[[#This Row],[Título]])-1</f>
        <v>565</v>
      </c>
      <c r="B566" s="1" t="s">
        <v>2211</v>
      </c>
      <c r="C566" s="1"/>
      <c r="H566" s="1" t="s">
        <v>1028</v>
      </c>
      <c r="J566" s="1" t="s">
        <v>608</v>
      </c>
      <c r="M566" s="15" t="s">
        <v>481</v>
      </c>
      <c r="N566" s="15" t="s">
        <v>1924</v>
      </c>
      <c r="O566" s="15">
        <v>1</v>
      </c>
      <c r="P566" s="15" t="str" cm="1">
        <f t="array" ref="P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66" s="15" t="str" cm="1">
        <f t="array" ref="Q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canciones/francisco_palazon/junto_a_los_canales_de_babilonia.html</v>
      </c>
      <c r="S566" s="1" t="s">
        <v>2199</v>
      </c>
      <c r="T566" s="1"/>
      <c r="U566" s="1"/>
      <c r="V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href="canciones/francisco_palazon/junto_a_los_canales_de_babilonia.html"&gt;Junto a los canales de Babilonia&lt;/a&gt;&lt;/li&gt;</v>
      </c>
      <c r="W566" s="15" t="str">
        <f>_xlfn.TEXTBEFORE(_xlfn.TEXTAFTER(CantoralDB[[#This Row],[index.html]],"&gt;"),"&gt;")&amp;"&gt;"</f>
        <v>&lt;a href="canciones/francisco_palazon/junto_a_los_canales_de_babilonia.html"&gt;</v>
      </c>
      <c r="AA566" s="1"/>
    </row>
    <row r="567" spans="1:27" x14ac:dyDescent="0.3">
      <c r="A567" s="1">
        <f>ROW(CantoralDB[[#This Row],[Título]])-1</f>
        <v>566</v>
      </c>
      <c r="B567" s="1" t="s">
        <v>2212</v>
      </c>
      <c r="C567" s="1"/>
      <c r="H567" s="1" t="s">
        <v>1030</v>
      </c>
      <c r="J567" s="1" t="s">
        <v>608</v>
      </c>
      <c r="M567" s="15" t="s">
        <v>481</v>
      </c>
      <c r="N567" s="15" t="s">
        <v>1924</v>
      </c>
      <c r="O567" s="15">
        <v>2</v>
      </c>
      <c r="P567" s="15" t="str" cm="1">
        <f t="array" ref="P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67" s="15" t="str" cm="1">
        <f t="array" ref="Q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canciones/francisco_palazon/dichoso_quien_se_acuerda_del_hermano.html</v>
      </c>
      <c r="S567" s="1" t="s">
        <v>2200</v>
      </c>
      <c r="T567" s="1"/>
      <c r="U567" s="1"/>
      <c r="V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href="canciones/francisco_palazon/dichoso_quien_se_acuerda_del_hermano.html"&gt;Dichoso quien se acuerda del hermano&lt;/a&gt;&lt;/li&gt;</v>
      </c>
      <c r="W567" s="15" t="str">
        <f>_xlfn.TEXTBEFORE(_xlfn.TEXTAFTER(CantoralDB[[#This Row],[index.html]],"&gt;"),"&gt;")&amp;"&gt;"</f>
        <v>&lt;a href="canciones/francisco_palazon/dichoso_quien_se_acuerda_del_hermano.html"&gt;</v>
      </c>
      <c r="AA567" s="1"/>
    </row>
    <row r="568" spans="1:27" x14ac:dyDescent="0.3">
      <c r="A568" s="1">
        <f>ROW(CantoralDB[[#This Row],[Título]])-1</f>
        <v>567</v>
      </c>
      <c r="B568" s="1" t="s">
        <v>2213</v>
      </c>
      <c r="C568" s="1"/>
      <c r="H568" s="1" t="s">
        <v>1027</v>
      </c>
      <c r="J568" s="1" t="s">
        <v>608</v>
      </c>
      <c r="M568" s="15" t="s">
        <v>481</v>
      </c>
      <c r="N568" s="15" t="s">
        <v>1924</v>
      </c>
      <c r="O568" s="15">
        <v>3</v>
      </c>
      <c r="P568" s="15" t="str" cm="1">
        <f t="array" ref="P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68" s="15" t="str" cm="1">
        <f t="array" ref="Q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canciones/francisco_palazon/señor_escucha_mi_oracion.html</v>
      </c>
      <c r="S568" s="1" t="s">
        <v>2201</v>
      </c>
      <c r="T568" s="1"/>
      <c r="U568" s="1"/>
      <c r="V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href="canciones/francisco_palazon/señor_escucha_mi_oracion.html"&gt;Señor, escucha mi oración&lt;/a&gt;&lt;/li&gt;</v>
      </c>
      <c r="W568" s="15" t="str">
        <f>_xlfn.TEXTBEFORE(_xlfn.TEXTAFTER(CantoralDB[[#This Row],[index.html]],"&gt;"),"&gt;")&amp;"&gt;"</f>
        <v>&lt;a href="canciones/francisco_palazon/señor_escucha_mi_oracion.html"&gt;</v>
      </c>
      <c r="AA568" s="1"/>
    </row>
    <row r="569" spans="1:27" x14ac:dyDescent="0.3">
      <c r="A569" s="1">
        <f>ROW(CantoralDB[[#This Row],[Título]])-1</f>
        <v>568</v>
      </c>
      <c r="B569" s="1" t="s">
        <v>2214</v>
      </c>
      <c r="C569" s="1"/>
      <c r="H569" s="1" t="s">
        <v>1027</v>
      </c>
      <c r="J569" s="1" t="s">
        <v>608</v>
      </c>
      <c r="M569" s="15" t="s">
        <v>481</v>
      </c>
      <c r="N569" s="15" t="s">
        <v>1924</v>
      </c>
      <c r="O569" s="15">
        <v>4</v>
      </c>
      <c r="P569" s="15" t="str" cm="1">
        <f t="array" ref="P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69" s="15" t="str" cm="1">
        <f t="array" ref="Q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canciones/francisco_palazon/es_bueno_dar_gracias_al_señor.html</v>
      </c>
      <c r="S569" s="1" t="s">
        <v>2202</v>
      </c>
      <c r="T569" s="1"/>
      <c r="U569" s="1"/>
      <c r="V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href="canciones/francisco_palazon/es_bueno_dar_gracias_al_señor.html"&gt;Es bueno dar gracias al Señor&lt;/a&gt;&lt;/li&gt;</v>
      </c>
      <c r="W569" s="15" t="str">
        <f>_xlfn.TEXTBEFORE(_xlfn.TEXTAFTER(CantoralDB[[#This Row],[index.html]],"&gt;"),"&gt;")&amp;"&gt;"</f>
        <v>&lt;a href="canciones/francisco_palazon/es_bueno_dar_gracias_al_señor.html"&gt;</v>
      </c>
      <c r="AA569" s="1"/>
    </row>
    <row r="570" spans="1:27" x14ac:dyDescent="0.3">
      <c r="A570" s="1">
        <f>ROW(CantoralDB[[#This Row],[Título]])-1</f>
        <v>569</v>
      </c>
      <c r="B570" s="1" t="s">
        <v>2215</v>
      </c>
      <c r="C570" s="1"/>
      <c r="H570" s="1" t="s">
        <v>1029</v>
      </c>
      <c r="J570" s="1" t="s">
        <v>608</v>
      </c>
      <c r="M570" s="15" t="s">
        <v>481</v>
      </c>
      <c r="N570" s="15" t="s">
        <v>1924</v>
      </c>
      <c r="O570" s="15">
        <v>5</v>
      </c>
      <c r="P570" s="15" t="str" cm="1">
        <f t="array" ref="P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70" s="15" t="str" cm="1">
        <f t="array" ref="Q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canciones/francisco_palazon/el_cielo_proclama_la_gloria_de_dios.html</v>
      </c>
      <c r="S570" s="1" t="s">
        <v>2203</v>
      </c>
      <c r="T570" s="1"/>
      <c r="U570" s="1"/>
      <c r="V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href="canciones/francisco_palazon/el_cielo_proclama_la_gloria_de_dios.html"&gt;El cielo proclama la gloria de Dios&lt;/a&gt;&lt;/li&gt;</v>
      </c>
      <c r="W570" s="15" t="str">
        <f>_xlfn.TEXTBEFORE(_xlfn.TEXTAFTER(CantoralDB[[#This Row],[index.html]],"&gt;"),"&gt;")&amp;"&gt;"</f>
        <v>&lt;a href="canciones/francisco_palazon/el_cielo_proclama_la_gloria_de_dios.html"&gt;</v>
      </c>
      <c r="AA570" s="1"/>
    </row>
    <row r="571" spans="1:27" x14ac:dyDescent="0.3">
      <c r="A571" s="1">
        <f>ROW(CantoralDB[[#This Row],[Título]])-1</f>
        <v>570</v>
      </c>
      <c r="B571" s="1" t="s">
        <v>2216</v>
      </c>
      <c r="C571" s="1"/>
      <c r="E571" s="1">
        <v>71</v>
      </c>
      <c r="H571" s="1" t="s">
        <v>1027</v>
      </c>
      <c r="J571" s="1" t="s">
        <v>608</v>
      </c>
      <c r="M571" s="15" t="s">
        <v>481</v>
      </c>
      <c r="N571" s="15" t="s">
        <v>1924</v>
      </c>
      <c r="O571" s="15">
        <v>6</v>
      </c>
      <c r="P571" s="15" t="str" cm="1">
        <f t="array" ref="P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71" s="15" t="str" cm="1">
        <f t="array" ref="Q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canciones/francisco_palazon/dad_gracias_al_señor.html</v>
      </c>
      <c r="S571" s="1" t="s">
        <v>2204</v>
      </c>
      <c r="T571" s="1"/>
      <c r="U571" s="1"/>
      <c r="V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data-nold="71"&gt;&lt;a href="canciones/francisco_palazon/dad_gracias_al_señor.html"&gt;Dad gracias al Señor&lt;/a&gt;&lt;/li&gt;</v>
      </c>
      <c r="W571" s="15" t="str">
        <f>_xlfn.TEXTBEFORE(_xlfn.TEXTAFTER(CantoralDB[[#This Row],[index.html]],"&gt;"),"&gt;")&amp;"&gt;"</f>
        <v>&lt;a href="canciones/francisco_palazon/dad_gracias_al_señor.html"&gt;</v>
      </c>
      <c r="AA571" s="1"/>
    </row>
    <row r="572" spans="1:27" x14ac:dyDescent="0.3">
      <c r="A572" s="1">
        <f>ROW(CantoralDB[[#This Row],[Título]])-1</f>
        <v>571</v>
      </c>
      <c r="B572" s="1" t="s">
        <v>2217</v>
      </c>
      <c r="C572" s="1"/>
      <c r="H572" s="1" t="s">
        <v>1030</v>
      </c>
      <c r="J572" s="1" t="s">
        <v>608</v>
      </c>
      <c r="M572" s="15" t="s">
        <v>481</v>
      </c>
      <c r="N572" s="15" t="s">
        <v>1924</v>
      </c>
      <c r="O572" s="15">
        <v>7</v>
      </c>
      <c r="P572" s="15" t="str" cm="1">
        <f t="array" ref="P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72" s="15" t="str" cm="1">
        <f t="array" ref="Q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canciones/francisco_palazon/llena_esta_la_tierra_de_tus_criaturas.html</v>
      </c>
      <c r="S572" s="1" t="s">
        <v>2205</v>
      </c>
      <c r="T572" s="1"/>
      <c r="U572" s="1"/>
      <c r="V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href="canciones/francisco_palazon/llena_esta_la_tierra_de_tus_criaturas.html"&gt;Llena está la tierra de tus criaturas&lt;/a&gt;&lt;/li&gt;</v>
      </c>
      <c r="W572" s="15" t="str">
        <f>_xlfn.TEXTBEFORE(_xlfn.TEXTAFTER(CantoralDB[[#This Row],[index.html]],"&gt;"),"&gt;")&amp;"&gt;"</f>
        <v>&lt;a href="canciones/francisco_palazon/llena_esta_la_tierra_de_tus_criaturas.html"&gt;</v>
      </c>
      <c r="AA572" s="1"/>
    </row>
    <row r="573" spans="1:27" x14ac:dyDescent="0.3">
      <c r="A573" s="1">
        <f>ROW(CantoralDB[[#This Row],[Título]])-1</f>
        <v>572</v>
      </c>
      <c r="B573" s="1" t="s">
        <v>1214</v>
      </c>
      <c r="C573" s="1"/>
      <c r="E573" s="1">
        <v>93</v>
      </c>
      <c r="H573" s="1" t="s">
        <v>1030</v>
      </c>
      <c r="J573" s="1" t="s">
        <v>608</v>
      </c>
      <c r="M573" s="15" t="s">
        <v>481</v>
      </c>
      <c r="N573" s="15" t="s">
        <v>1924</v>
      </c>
      <c r="O573" s="15">
        <v>8</v>
      </c>
      <c r="P573" s="15" t="str" cm="1">
        <f t="array" ref="P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73" s="15" t="str" cm="1">
        <f t="array" ref="Q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canciones/francisco_palazon/el_auxilio_me_viene_del_señor.html</v>
      </c>
      <c r="S573" s="1" t="s">
        <v>2206</v>
      </c>
      <c r="T573" s="1"/>
      <c r="U573" s="1"/>
      <c r="V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data-nold="93"&gt;&lt;a href="canciones/francisco_palazon/el_auxilio_me_viene_del_señor.html"&gt;El auxilio me viene del Señor&lt;/a&gt;&lt;/li&gt;</v>
      </c>
      <c r="W573" s="15" t="str">
        <f>_xlfn.TEXTBEFORE(_xlfn.TEXTAFTER(CantoralDB[[#This Row],[index.html]],"&gt;"),"&gt;")&amp;"&gt;"</f>
        <v>&lt;a href="canciones/francisco_palazon/el_auxilio_me_viene_del_señor.html"&gt;</v>
      </c>
      <c r="AA573" s="1"/>
    </row>
    <row r="574" spans="1:27" x14ac:dyDescent="0.3">
      <c r="A574" s="1">
        <f>ROW(CantoralDB[[#This Row],[Título]])-1</f>
        <v>573</v>
      </c>
      <c r="B574" s="1" t="s">
        <v>2218</v>
      </c>
      <c r="C574" s="1"/>
      <c r="H574" s="1" t="s">
        <v>2968</v>
      </c>
      <c r="J574" s="1" t="s">
        <v>608</v>
      </c>
      <c r="M574" s="15" t="s">
        <v>481</v>
      </c>
      <c r="N574" s="15" t="s">
        <v>1924</v>
      </c>
      <c r="O574" s="15">
        <v>9</v>
      </c>
      <c r="P574" s="15" t="str" cm="1">
        <f t="array" ref="P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74" s="15" t="str" cm="1">
        <f t="array" ref="Q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canciones/francisco_palazon/quien_puede_entrar_en_tu_templo.html</v>
      </c>
      <c r="S574" s="1" t="s">
        <v>2207</v>
      </c>
      <c r="T574" s="1"/>
      <c r="U574" s="1"/>
      <c r="V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href="canciones/francisco_palazon/quien_puede_entrar_en_tu_templo.html"&gt;Quién puede entrar en tu templo&lt;/a&gt;&lt;/li&gt;</v>
      </c>
      <c r="W574" s="15" t="str">
        <f>_xlfn.TEXTBEFORE(_xlfn.TEXTAFTER(CantoralDB[[#This Row],[index.html]],"&gt;"),"&gt;")&amp;"&gt;"</f>
        <v>&lt;a href="canciones/francisco_palazon/quien_puede_entrar_en_tu_templo.html"&gt;</v>
      </c>
      <c r="AA574" s="1"/>
    </row>
    <row r="575" spans="1:27" x14ac:dyDescent="0.3">
      <c r="A575" s="1">
        <f>ROW(CantoralDB[[#This Row],[Título]])-1</f>
        <v>574</v>
      </c>
      <c r="B575" s="1" t="s">
        <v>2219</v>
      </c>
      <c r="C575" s="1"/>
      <c r="H575" s="1" t="s">
        <v>531</v>
      </c>
      <c r="J575" s="1" t="s">
        <v>608</v>
      </c>
      <c r="M575" s="15" t="s">
        <v>481</v>
      </c>
      <c r="N575" s="15" t="s">
        <v>1924</v>
      </c>
      <c r="O575" s="15">
        <v>10</v>
      </c>
      <c r="P575" s="15" t="str" cm="1">
        <f t="array" ref="P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75" s="15" t="str" cm="1">
        <f t="array" ref="Q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canciones/francisco_palazon/alabad_siervos_de_dios.html</v>
      </c>
      <c r="S575" s="1" t="s">
        <v>2208</v>
      </c>
      <c r="T575" s="1"/>
      <c r="U575" s="1"/>
      <c r="V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href="canciones/francisco_palazon/alabad_siervos_de_dios.html"&gt;Alabad, siervos de Dios&lt;/a&gt;&lt;/li&gt;</v>
      </c>
      <c r="W575" s="15" t="str">
        <f>_xlfn.TEXTBEFORE(_xlfn.TEXTAFTER(CantoralDB[[#This Row],[index.html]],"&gt;"),"&gt;")&amp;"&gt;"</f>
        <v>&lt;a href="canciones/francisco_palazon/alabad_siervos_de_dios.html"&gt;</v>
      </c>
      <c r="AA575" s="1"/>
    </row>
    <row r="576" spans="1:27" x14ac:dyDescent="0.3">
      <c r="A576" s="1">
        <f>ROW(CantoralDB[[#This Row],[Título]])-1</f>
        <v>575</v>
      </c>
      <c r="B576" s="1" t="s">
        <v>2220</v>
      </c>
      <c r="C576" s="1"/>
      <c r="H576" s="1" t="s">
        <v>531</v>
      </c>
      <c r="J576" s="1" t="s">
        <v>608</v>
      </c>
      <c r="M576" s="15" t="s">
        <v>481</v>
      </c>
      <c r="N576" s="15" t="s">
        <v>1924</v>
      </c>
      <c r="O576" s="15">
        <v>11</v>
      </c>
      <c r="P576" s="15" t="str" cm="1">
        <f t="array" ref="P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76" s="15" t="str" cm="1">
        <f t="array" ref="Q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canciones/francisco_palazon/que_en_nuestros_dias_reine_la_paz.html</v>
      </c>
      <c r="S576" s="1" t="s">
        <v>2209</v>
      </c>
      <c r="T576" s="1"/>
      <c r="U576" s="1"/>
      <c r="V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href="canciones/francisco_palazon/que_en_nuestros_dias_reine_la_paz.html"&gt;Que en nuestros días reine la paz&lt;/a&gt;&lt;/li&gt;</v>
      </c>
      <c r="W576" s="15" t="str">
        <f>_xlfn.TEXTBEFORE(_xlfn.TEXTAFTER(CantoralDB[[#This Row],[index.html]],"&gt;"),"&gt;")&amp;"&gt;"</f>
        <v>&lt;a href="canciones/francisco_palazon/que_en_nuestros_dias_reine_la_paz.html"&gt;</v>
      </c>
      <c r="AA576" s="1"/>
    </row>
    <row r="577" spans="1:27" x14ac:dyDescent="0.3">
      <c r="A577" s="1">
        <f>ROW(CantoralDB[[#This Row],[Título]])-1</f>
        <v>576</v>
      </c>
      <c r="B577" s="1" t="s">
        <v>2210</v>
      </c>
      <c r="C577" s="1"/>
      <c r="H577" s="1" t="s">
        <v>1030</v>
      </c>
      <c r="J577" s="1" t="s">
        <v>608</v>
      </c>
      <c r="M577" s="15" t="s">
        <v>481</v>
      </c>
      <c r="N577" s="15" t="s">
        <v>1924</v>
      </c>
      <c r="O577" s="15">
        <v>12</v>
      </c>
      <c r="P577" s="15" t="str" cm="1">
        <f t="array" ref="P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77" s="15" t="str" cm="1">
        <f t="array" ref="Q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canciones/francisco_palazon/contra_ti_solo_peque.html</v>
      </c>
      <c r="S577" s="1" t="s">
        <v>850</v>
      </c>
      <c r="T577" s="1"/>
      <c r="U577" s="1"/>
      <c r="V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href="canciones/francisco_palazon/contra_ti_solo_peque.html"&gt;Contra ti solo pequé&lt;/a&gt;&lt;/li&gt;</v>
      </c>
      <c r="W577" s="15" t="str">
        <f>_xlfn.TEXTBEFORE(_xlfn.TEXTAFTER(CantoralDB[[#This Row],[index.html]],"&gt;"),"&gt;")&amp;"&gt;"</f>
        <v>&lt;a href="canciones/francisco_palazon/contra_ti_solo_peque.html"&gt;</v>
      </c>
      <c r="AA577" s="1"/>
    </row>
    <row r="578" spans="1:27" x14ac:dyDescent="0.3">
      <c r="A578" s="1">
        <f>ROW(CantoralDB[[#This Row],[Título]])-1</f>
        <v>577</v>
      </c>
      <c r="B578" s="1" t="s">
        <v>2069</v>
      </c>
      <c r="C578" s="1"/>
      <c r="H578" s="1" t="s">
        <v>1028</v>
      </c>
      <c r="J578" s="1" t="s">
        <v>608</v>
      </c>
      <c r="M578" s="15" t="s">
        <v>481</v>
      </c>
      <c r="N578" s="15" t="s">
        <v>1928</v>
      </c>
      <c r="O578" s="15">
        <v>1</v>
      </c>
      <c r="P578" s="15" t="str" cm="1">
        <f t="array" ref="P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78" s="15" t="str" cm="1">
        <f t="array" ref="Q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canciones/francisco_palazon/cantare_eternamente_(ii).html</v>
      </c>
      <c r="S578" s="1"/>
      <c r="T578" s="1"/>
      <c r="U578" s="1"/>
      <c r="V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href="canciones/francisco_palazon/cantare_eternamente_(ii).html"&gt;Cantaré eternamente (II)&lt;/a&gt;&lt;/li&gt;</v>
      </c>
      <c r="W578" s="15" t="str">
        <f>_xlfn.TEXTBEFORE(_xlfn.TEXTAFTER(CantoralDB[[#This Row],[index.html]],"&gt;"),"&gt;")&amp;"&gt;"</f>
        <v>&lt;a href="canciones/francisco_palazon/cantare_eternamente_(ii).html"&gt;</v>
      </c>
      <c r="AA578" s="1"/>
    </row>
    <row r="579" spans="1:27" x14ac:dyDescent="0.3">
      <c r="A579" s="1">
        <f>ROW(CantoralDB[[#This Row],[Título]])-1</f>
        <v>578</v>
      </c>
      <c r="B579" s="1" t="s">
        <v>2070</v>
      </c>
      <c r="C579" s="1"/>
      <c r="H579" s="1" t="s">
        <v>1043</v>
      </c>
      <c r="J579" s="1" t="s">
        <v>608</v>
      </c>
      <c r="M579" s="15" t="s">
        <v>481</v>
      </c>
      <c r="N579" s="15" t="s">
        <v>1928</v>
      </c>
      <c r="O579" s="15">
        <v>2</v>
      </c>
      <c r="P579" s="15" t="str" cm="1">
        <f t="array" ref="P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79" s="15" t="str" cm="1">
        <f t="array" ref="Q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canciones/francisco_palazon/acuerdate_señor.html</v>
      </c>
      <c r="S579" s="1"/>
      <c r="T579" s="1"/>
      <c r="U579" s="1"/>
      <c r="V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href="canciones/francisco_palazon/acuerdate_señor.html"&gt;Acuérdate, Señor&lt;/a&gt;&lt;/li&gt;</v>
      </c>
      <c r="W579" s="15" t="str">
        <f>_xlfn.TEXTBEFORE(_xlfn.TEXTAFTER(CantoralDB[[#This Row],[index.html]],"&gt;"),"&gt;")&amp;"&gt;"</f>
        <v>&lt;a href="canciones/francisco_palazon/acuerdate_señor.html"&gt;</v>
      </c>
      <c r="AA579" s="1"/>
    </row>
    <row r="580" spans="1:27" x14ac:dyDescent="0.3">
      <c r="A580" s="1">
        <f>ROW(CantoralDB[[#This Row],[Título]])-1</f>
        <v>579</v>
      </c>
      <c r="B580" s="1" t="s">
        <v>2071</v>
      </c>
      <c r="C580" s="1"/>
      <c r="H580" s="1" t="s">
        <v>531</v>
      </c>
      <c r="J580" s="1" t="s">
        <v>608</v>
      </c>
      <c r="M580" s="15" t="s">
        <v>481</v>
      </c>
      <c r="N580" s="15" t="s">
        <v>1928</v>
      </c>
      <c r="O580" s="15">
        <v>3</v>
      </c>
      <c r="P580" s="15" t="str" cm="1">
        <f t="array" ref="P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80" s="15" t="str" cm="1">
        <f t="array" ref="Q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canciones/francisco_palazon/pidamos_al_señor.html</v>
      </c>
      <c r="S580" s="1"/>
      <c r="T580" s="1"/>
      <c r="U580" s="1"/>
      <c r="V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href="canciones/francisco_palazon/pidamos_al_señor.html"&gt;Pidamos al Señor&lt;/a&gt;&lt;/li&gt;</v>
      </c>
      <c r="W580" s="15" t="str">
        <f>_xlfn.TEXTBEFORE(_xlfn.TEXTAFTER(CantoralDB[[#This Row],[index.html]],"&gt;"),"&gt;")&amp;"&gt;"</f>
        <v>&lt;a href="canciones/francisco_palazon/pidamos_al_señor.html"&gt;</v>
      </c>
      <c r="AA580" s="1"/>
    </row>
    <row r="581" spans="1:27" x14ac:dyDescent="0.3">
      <c r="A581" s="1">
        <f>ROW(CantoralDB[[#This Row],[Título]])-1</f>
        <v>580</v>
      </c>
      <c r="B581" s="1" t="s">
        <v>2072</v>
      </c>
      <c r="C581" s="1"/>
      <c r="H581" s="1" t="s">
        <v>473</v>
      </c>
      <c r="J581" s="1" t="s">
        <v>608</v>
      </c>
      <c r="M581" s="15" t="s">
        <v>481</v>
      </c>
      <c r="N581" s="15" t="s">
        <v>1928</v>
      </c>
      <c r="O581" s="15">
        <v>4</v>
      </c>
      <c r="P581" s="15" t="str" cm="1">
        <f t="array" ref="P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81" s="15" t="str" cm="1">
        <f t="array" ref="Q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canciones/francisco_palazon/tu_palabra_señor_es_gozo.html</v>
      </c>
      <c r="S581" s="1"/>
      <c r="T581" s="1"/>
      <c r="U581" s="1"/>
      <c r="V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href="canciones/francisco_palazon/tu_palabra_señor_es_gozo.html"&gt;Tu Palabra, Señor, es gozo&lt;/a&gt;&lt;/li&gt;</v>
      </c>
      <c r="W581" s="15" t="str">
        <f>_xlfn.TEXTBEFORE(_xlfn.TEXTAFTER(CantoralDB[[#This Row],[index.html]],"&gt;"),"&gt;")&amp;"&gt;"</f>
        <v>&lt;a href="canciones/francisco_palazon/tu_palabra_señor_es_gozo.html"&gt;</v>
      </c>
      <c r="AA581" s="1"/>
    </row>
    <row r="582" spans="1:27" x14ac:dyDescent="0.3">
      <c r="A582" s="1">
        <f>ROW(CantoralDB[[#This Row],[Título]])-1</f>
        <v>581</v>
      </c>
      <c r="B582" s="1" t="s">
        <v>2895</v>
      </c>
      <c r="C582" s="1"/>
      <c r="H582" s="1" t="s">
        <v>1028</v>
      </c>
      <c r="J582" s="1" t="s">
        <v>608</v>
      </c>
      <c r="M582" s="15" t="s">
        <v>481</v>
      </c>
      <c r="N582" s="15" t="s">
        <v>1928</v>
      </c>
      <c r="O582" s="15">
        <v>5</v>
      </c>
      <c r="P582" s="15" t="str" cm="1">
        <f t="array" ref="P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82" s="15" t="str" cm="1">
        <f t="array" ref="Q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canciones/francisco_palazon/vuelve_hacia_nosotros.html</v>
      </c>
      <c r="S582" s="1"/>
      <c r="T582" s="1"/>
      <c r="U582" s="1"/>
      <c r="V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href="canciones/francisco_palazon/vuelve_hacia_nosotros.html"&gt;Vuelve hacia nosotros&lt;/a&gt;&lt;/li&gt;</v>
      </c>
      <c r="W582" s="15" t="str">
        <f>_xlfn.TEXTBEFORE(_xlfn.TEXTAFTER(CantoralDB[[#This Row],[index.html]],"&gt;"),"&gt;")&amp;"&gt;"</f>
        <v>&lt;a href="canciones/francisco_palazon/vuelve_hacia_nosotros.html"&gt;</v>
      </c>
      <c r="AA582" s="1"/>
    </row>
    <row r="583" spans="1:27" x14ac:dyDescent="0.3">
      <c r="A583" s="1">
        <f>ROW(CantoralDB[[#This Row],[Título]])-1</f>
        <v>582</v>
      </c>
      <c r="B583" s="1" t="s">
        <v>2073</v>
      </c>
      <c r="C583" s="1"/>
      <c r="J583" s="1"/>
      <c r="M583" s="15" t="s">
        <v>481</v>
      </c>
      <c r="N583" s="15" t="s">
        <v>1928</v>
      </c>
      <c r="O583" s="15">
        <v>6</v>
      </c>
      <c r="P583" s="15" t="str" cm="1">
        <f t="array" ref="P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83" s="15" t="str" cm="1">
        <f t="array" ref="Q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canciones/francisco_palazon/de_la_gloria_del_señor_llena_esta_la_tierra.html</v>
      </c>
      <c r="S583" s="1"/>
      <c r="T583" s="1"/>
      <c r="U583" s="1"/>
      <c r="V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href="canciones/francisco_palazon/de_la_gloria_del_señor_llena_esta_la_tierra.html"&gt;De la gloria del Señor llena está la tierra&lt;/a&gt;&lt;/li&gt;</v>
      </c>
      <c r="W583" s="15" t="str">
        <f>_xlfn.TEXTBEFORE(_xlfn.TEXTAFTER(CantoralDB[[#This Row],[index.html]],"&gt;"),"&gt;")&amp;"&gt;"</f>
        <v>&lt;a href="canciones/francisco_palazon/de_la_gloria_del_señor_llena_esta_la_tierra.html"&gt;</v>
      </c>
      <c r="AA583" s="1"/>
    </row>
    <row r="584" spans="1:27" x14ac:dyDescent="0.3">
      <c r="A584" s="1">
        <f>ROW(CantoralDB[[#This Row],[Título]])-1</f>
        <v>583</v>
      </c>
      <c r="B584" s="1" t="s">
        <v>140</v>
      </c>
      <c r="C584" s="1"/>
      <c r="J584" s="1"/>
      <c r="M584" s="15" t="s">
        <v>481</v>
      </c>
      <c r="N584" s="15" t="s">
        <v>1928</v>
      </c>
      <c r="O584" s="15">
        <v>7</v>
      </c>
      <c r="P584" s="15" t="str" cm="1">
        <f t="array" ref="P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84" s="15" t="str" cm="1">
        <f t="array" ref="Q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canciones/francisco_palazon/te_damos_gracias_señor.html</v>
      </c>
      <c r="S584" s="1"/>
      <c r="T584" s="1"/>
      <c r="U584" s="1"/>
      <c r="V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href="canciones/francisco_palazon/te_damos_gracias_señor.html"&gt;Te damos gracias, Señor&lt;/a&gt;&lt;/li&gt;</v>
      </c>
      <c r="W584" s="15" t="str">
        <f>_xlfn.TEXTBEFORE(_xlfn.TEXTAFTER(CantoralDB[[#This Row],[index.html]],"&gt;"),"&gt;")&amp;"&gt;"</f>
        <v>&lt;a href="canciones/francisco_palazon/te_damos_gracias_señor.html"&gt;</v>
      </c>
      <c r="AA584" s="1"/>
    </row>
    <row r="585" spans="1:27" x14ac:dyDescent="0.3">
      <c r="A585" s="1">
        <f>ROW(CantoralDB[[#This Row],[Título]])-1</f>
        <v>584</v>
      </c>
      <c r="B585" s="1" t="s">
        <v>2074</v>
      </c>
      <c r="C585" s="1"/>
      <c r="J585" s="1"/>
      <c r="M585" s="15" t="s">
        <v>481</v>
      </c>
      <c r="N585" s="15" t="s">
        <v>1928</v>
      </c>
      <c r="O585" s="15">
        <v>8</v>
      </c>
      <c r="P585" s="15" t="str" cm="1">
        <f t="array" ref="P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85" s="15" t="str" cm="1">
        <f t="array" ref="Q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canciones/francisco_palazon/escucha_señor_nuestra_humilde_oracion.html</v>
      </c>
      <c r="S585" s="1"/>
      <c r="T585" s="1"/>
      <c r="U585" s="1"/>
      <c r="V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href="canciones/francisco_palazon/escucha_señor_nuestra_humilde_oracion.html"&gt;Escucha, Señor, nuestra humilde oración&lt;/a&gt;&lt;/li&gt;</v>
      </c>
      <c r="W585" s="15" t="str">
        <f>_xlfn.TEXTBEFORE(_xlfn.TEXTAFTER(CantoralDB[[#This Row],[index.html]],"&gt;"),"&gt;")&amp;"&gt;"</f>
        <v>&lt;a href="canciones/francisco_palazon/escucha_señor_nuestra_humilde_oracion.html"&gt;</v>
      </c>
      <c r="AA585" s="1"/>
    </row>
    <row r="586" spans="1:27" x14ac:dyDescent="0.3">
      <c r="A586" s="1">
        <f>ROW(CantoralDB[[#This Row],[Título]])-1</f>
        <v>585</v>
      </c>
      <c r="B586" s="1" t="s">
        <v>2075</v>
      </c>
      <c r="C586" s="1"/>
      <c r="J586" s="1"/>
      <c r="M586" s="15" t="s">
        <v>481</v>
      </c>
      <c r="N586" s="15" t="s">
        <v>1928</v>
      </c>
      <c r="O586" s="15">
        <v>9</v>
      </c>
      <c r="P586" s="15" t="str" cm="1">
        <f t="array" ref="P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86" s="15" t="str" cm="1">
        <f t="array" ref="Q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canciones/francisco_palazon/cuando_bajas_señor.html</v>
      </c>
      <c r="S586" s="1"/>
      <c r="T586" s="1"/>
      <c r="U586" s="1"/>
      <c r="V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href="canciones/francisco_palazon/cuando_bajas_señor.html"&gt;Cuando bajas, Señor&lt;/a&gt;&lt;/li&gt;</v>
      </c>
      <c r="W586" s="15" t="str">
        <f>_xlfn.TEXTBEFORE(_xlfn.TEXTAFTER(CantoralDB[[#This Row],[index.html]],"&gt;"),"&gt;")&amp;"&gt;"</f>
        <v>&lt;a href="canciones/francisco_palazon/cuando_bajas_señor.html"&gt;</v>
      </c>
      <c r="AA586" s="1"/>
    </row>
    <row r="587" spans="1:27" x14ac:dyDescent="0.3">
      <c r="A587" s="1">
        <f>ROW(CantoralDB[[#This Row],[Título]])-1</f>
        <v>586</v>
      </c>
      <c r="B587" s="1" t="s">
        <v>26</v>
      </c>
      <c r="C587" s="1"/>
      <c r="J587" s="1"/>
      <c r="M587" s="15" t="s">
        <v>481</v>
      </c>
      <c r="N587" s="15" t="s">
        <v>1928</v>
      </c>
      <c r="O587" s="15">
        <v>10</v>
      </c>
      <c r="P587" s="15" t="str" cm="1">
        <f t="array" ref="P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87" s="15" t="str" cm="1">
        <f t="array" ref="Q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canciones/francisco_palazon/bendigamos_al_señor.html</v>
      </c>
      <c r="S587" s="1"/>
      <c r="T587" s="1"/>
      <c r="U587" s="1"/>
      <c r="V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href="canciones/francisco_palazon/bendigamos_al_señor.html"&gt;Bendigamos al Señor&lt;/a&gt;&lt;/li&gt;</v>
      </c>
      <c r="W587" s="15" t="str">
        <f>_xlfn.TEXTBEFORE(_xlfn.TEXTAFTER(CantoralDB[[#This Row],[index.html]],"&gt;"),"&gt;")&amp;"&gt;"</f>
        <v>&lt;a href="canciones/francisco_palazon/bendigamos_al_señor.html"&gt;</v>
      </c>
      <c r="AA587" s="1"/>
    </row>
    <row r="588" spans="1:27" x14ac:dyDescent="0.3">
      <c r="A588" s="1">
        <f>ROW(CantoralDB[[#This Row],[Título]])-1</f>
        <v>587</v>
      </c>
      <c r="B588" s="1" t="s">
        <v>2111</v>
      </c>
      <c r="C588" s="1"/>
      <c r="J588" s="1"/>
      <c r="M588" s="15" t="s">
        <v>481</v>
      </c>
      <c r="N588" s="15" t="s">
        <v>1925</v>
      </c>
      <c r="O588" s="15">
        <v>1</v>
      </c>
      <c r="P588" s="15" t="str" cm="1">
        <f t="array" ref="P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88" s="15" t="str" cm="1">
        <f t="array" ref="Q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canciones/francisco_palazon/hosanna_al_hijo_de_david.html</v>
      </c>
      <c r="S588" s="1"/>
      <c r="T588" s="1"/>
      <c r="U588" s="1"/>
      <c r="V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href="canciones/francisco_palazon/hosanna_al_hijo_de_david.html"&gt;Hosanna al hijo de David&lt;/a&gt;&lt;/li&gt;</v>
      </c>
      <c r="W588" s="15" t="str">
        <f>_xlfn.TEXTBEFORE(_xlfn.TEXTAFTER(CantoralDB[[#This Row],[index.html]],"&gt;"),"&gt;")&amp;"&gt;"</f>
        <v>&lt;a href="canciones/francisco_palazon/hosanna_al_hijo_de_david.html"&gt;</v>
      </c>
      <c r="AA588" s="1"/>
    </row>
    <row r="589" spans="1:27" x14ac:dyDescent="0.3">
      <c r="A589" s="1">
        <f>ROW(CantoralDB[[#This Row],[Título]])-1</f>
        <v>588</v>
      </c>
      <c r="B589" s="1" t="s">
        <v>2112</v>
      </c>
      <c r="C589" s="1"/>
      <c r="J589" s="1"/>
      <c r="M589" s="15" t="s">
        <v>481</v>
      </c>
      <c r="N589" s="15" t="s">
        <v>1925</v>
      </c>
      <c r="O589" s="15">
        <v>2</v>
      </c>
      <c r="P589" s="15" t="str" cm="1">
        <f t="array" ref="P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89" s="15" t="str" cm="1">
        <f t="array" ref="Q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canciones/francisco_palazon/gloria_alabanza_y_honor.html</v>
      </c>
      <c r="S589" s="1"/>
      <c r="T589" s="1"/>
      <c r="U589" s="1"/>
      <c r="V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href="canciones/francisco_palazon/gloria_alabanza_y_honor.html"&gt;Gloria, alabanza y honor&lt;/a&gt;&lt;/li&gt;</v>
      </c>
      <c r="W589" s="15" t="str">
        <f>_xlfn.TEXTBEFORE(_xlfn.TEXTAFTER(CantoralDB[[#This Row],[index.html]],"&gt;"),"&gt;")&amp;"&gt;"</f>
        <v>&lt;a href="canciones/francisco_palazon/gloria_alabanza_y_honor.html"&gt;</v>
      </c>
      <c r="AA589" s="1"/>
    </row>
    <row r="590" spans="1:27" x14ac:dyDescent="0.3">
      <c r="A590" s="1">
        <f>ROW(CantoralDB[[#This Row],[Título]])-1</f>
        <v>589</v>
      </c>
      <c r="B590" s="1" t="s">
        <v>2113</v>
      </c>
      <c r="C590" s="1"/>
      <c r="J590" s="1"/>
      <c r="M590" s="15" t="s">
        <v>481</v>
      </c>
      <c r="N590" s="15" t="s">
        <v>1925</v>
      </c>
      <c r="O590" s="15">
        <v>3</v>
      </c>
      <c r="P590" s="15" t="str" cm="1">
        <f t="array" ref="P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90" s="15" t="str" cm="1">
        <f t="array" ref="Q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canciones/francisco_palazon/los_niños_hebreos.html</v>
      </c>
      <c r="S590" s="1"/>
      <c r="T590" s="1"/>
      <c r="U590" s="1"/>
      <c r="V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href="canciones/francisco_palazon/los_niños_hebreos.html"&gt;Los niños hebreos&lt;/a&gt;&lt;/li&gt;</v>
      </c>
      <c r="W590" s="15" t="str">
        <f>_xlfn.TEXTBEFORE(_xlfn.TEXTAFTER(CantoralDB[[#This Row],[index.html]],"&gt;"),"&gt;")&amp;"&gt;"</f>
        <v>&lt;a href="canciones/francisco_palazon/los_niños_hebreos.html"&gt;</v>
      </c>
      <c r="AA590" s="1"/>
    </row>
    <row r="591" spans="1:27" x14ac:dyDescent="0.3">
      <c r="A591" s="1">
        <f>ROW(CantoralDB[[#This Row],[Título]])-1</f>
        <v>590</v>
      </c>
      <c r="B591" s="1" t="s">
        <v>2114</v>
      </c>
      <c r="C591" s="1"/>
      <c r="J591" s="1"/>
      <c r="M591" s="15" t="s">
        <v>481</v>
      </c>
      <c r="N591" s="15" t="s">
        <v>1925</v>
      </c>
      <c r="O591" s="15">
        <v>4</v>
      </c>
      <c r="P591" s="15" t="str" cm="1">
        <f t="array" ref="P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91" s="15" t="str" cm="1">
        <f t="array" ref="Q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canciones/francisco_palazon/nosotros_hemos_de_gloriarnos.html</v>
      </c>
      <c r="S591" s="1"/>
      <c r="T591" s="1"/>
      <c r="U591" s="1"/>
      <c r="V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href="canciones/francisco_palazon/nosotros_hemos_de_gloriarnos.html"&gt;Nosotros hemos de gloriarnos&lt;/a&gt;&lt;/li&gt;</v>
      </c>
      <c r="W591" s="15" t="str">
        <f>_xlfn.TEXTBEFORE(_xlfn.TEXTAFTER(CantoralDB[[#This Row],[index.html]],"&gt;"),"&gt;")&amp;"&gt;"</f>
        <v>&lt;a href="canciones/francisco_palazon/nosotros_hemos_de_gloriarnos.html"&gt;</v>
      </c>
      <c r="AA591" s="1"/>
    </row>
    <row r="592" spans="1:27" x14ac:dyDescent="0.3">
      <c r="A592" s="1">
        <f>ROW(CantoralDB[[#This Row],[Título]])-1</f>
        <v>591</v>
      </c>
      <c r="B592" s="1" t="s">
        <v>104</v>
      </c>
      <c r="C592" s="1"/>
      <c r="E592" s="1">
        <v>185</v>
      </c>
      <c r="J592" s="1"/>
      <c r="M592" s="15" t="s">
        <v>481</v>
      </c>
      <c r="N592" s="15" t="s">
        <v>1925</v>
      </c>
      <c r="O592" s="15">
        <v>5</v>
      </c>
      <c r="P592" s="15" t="str" cm="1">
        <f t="array" ref="P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92" s="15" t="str" cm="1">
        <f t="array" ref="Q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canciones/francisco_palazon/os_doy_un_mandato_nuevo.html</v>
      </c>
      <c r="S592" s="1"/>
      <c r="T592" s="1"/>
      <c r="U592" s="1"/>
      <c r="V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data-nold="185"&gt;&lt;a href="canciones/francisco_palazon/os_doy_un_mandato_nuevo.html"&gt;Os doy un mandato nuevo&lt;/a&gt;&lt;/li&gt;</v>
      </c>
      <c r="W592" s="15" t="str">
        <f>_xlfn.TEXTBEFORE(_xlfn.TEXTAFTER(CantoralDB[[#This Row],[index.html]],"&gt;"),"&gt;")&amp;"&gt;"</f>
        <v>&lt;a href="canciones/francisco_palazon/os_doy_un_mandato_nuevo.html"&gt;</v>
      </c>
      <c r="AA592" s="1"/>
    </row>
    <row r="593" spans="1:27" x14ac:dyDescent="0.3">
      <c r="A593" s="1">
        <f>ROW(CantoralDB[[#This Row],[Título]])-1</f>
        <v>592</v>
      </c>
      <c r="B593" s="1" t="s">
        <v>2115</v>
      </c>
      <c r="C593" s="1"/>
      <c r="J593" s="1"/>
      <c r="M593" s="15" t="s">
        <v>481</v>
      </c>
      <c r="N593" s="15" t="s">
        <v>1925</v>
      </c>
      <c r="O593" s="15">
        <v>6</v>
      </c>
      <c r="P593" s="15" t="str" cm="1">
        <f t="array" ref="P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93" s="15" t="str" cm="1">
        <f t="array" ref="Q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canciones/francisco_palazon/que_la_lengua_humana.html</v>
      </c>
      <c r="S593" s="1"/>
      <c r="T593" s="1"/>
      <c r="U593" s="1"/>
      <c r="V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href="canciones/francisco_palazon/que_la_lengua_humana.html"&gt;Que la lengua humana&lt;/a&gt;&lt;/li&gt;</v>
      </c>
      <c r="W593" s="15" t="str">
        <f>_xlfn.TEXTBEFORE(_xlfn.TEXTAFTER(CantoralDB[[#This Row],[index.html]],"&gt;"),"&gt;")&amp;"&gt;"</f>
        <v>&lt;a href="canciones/francisco_palazon/que_la_lengua_humana.html"&gt;</v>
      </c>
      <c r="AA593" s="1"/>
    </row>
    <row r="594" spans="1:27" x14ac:dyDescent="0.3">
      <c r="A594" s="1">
        <f>ROW(CantoralDB[[#This Row],[Título]])-1</f>
        <v>593</v>
      </c>
      <c r="B594" s="1" t="s">
        <v>117</v>
      </c>
      <c r="C594" s="1"/>
      <c r="J594" s="1"/>
      <c r="M594" s="15" t="s">
        <v>481</v>
      </c>
      <c r="N594" s="15" t="s">
        <v>1925</v>
      </c>
      <c r="O594" s="15">
        <v>7</v>
      </c>
      <c r="P594" s="15" t="str" cm="1">
        <f t="array" ref="P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94" s="15" t="str" cm="1">
        <f t="array" ref="Q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canciones/francisco_palazon/pueblo_mio.html</v>
      </c>
      <c r="S594" s="1"/>
      <c r="T594" s="1"/>
      <c r="U594" s="1"/>
      <c r="V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href="canciones/francisco_palazon/pueblo_mio.html"&gt;Pueblo mío&lt;/a&gt;&lt;/li&gt;</v>
      </c>
      <c r="W594" s="15" t="str">
        <f>_xlfn.TEXTBEFORE(_xlfn.TEXTAFTER(CantoralDB[[#This Row],[index.html]],"&gt;"),"&gt;")&amp;"&gt;"</f>
        <v>&lt;a href="canciones/francisco_palazon/pueblo_mio.html"&gt;</v>
      </c>
      <c r="AA594" s="1"/>
    </row>
    <row r="595" spans="1:27" x14ac:dyDescent="0.3">
      <c r="A595" s="1">
        <f>ROW(CantoralDB[[#This Row],[Título]])-1</f>
        <v>594</v>
      </c>
      <c r="B595" s="1" t="s">
        <v>41</v>
      </c>
      <c r="C595" s="1"/>
      <c r="J595" s="1"/>
      <c r="M595" s="15" t="s">
        <v>481</v>
      </c>
      <c r="N595" s="15" t="s">
        <v>1925</v>
      </c>
      <c r="O595" s="15">
        <v>8</v>
      </c>
      <c r="P595" s="15" t="str" cm="1">
        <f t="array" ref="P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95" s="15" t="str" cm="1">
        <f t="array" ref="Q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canciones/francisco_palazon/cristo_por_nosotros.html</v>
      </c>
      <c r="S595" s="1"/>
      <c r="T595" s="1"/>
      <c r="U595" s="1"/>
      <c r="V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href="canciones/francisco_palazon/cristo_por_nosotros.html"&gt;Cristo por nosotros&lt;/a&gt;&lt;/li&gt;</v>
      </c>
      <c r="W595" s="15" t="str">
        <f>_xlfn.TEXTBEFORE(_xlfn.TEXTAFTER(CantoralDB[[#This Row],[index.html]],"&gt;"),"&gt;")&amp;"&gt;"</f>
        <v>&lt;a href="canciones/francisco_palazon/cristo_por_nosotros.html"&gt;</v>
      </c>
      <c r="AA595" s="1"/>
    </row>
    <row r="596" spans="1:27" x14ac:dyDescent="0.3">
      <c r="A596" s="1">
        <f>ROW(CantoralDB[[#This Row],[Título]])-1</f>
        <v>595</v>
      </c>
      <c r="B596" s="1" t="s">
        <v>2116</v>
      </c>
      <c r="C596" s="1"/>
      <c r="J596" s="1"/>
      <c r="M596" s="15" t="s">
        <v>481</v>
      </c>
      <c r="N596" s="15" t="s">
        <v>1925</v>
      </c>
      <c r="O596" s="15">
        <v>9</v>
      </c>
      <c r="P596" s="15" t="str" cm="1">
        <f t="array" ref="P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96" s="15" t="str" cm="1">
        <f t="array" ref="Q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canciones/francisco_palazon/tu_cruz_adoramos_señor.html</v>
      </c>
      <c r="S596" s="1"/>
      <c r="T596" s="1"/>
      <c r="U596" s="1"/>
      <c r="V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href="canciones/francisco_palazon/tu_cruz_adoramos_señor.html"&gt;Tu cruz adoramos, Señor&lt;/a&gt;&lt;/li&gt;</v>
      </c>
      <c r="W596" s="15" t="str">
        <f>_xlfn.TEXTBEFORE(_xlfn.TEXTAFTER(CantoralDB[[#This Row],[index.html]],"&gt;"),"&gt;")&amp;"&gt;"</f>
        <v>&lt;a href="canciones/francisco_palazon/tu_cruz_adoramos_señor.html"&gt;</v>
      </c>
      <c r="AA596" s="1"/>
    </row>
    <row r="597" spans="1:27" x14ac:dyDescent="0.3">
      <c r="A597" s="1">
        <f>ROW(CantoralDB[[#This Row],[Título]])-1</f>
        <v>596</v>
      </c>
      <c r="B597" s="1" t="s">
        <v>2117</v>
      </c>
      <c r="C597" s="1"/>
      <c r="J597" s="1"/>
      <c r="M597" s="15" t="s">
        <v>481</v>
      </c>
      <c r="N597" s="15" t="s">
        <v>1925</v>
      </c>
      <c r="O597" s="15">
        <v>10</v>
      </c>
      <c r="P597" s="15" t="str" cm="1">
        <f t="array" ref="P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97" s="15" t="str" cm="1">
        <f t="array" ref="Q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canciones/francisco_palazon/como_busca_la_cierva.html</v>
      </c>
      <c r="S597" s="1"/>
      <c r="T597" s="1"/>
      <c r="U597" s="1"/>
      <c r="V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href="canciones/francisco_palazon/como_busca_la_cierva.html"&gt;Como busca la cierva&lt;/a&gt;&lt;/li&gt;</v>
      </c>
      <c r="W597" s="15" t="str">
        <f>_xlfn.TEXTBEFORE(_xlfn.TEXTAFTER(CantoralDB[[#This Row],[index.html]],"&gt;"),"&gt;")&amp;"&gt;"</f>
        <v>&lt;a href="canciones/francisco_palazon/como_busca_la_cierva.html"&gt;</v>
      </c>
      <c r="AA597" s="1"/>
    </row>
    <row r="598" spans="1:27" x14ac:dyDescent="0.3">
      <c r="A598" s="1">
        <f>ROW(CantoralDB[[#This Row],[Título]])-1</f>
        <v>597</v>
      </c>
      <c r="B598" s="1" t="s">
        <v>2118</v>
      </c>
      <c r="C598" s="1"/>
      <c r="J598" s="1"/>
      <c r="M598" s="15" t="s">
        <v>481</v>
      </c>
      <c r="N598" s="15" t="s">
        <v>1925</v>
      </c>
      <c r="O598" s="15">
        <v>11</v>
      </c>
      <c r="P598" s="15" t="str" cm="1">
        <f t="array" ref="P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98" s="15" t="str" cm="1">
        <f t="array" ref="Q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canciones/francisco_palazon/cantemos_el_gozo_de_la_resurreccion.html</v>
      </c>
      <c r="S598" s="1"/>
      <c r="T598" s="1"/>
      <c r="U598" s="1"/>
      <c r="V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href="canciones/francisco_palazon/cantemos_el_gozo_de_la_resurreccion.html"&gt;Cantemos el gozo de la resurrección&lt;/a&gt;&lt;/li&gt;</v>
      </c>
      <c r="W598" s="15" t="str">
        <f>_xlfn.TEXTBEFORE(_xlfn.TEXTAFTER(CantoralDB[[#This Row],[index.html]],"&gt;"),"&gt;")&amp;"&gt;"</f>
        <v>&lt;a href="canciones/francisco_palazon/cantemos_el_gozo_de_la_resurreccion.html"&gt;</v>
      </c>
      <c r="AA598" s="1"/>
    </row>
    <row r="599" spans="1:27" x14ac:dyDescent="0.3">
      <c r="A599" s="1">
        <f>ROW(CantoralDB[[#This Row],[Título]])-1</f>
        <v>598</v>
      </c>
      <c r="B599" s="1" t="s">
        <v>1215</v>
      </c>
      <c r="C599" s="1"/>
      <c r="E599" s="1">
        <v>99</v>
      </c>
      <c r="J599" s="1"/>
      <c r="M599" s="15" t="s">
        <v>481</v>
      </c>
      <c r="N599" s="15" t="s">
        <v>2225</v>
      </c>
      <c r="O599" s="15"/>
      <c r="P599" s="15" t="str" cm="1">
        <f t="array" ref="P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599" s="15" t="str" cm="1">
        <f t="array" ref="Q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canciones/francisco_palazon/el_señor_es_mi_luz_y_mi_salvacion.html</v>
      </c>
      <c r="S599" s="1"/>
      <c r="T599" s="1"/>
      <c r="U599" s="1"/>
      <c r="V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data-nold="99"&gt;&lt;a href="canciones/francisco_palazon/el_señor_es_mi_luz_y_mi_salvacion.html"&gt;El Señor es mi luz y mi salvación&lt;/a&gt;&lt;/li&gt;</v>
      </c>
      <c r="W599" s="15" t="str">
        <f>_xlfn.TEXTBEFORE(_xlfn.TEXTAFTER(CantoralDB[[#This Row],[index.html]],"&gt;"),"&gt;")&amp;"&gt;"</f>
        <v>&lt;a href="canciones/francisco_palazon/el_señor_es_mi_luz_y_mi_salvacion.html"&gt;</v>
      </c>
      <c r="AA599" s="1"/>
    </row>
    <row r="600" spans="1:27" x14ac:dyDescent="0.3">
      <c r="A600" s="1">
        <f>ROW(CantoralDB[[#This Row],[Título]])-1</f>
        <v>599</v>
      </c>
      <c r="B600" s="1" t="s">
        <v>1926</v>
      </c>
      <c r="C600" s="1"/>
      <c r="H600" s="1" t="s">
        <v>531</v>
      </c>
      <c r="J600" s="1" t="s">
        <v>608</v>
      </c>
      <c r="M600" s="15" t="s">
        <v>481</v>
      </c>
      <c r="N600" s="15" t="s">
        <v>1926</v>
      </c>
      <c r="O600" s="15">
        <v>1</v>
      </c>
      <c r="P600" s="15" t="str" cm="1">
        <f t="array" ref="P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00" s="15" t="str" cm="1">
        <f t="array" ref="Q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canciones/francisco_palazon/el_alzar_de_mis_manos.html</v>
      </c>
      <c r="S600" s="1" t="s">
        <v>2221</v>
      </c>
      <c r="T600" s="1"/>
      <c r="U600" s="1"/>
      <c r="V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href="canciones/francisco_palazon/el_alzar_de_mis_manos.html"&gt;El alzar de mis manos&lt;/a&gt;&lt;/li&gt;</v>
      </c>
      <c r="W600" s="15" t="str">
        <f>_xlfn.TEXTBEFORE(_xlfn.TEXTAFTER(CantoralDB[[#This Row],[index.html]],"&gt;"),"&gt;")&amp;"&gt;"</f>
        <v>&lt;a href="canciones/francisco_palazon/el_alzar_de_mis_manos.html"&gt;</v>
      </c>
      <c r="AA600" s="1"/>
    </row>
    <row r="601" spans="1:27" x14ac:dyDescent="0.3">
      <c r="A601" s="1">
        <f>ROW(CantoralDB[[#This Row],[Título]])-1</f>
        <v>600</v>
      </c>
      <c r="B601" s="1" t="s">
        <v>1932</v>
      </c>
      <c r="C601" s="1"/>
      <c r="E601" s="1">
        <v>62</v>
      </c>
      <c r="H601" s="1" t="s">
        <v>1030</v>
      </c>
      <c r="J601" s="1" t="s">
        <v>608</v>
      </c>
      <c r="M601" s="15" t="s">
        <v>481</v>
      </c>
      <c r="N601" s="15" t="s">
        <v>1926</v>
      </c>
      <c r="O601" s="15">
        <v>2</v>
      </c>
      <c r="P601" s="15" t="str" cm="1">
        <f t="array" ref="P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01" s="15" t="str" cm="1">
        <f t="array" ref="Q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canciones/francisco_palazon/cantico_de_daniel.html</v>
      </c>
      <c r="S601" s="1"/>
      <c r="T601" s="1"/>
      <c r="U601" s="1"/>
      <c r="V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data-nold="62"&gt;&lt;a href="canciones/francisco_palazon/cantico_de_daniel.html"&gt;Cántico de Daniel&lt;/a&gt;&lt;/li&gt;</v>
      </c>
      <c r="W601" s="15" t="str">
        <f>_xlfn.TEXTBEFORE(_xlfn.TEXTAFTER(CantoralDB[[#This Row],[index.html]],"&gt;"),"&gt;")&amp;"&gt;"</f>
        <v>&lt;a href="canciones/francisco_palazon/cantico_de_daniel.html"&gt;</v>
      </c>
      <c r="AA601" s="1"/>
    </row>
    <row r="602" spans="1:27" x14ac:dyDescent="0.3">
      <c r="A602" s="1">
        <f>ROW(CantoralDB[[#This Row],[Título]])-1</f>
        <v>601</v>
      </c>
      <c r="B602" s="1" t="s">
        <v>1167</v>
      </c>
      <c r="C602" s="1"/>
      <c r="E602" s="1">
        <v>27</v>
      </c>
      <c r="H602" s="1" t="s">
        <v>1030</v>
      </c>
      <c r="J602" s="1" t="s">
        <v>608</v>
      </c>
      <c r="M602" s="15" t="s">
        <v>481</v>
      </c>
      <c r="N602" s="15" t="s">
        <v>1926</v>
      </c>
      <c r="O602" s="15">
        <v>3</v>
      </c>
      <c r="P602" s="15" t="str" cm="1">
        <f t="array" ref="P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02" s="15" t="str" cm="1">
        <f t="array" ref="Q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canciones/francisco_palazon/a_ti_levanto_mi_alma.html</v>
      </c>
      <c r="S602" s="1"/>
      <c r="T602" s="1"/>
      <c r="U602" s="1"/>
      <c r="V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data-nold="27"&gt;&lt;a href="canciones/francisco_palazon/a_ti_levanto_mi_alma.html"&gt;A ti levanto mi alma&lt;/a&gt;&lt;/li&gt;</v>
      </c>
      <c r="W602" s="15" t="str">
        <f>_xlfn.TEXTBEFORE(_xlfn.TEXTAFTER(CantoralDB[[#This Row],[index.html]],"&gt;"),"&gt;")&amp;"&gt;"</f>
        <v>&lt;a href="canciones/francisco_palazon/a_ti_levanto_mi_alma.html"&gt;</v>
      </c>
      <c r="AA602" s="1"/>
    </row>
    <row r="603" spans="1:27" x14ac:dyDescent="0.3">
      <c r="A603" s="1">
        <f>ROW(CantoralDB[[#This Row],[Título]])-1</f>
        <v>602</v>
      </c>
      <c r="B603" s="1" t="s">
        <v>2224</v>
      </c>
      <c r="C603" s="1"/>
      <c r="H603" s="1" t="s">
        <v>531</v>
      </c>
      <c r="J603" s="1" t="s">
        <v>608</v>
      </c>
      <c r="M603" s="15" t="s">
        <v>481</v>
      </c>
      <c r="N603" s="15" t="s">
        <v>1926</v>
      </c>
      <c r="O603" s="15">
        <v>4</v>
      </c>
      <c r="P603" s="15" t="str" cm="1">
        <f t="array" ref="P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03" s="15" t="str" cm="1">
        <f t="array" ref="Q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canciones/francisco_palazon/el_señor_de_los_ejercitos.html</v>
      </c>
      <c r="S603" s="1" t="s">
        <v>2222</v>
      </c>
      <c r="T603" s="1"/>
      <c r="U603" s="1"/>
      <c r="V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href="canciones/francisco_palazon/el_señor_de_los_ejercitos.html"&gt;El Señor de los ejércitos&lt;/a&gt;&lt;/li&gt;</v>
      </c>
      <c r="W603" s="15" t="str">
        <f>_xlfn.TEXTBEFORE(_xlfn.TEXTAFTER(CantoralDB[[#This Row],[index.html]],"&gt;"),"&gt;")&amp;"&gt;"</f>
        <v>&lt;a href="canciones/francisco_palazon/el_señor_de_los_ejercitos.html"&gt;</v>
      </c>
      <c r="AA603" s="1"/>
    </row>
    <row r="604" spans="1:27" x14ac:dyDescent="0.3">
      <c r="A604" s="1">
        <f>ROW(CantoralDB[[#This Row],[Título]])-1</f>
        <v>603</v>
      </c>
      <c r="B604" s="1" t="s">
        <v>515</v>
      </c>
      <c r="C604" s="1" t="s">
        <v>201</v>
      </c>
      <c r="D604" s="1" t="s">
        <v>650</v>
      </c>
      <c r="G604" s="1" t="s">
        <v>209</v>
      </c>
      <c r="H604" s="1" t="s">
        <v>1030</v>
      </c>
      <c r="J604" s="1" t="s">
        <v>608</v>
      </c>
      <c r="M604" s="15" t="s">
        <v>481</v>
      </c>
      <c r="N604" s="15" t="s">
        <v>1926</v>
      </c>
      <c r="O604" s="15">
        <v>5</v>
      </c>
      <c r="P604" s="15" t="str" cm="1">
        <f t="array" ref="P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04" s="15" t="str" cm="1">
        <f t="array" ref="Q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canciones/francisco_palazon/el_caliz_que_bendecimos.html</v>
      </c>
      <c r="S604" s="1" t="s">
        <v>822</v>
      </c>
      <c r="T604" s="1"/>
      <c r="U604" s="1"/>
      <c r="V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data-nnew="D12"&gt;&lt;a href="canciones/francisco_palazon/el_caliz_que_bendecimos.html"&gt;El cáliz que bendecimos&lt;/a&gt;&lt;/li&gt;</v>
      </c>
      <c r="W604" s="15" t="str">
        <f>_xlfn.TEXTBEFORE(_xlfn.TEXTAFTER(CantoralDB[[#This Row],[index.html]],"&gt;"),"&gt;")&amp;"&gt;"</f>
        <v>&lt;a href="canciones/francisco_palazon/el_caliz_que_bendecimos.html"&gt;</v>
      </c>
      <c r="AA604" s="1"/>
    </row>
    <row r="605" spans="1:27" x14ac:dyDescent="0.3">
      <c r="A605" s="1">
        <f>ROW(CantoralDB[[#This Row],[Título]])-1</f>
        <v>604</v>
      </c>
      <c r="B605" s="1" t="s">
        <v>53</v>
      </c>
      <c r="C605" s="1" t="s">
        <v>201</v>
      </c>
      <c r="D605" s="1" t="s">
        <v>652</v>
      </c>
      <c r="E605" s="1">
        <v>98</v>
      </c>
      <c r="G605" s="1" t="s">
        <v>209</v>
      </c>
      <c r="H605" s="1" t="s">
        <v>1030</v>
      </c>
      <c r="J605" s="1" t="s">
        <v>608</v>
      </c>
      <c r="M605" s="15" t="s">
        <v>481</v>
      </c>
      <c r="N605" s="15" t="s">
        <v>1926</v>
      </c>
      <c r="O605" s="15">
        <v>6</v>
      </c>
      <c r="P605" s="15" t="str" cm="1">
        <f t="array" ref="P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05" s="15" t="str" cm="1">
        <f t="array" ref="Q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canciones/francisco_palazon/el_señor_es_mi_pastor.html</v>
      </c>
      <c r="S605" s="1" t="s">
        <v>827</v>
      </c>
      <c r="T605" s="1"/>
      <c r="U605" s="1"/>
      <c r="V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data-nnew="D14" data-nold="98"&gt;&lt;a href="canciones/francisco_palazon/el_señor_es_mi_pastor.html"&gt;El Señor es mi pastor&lt;/a&gt;&lt;/li&gt;</v>
      </c>
      <c r="W605" s="15" t="str">
        <f>_xlfn.TEXTBEFORE(_xlfn.TEXTAFTER(CantoralDB[[#This Row],[index.html]],"&gt;"),"&gt;")&amp;"&gt;"</f>
        <v>&lt;a href="canciones/francisco_palazon/el_señor_es_mi_pastor.html"&gt;</v>
      </c>
      <c r="AA605" s="1"/>
    </row>
    <row r="606" spans="1:27" x14ac:dyDescent="0.3">
      <c r="A606" s="1">
        <f>ROW(CantoralDB[[#This Row],[Título]])-1</f>
        <v>605</v>
      </c>
      <c r="B606" s="1" t="s">
        <v>1933</v>
      </c>
      <c r="C606" s="1"/>
      <c r="E606" s="1">
        <v>18</v>
      </c>
      <c r="H606" s="1" t="s">
        <v>1030</v>
      </c>
      <c r="J606" s="1" t="s">
        <v>608</v>
      </c>
      <c r="M606" s="15" t="s">
        <v>481</v>
      </c>
      <c r="N606" s="15" t="s">
        <v>1926</v>
      </c>
      <c r="O606" s="15">
        <v>7</v>
      </c>
      <c r="P606" s="15" t="str" cm="1">
        <f t="array" ref="P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06" s="15" t="str" cm="1">
        <f t="array" ref="Q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canciones/francisco_palazon/el_señor_tenga_piedad.html</v>
      </c>
      <c r="S606" s="1"/>
      <c r="T606" s="1"/>
      <c r="U606" s="1"/>
      <c r="V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data-nold="18"&gt;&lt;a href="canciones/francisco_palazon/el_señor_tenga_piedad.html"&gt;El Señor tenga piedad&lt;/a&gt;&lt;/li&gt;</v>
      </c>
      <c r="W606" s="15" t="str">
        <f>_xlfn.TEXTBEFORE(_xlfn.TEXTAFTER(CantoralDB[[#This Row],[index.html]],"&gt;"),"&gt;")&amp;"&gt;"</f>
        <v>&lt;a href="canciones/francisco_palazon/el_señor_tenga_piedad.html"&gt;</v>
      </c>
      <c r="AA606" s="1"/>
    </row>
    <row r="607" spans="1:27" x14ac:dyDescent="0.3">
      <c r="A607" s="1">
        <f>ROW(CantoralDB[[#This Row],[Título]])-1</f>
        <v>606</v>
      </c>
      <c r="B607" s="1" t="s">
        <v>1172</v>
      </c>
      <c r="C607" s="1"/>
      <c r="E607" s="1">
        <v>36</v>
      </c>
      <c r="H607" s="1" t="s">
        <v>1027</v>
      </c>
      <c r="J607" s="1" t="s">
        <v>608</v>
      </c>
      <c r="M607" s="15" t="s">
        <v>481</v>
      </c>
      <c r="N607" s="15" t="s">
        <v>1926</v>
      </c>
      <c r="O607" s="15">
        <v>8</v>
      </c>
      <c r="P607" s="15" t="str" cm="1">
        <f t="array" ref="P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07" s="15" t="str" cm="1">
        <f t="array" ref="Q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canciones/francisco_palazon/caminare_en_presencia_del_señor.html</v>
      </c>
      <c r="S607" s="1"/>
      <c r="T607" s="1"/>
      <c r="U607" s="1"/>
      <c r="V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data-nold="36"&gt;&lt;a href="canciones/francisco_palazon/caminare_en_presencia_del_señor.html"&gt;Caminaré en presencia del Señor&lt;/a&gt;&lt;/li&gt;</v>
      </c>
      <c r="W607" s="15" t="str">
        <f>_xlfn.TEXTBEFORE(_xlfn.TEXTAFTER(CantoralDB[[#This Row],[index.html]],"&gt;"),"&gt;")&amp;"&gt;"</f>
        <v>&lt;a href="canciones/francisco_palazon/caminare_en_presencia_del_señor.html"&gt;</v>
      </c>
      <c r="AA607" s="1"/>
    </row>
    <row r="608" spans="1:27" x14ac:dyDescent="0.3">
      <c r="A608" s="1">
        <f>ROW(CantoralDB[[#This Row],[Título]])-1</f>
        <v>607</v>
      </c>
      <c r="B608" s="1" t="s">
        <v>1219</v>
      </c>
      <c r="C608" s="1"/>
      <c r="E608" s="1">
        <v>103</v>
      </c>
      <c r="H608" s="1" t="s">
        <v>531</v>
      </c>
      <c r="J608" s="1" t="s">
        <v>608</v>
      </c>
      <c r="M608" s="15" t="s">
        <v>481</v>
      </c>
      <c r="N608" s="15" t="s">
        <v>1926</v>
      </c>
      <c r="O608" s="15">
        <v>9</v>
      </c>
      <c r="P608" s="15" t="str" cm="1">
        <f t="array" ref="P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08" s="15" t="str" cm="1">
        <f t="array" ref="Q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canciones/francisco_palazon/el_señor_es_bueno.html</v>
      </c>
      <c r="S608" s="1" t="s">
        <v>2223</v>
      </c>
      <c r="T608" s="1"/>
      <c r="U608" s="1"/>
      <c r="V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data-nold="103"&gt;&lt;a href="canciones/francisco_palazon/el_señor_es_bueno.html"&gt;El Señor es bueno&lt;/a&gt;&lt;/li&gt;</v>
      </c>
      <c r="W608" s="15" t="str">
        <f>_xlfn.TEXTBEFORE(_xlfn.TEXTAFTER(CantoralDB[[#This Row],[index.html]],"&gt;"),"&gt;")&amp;"&gt;"</f>
        <v>&lt;a href="canciones/francisco_palazon/el_señor_es_bueno.html"&gt;</v>
      </c>
      <c r="AA608" s="1"/>
    </row>
    <row r="609" spans="1:27" x14ac:dyDescent="0.3">
      <c r="A609" s="1">
        <f>ROW(CantoralDB[[#This Row],[Título]])-1</f>
        <v>608</v>
      </c>
      <c r="B609" s="1" t="s">
        <v>116</v>
      </c>
      <c r="C609" s="1"/>
      <c r="E609" s="1">
        <v>207</v>
      </c>
      <c r="H609" s="1" t="s">
        <v>1030</v>
      </c>
      <c r="J609" s="1" t="s">
        <v>608</v>
      </c>
      <c r="M609" s="15" t="s">
        <v>481</v>
      </c>
      <c r="N609" s="15" t="s">
        <v>1926</v>
      </c>
      <c r="O609" s="15">
        <v>10</v>
      </c>
      <c r="P609" s="15" t="str" cm="1">
        <f t="array" ref="P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09" s="15" t="str" cm="1">
        <f t="array" ref="Q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canciones/francisco_palazon/protegeme_dios_mio.html</v>
      </c>
      <c r="S609" s="1"/>
      <c r="T609" s="1"/>
      <c r="U609" s="1"/>
      <c r="V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data-nold="207"&gt;&lt;a href="canciones/francisco_palazon/protegeme_dios_mio.html"&gt;Protégeme, Dios mío&lt;/a&gt;&lt;/li&gt;</v>
      </c>
      <c r="W609" s="15" t="str">
        <f>_xlfn.TEXTBEFORE(_xlfn.TEXTAFTER(CantoralDB[[#This Row],[index.html]],"&gt;"),"&gt;")&amp;"&gt;"</f>
        <v>&lt;a href="canciones/francisco_palazon/protegeme_dios_mio.html"&gt;</v>
      </c>
      <c r="AA609" s="1"/>
    </row>
    <row r="610" spans="1:27" x14ac:dyDescent="0.3">
      <c r="A610" s="1">
        <f>ROW(CantoralDB[[#This Row],[Título]])-1</f>
        <v>609</v>
      </c>
      <c r="B610" s="1" t="s">
        <v>74</v>
      </c>
      <c r="C610" s="1" t="s">
        <v>200</v>
      </c>
      <c r="D610" s="1" t="s">
        <v>1429</v>
      </c>
      <c r="E610" s="1">
        <v>430</v>
      </c>
      <c r="G610" s="1" t="s">
        <v>209</v>
      </c>
      <c r="H610" s="1" t="s">
        <v>1027</v>
      </c>
      <c r="J610" s="1" t="s">
        <v>608</v>
      </c>
      <c r="M610" s="15" t="s">
        <v>481</v>
      </c>
      <c r="N610" s="15" t="s">
        <v>2227</v>
      </c>
      <c r="O610" s="15"/>
      <c r="P610" s="15" t="str" cm="1">
        <f t="array" ref="P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10" s="15" t="str" cm="1">
        <f t="array" ref="Q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canciones/francisco_palazon/himno_a_nuestra_señora_de_la_almudena.html</v>
      </c>
      <c r="S610" s="1"/>
      <c r="T610" s="1"/>
      <c r="U610" s="1"/>
      <c r="V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data-nnew="M06" data-nold="430"&gt;&lt;a href="canciones/francisco_palazon/himno_a_nuestra_señora_de_la_almudena.html"&gt;Himno a Nuestra Señora de la Almudena&lt;/a&gt;&lt;/li&gt;</v>
      </c>
      <c r="W610" s="15" t="str">
        <f>_xlfn.TEXTBEFORE(_xlfn.TEXTAFTER(CantoralDB[[#This Row],[index.html]],"&gt;"),"&gt;")&amp;"&gt;"</f>
        <v>&lt;a href="canciones/francisco_palazon/himno_a_nuestra_señora_de_la_almudena.html"&gt;</v>
      </c>
      <c r="AA610" s="1"/>
    </row>
    <row r="611" spans="1:27" x14ac:dyDescent="0.3">
      <c r="A611" s="1">
        <f>ROW(CantoralDB[[#This Row],[Título]])-1</f>
        <v>610</v>
      </c>
      <c r="B611" s="1" t="s">
        <v>238</v>
      </c>
      <c r="C611" s="1" t="s">
        <v>200</v>
      </c>
      <c r="D611" s="1" t="s">
        <v>1050</v>
      </c>
      <c r="E611" s="1">
        <v>42</v>
      </c>
      <c r="G611" s="1" t="s">
        <v>209</v>
      </c>
      <c r="H611" s="1" t="s">
        <v>1027</v>
      </c>
      <c r="I611" s="1" t="s">
        <v>2962</v>
      </c>
      <c r="J611" s="1" t="s">
        <v>608</v>
      </c>
      <c r="M611" s="15" t="s">
        <v>481</v>
      </c>
      <c r="N611" s="15" t="s">
        <v>1278</v>
      </c>
      <c r="O611" s="15">
        <v>1</v>
      </c>
      <c r="P611" s="15" t="str" cm="1">
        <f t="array" ref="P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11" s="15" t="str" cm="1">
        <f t="array" ref="Q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canciones/francisco_palazon/mujer_fuerte.html</v>
      </c>
      <c r="S611" s="1"/>
      <c r="T611" s="1"/>
      <c r="U611" s="1"/>
      <c r="V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data-nnew="M16" data-nold="42"&gt;&lt;a href="canciones/francisco_palazon/mujer_fuerte.html"&gt;Mujer fuerte&lt;/a&gt;&lt;/li&gt;</v>
      </c>
      <c r="W611" s="15" t="str">
        <f>_xlfn.TEXTBEFORE(_xlfn.TEXTAFTER(CantoralDB[[#This Row],[index.html]],"&gt;"),"&gt;")&amp;"&gt;"</f>
        <v>&lt;a href="canciones/francisco_palazon/mujer_fuerte.html"&gt;</v>
      </c>
      <c r="AA611" s="1"/>
    </row>
    <row r="612" spans="1:27" x14ac:dyDescent="0.3">
      <c r="A612" s="1">
        <f>ROW(CantoralDB[[#This Row],[Título]])-1</f>
        <v>611</v>
      </c>
      <c r="B612" s="1" t="s">
        <v>1278</v>
      </c>
      <c r="C612" s="1"/>
      <c r="E612" s="1">
        <v>161</v>
      </c>
      <c r="H612" s="1" t="s">
        <v>531</v>
      </c>
      <c r="J612" s="1" t="s">
        <v>608</v>
      </c>
      <c r="M612" s="15" t="s">
        <v>481</v>
      </c>
      <c r="N612" s="15" t="s">
        <v>1278</v>
      </c>
      <c r="O612" s="15">
        <v>2</v>
      </c>
      <c r="P612" s="15" t="str" cm="1">
        <f t="array" ref="P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12" s="15" t="str" cm="1">
        <f t="array" ref="Q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canciones/francisco_palazon/madre_de_los_creyentes.html</v>
      </c>
      <c r="S612" s="1"/>
      <c r="T612" s="1"/>
      <c r="U612" s="14" t="s">
        <v>2983</v>
      </c>
      <c r="V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data-nold="161"&gt;&lt;a href="canciones/francisco_palazon/madre_de_los_creyentes.html"&gt;Madre de los creyentes&lt;/a&gt;&lt;/li&gt;</v>
      </c>
      <c r="W612" s="15" t="str">
        <f>_xlfn.TEXTBEFORE(_xlfn.TEXTAFTER(CantoralDB[[#This Row],[index.html]],"&gt;"),"&gt;")&amp;"&gt;"</f>
        <v>&lt;a href="canciones/francisco_palazon/madre_de_los_creyentes.html"&gt;</v>
      </c>
      <c r="AA612" s="1"/>
    </row>
    <row r="613" spans="1:27" x14ac:dyDescent="0.3">
      <c r="A613" s="1">
        <f>ROW(CantoralDB[[#This Row],[Título]])-1</f>
        <v>612</v>
      </c>
      <c r="B613" s="1" t="s">
        <v>1934</v>
      </c>
      <c r="C613" s="1"/>
      <c r="H613" s="1" t="s">
        <v>531</v>
      </c>
      <c r="J613" s="1" t="s">
        <v>608</v>
      </c>
      <c r="M613" s="15" t="s">
        <v>481</v>
      </c>
      <c r="N613" s="15" t="s">
        <v>1278</v>
      </c>
      <c r="O613" s="15">
        <v>3</v>
      </c>
      <c r="P613" s="15" t="str" cm="1">
        <f t="array" ref="P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13" s="15" t="str" cm="1">
        <f t="array" ref="Q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canciones/francisco_palazon/a_ti_suspiramos.html</v>
      </c>
      <c r="S613" s="1"/>
      <c r="T613" s="1"/>
      <c r="U613" s="1"/>
      <c r="V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href="canciones/francisco_palazon/a_ti_suspiramos.html"&gt;A ti suspiramos&lt;/a&gt;&lt;/li&gt;</v>
      </c>
      <c r="W613" s="15" t="str">
        <f>_xlfn.TEXTBEFORE(_xlfn.TEXTAFTER(CantoralDB[[#This Row],[index.html]],"&gt;"),"&gt;")&amp;"&gt;"</f>
        <v>&lt;a href="canciones/francisco_palazon/a_ti_suspiramos.html"&gt;</v>
      </c>
      <c r="AA613" s="1"/>
    </row>
    <row r="614" spans="1:27" x14ac:dyDescent="0.3">
      <c r="A614" s="1">
        <f>ROW(CantoralDB[[#This Row],[Título]])-1</f>
        <v>613</v>
      </c>
      <c r="B614" s="1" t="s">
        <v>125</v>
      </c>
      <c r="C614" s="1" t="s">
        <v>200</v>
      </c>
      <c r="D614" s="1" t="s">
        <v>1052</v>
      </c>
      <c r="E614" s="1" t="s">
        <v>2904</v>
      </c>
      <c r="G614" s="1" t="s">
        <v>209</v>
      </c>
      <c r="H614" s="1" t="s">
        <v>473</v>
      </c>
      <c r="J614" s="1" t="s">
        <v>608</v>
      </c>
      <c r="M614" s="15" t="s">
        <v>481</v>
      </c>
      <c r="N614" s="15" t="s">
        <v>1278</v>
      </c>
      <c r="O614" s="15">
        <v>4</v>
      </c>
      <c r="P614" s="15" t="str" cm="1">
        <f t="array" ref="P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14" s="15" t="str" cm="1">
        <f t="array" ref="Q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canciones/francisco_palazon/reina_del_cielo.html</v>
      </c>
      <c r="S614" s="1"/>
      <c r="T614" s="1"/>
      <c r="U614" s="1"/>
      <c r="V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data-momento="María" data-nnew="M19" data-nold="227 y 228"&gt;&lt;a href="canciones/francisco_palazon/reina_del_cielo.html"&gt;Reina del Cielo&lt;/a&gt;&lt;/li&gt;</v>
      </c>
      <c r="W614" s="15" t="str">
        <f>_xlfn.TEXTBEFORE(_xlfn.TEXTAFTER(CantoralDB[[#This Row],[index.html]],"&gt;"),"&gt;")&amp;"&gt;"</f>
        <v>&lt;a href="canciones/francisco_palazon/reina_del_cielo.html"&gt;</v>
      </c>
      <c r="AA614" s="1"/>
    </row>
    <row r="615" spans="1:27" x14ac:dyDescent="0.3">
      <c r="A615" s="1">
        <f>ROW(CantoralDB[[#This Row],[Título]])-1</f>
        <v>614</v>
      </c>
      <c r="B615" s="1" t="s">
        <v>1544</v>
      </c>
      <c r="C615" s="1"/>
      <c r="H615" s="1" t="s">
        <v>473</v>
      </c>
      <c r="J615" s="1" t="s">
        <v>608</v>
      </c>
      <c r="M615" s="15" t="s">
        <v>481</v>
      </c>
      <c r="N615" s="15" t="s">
        <v>1278</v>
      </c>
      <c r="O615" s="15">
        <v>5</v>
      </c>
      <c r="P615" s="15" t="str" cm="1">
        <f t="array" ref="P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15" s="15" t="str" cm="1">
        <f t="array" ref="Q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canciones/francisco_palazon/magnificat.html</v>
      </c>
      <c r="S615" s="1"/>
      <c r="T615" s="1"/>
      <c r="U615" s="1"/>
      <c r="V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href="canciones/francisco_palazon/magnificat.html"&gt;Magnificat&lt;/a&gt;&lt;/li&gt;</v>
      </c>
      <c r="W615" s="15" t="str">
        <f>_xlfn.TEXTBEFORE(_xlfn.TEXTAFTER(CantoralDB[[#This Row],[index.html]],"&gt;"),"&gt;")&amp;"&gt;"</f>
        <v>&lt;a href="canciones/francisco_palazon/magnificat.html"&gt;</v>
      </c>
      <c r="AA615" s="1"/>
    </row>
    <row r="616" spans="1:27" x14ac:dyDescent="0.3">
      <c r="A616" s="1">
        <f>ROW(CantoralDB[[#This Row],[Título]])-1</f>
        <v>615</v>
      </c>
      <c r="B616" s="1" t="s">
        <v>1935</v>
      </c>
      <c r="C616" s="1"/>
      <c r="H616" s="1" t="s">
        <v>531</v>
      </c>
      <c r="J616" s="1" t="s">
        <v>608</v>
      </c>
      <c r="M616" s="15" t="s">
        <v>481</v>
      </c>
      <c r="N616" s="15" t="s">
        <v>1278</v>
      </c>
      <c r="O616" s="15">
        <v>6</v>
      </c>
      <c r="P616" s="15" t="str" cm="1">
        <f t="array" ref="P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16" s="15" t="str" cm="1">
        <f t="array" ref="Q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canciones/francisco_palazon/morada_de_la_luz.html</v>
      </c>
      <c r="S616" s="1"/>
      <c r="T616" s="1"/>
      <c r="U616" s="1"/>
      <c r="V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href="canciones/francisco_palazon/morada_de_la_luz.html"&gt;Morada de la luz&lt;/a&gt;&lt;/li&gt;</v>
      </c>
      <c r="W616" s="15" t="str">
        <f>_xlfn.TEXTBEFORE(_xlfn.TEXTAFTER(CantoralDB[[#This Row],[index.html]],"&gt;"),"&gt;")&amp;"&gt;"</f>
        <v>&lt;a href="canciones/francisco_palazon/morada_de_la_luz.html"&gt;</v>
      </c>
      <c r="AA616" s="1"/>
    </row>
    <row r="617" spans="1:27" x14ac:dyDescent="0.3">
      <c r="A617" s="1">
        <f>ROW(CantoralDB[[#This Row],[Título]])-1</f>
        <v>616</v>
      </c>
      <c r="B617" s="1" t="s">
        <v>1936</v>
      </c>
      <c r="C617" s="1"/>
      <c r="H617" s="1" t="s">
        <v>531</v>
      </c>
      <c r="J617" s="1" t="s">
        <v>608</v>
      </c>
      <c r="M617" s="15" t="s">
        <v>481</v>
      </c>
      <c r="N617" s="15" t="s">
        <v>1278</v>
      </c>
      <c r="O617" s="15">
        <v>7</v>
      </c>
      <c r="P617" s="15" t="str" cm="1">
        <f t="array" ref="P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17" s="15" t="str" cm="1">
        <f t="array" ref="Q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canciones/francisco_palazon/madre_del_redentor.html</v>
      </c>
      <c r="S617" s="1"/>
      <c r="T617" s="1"/>
      <c r="U617" s="1"/>
      <c r="V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href="canciones/francisco_palazon/madre_del_redentor.html"&gt;Madre del Redentor&lt;/a&gt;&lt;/li&gt;</v>
      </c>
      <c r="W617" s="15" t="str">
        <f>_xlfn.TEXTBEFORE(_xlfn.TEXTAFTER(CantoralDB[[#This Row],[index.html]],"&gt;"),"&gt;")&amp;"&gt;"</f>
        <v>&lt;a href="canciones/francisco_palazon/madre_del_redentor.html"&gt;</v>
      </c>
      <c r="AA617" s="1"/>
    </row>
    <row r="618" spans="1:27" x14ac:dyDescent="0.3">
      <c r="A618" s="1">
        <f>ROW(CantoralDB[[#This Row],[Título]])-1</f>
        <v>617</v>
      </c>
      <c r="B618" s="1" t="s">
        <v>1937</v>
      </c>
      <c r="C618" s="1"/>
      <c r="H618" s="1" t="s">
        <v>1030</v>
      </c>
      <c r="J618" s="1" t="s">
        <v>608</v>
      </c>
      <c r="M618" s="15" t="s">
        <v>481</v>
      </c>
      <c r="N618" s="15" t="s">
        <v>1278</v>
      </c>
      <c r="O618" s="15">
        <v>8</v>
      </c>
      <c r="P618" s="15" t="str" cm="1">
        <f t="array" ref="P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18" s="15" t="str" cm="1">
        <f t="array" ref="Q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18" s="3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canciones/francisco_palazon/angelus.html</v>
      </c>
      <c r="S618" s="1"/>
      <c r="T618" s="1"/>
      <c r="U618" s="1"/>
      <c r="V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href="canciones/francisco_palazon/angelus.html"&gt;Ángelus&lt;/a&gt;&lt;/li&gt;</v>
      </c>
      <c r="W618" s="15" t="str">
        <f>_xlfn.TEXTBEFORE(_xlfn.TEXTAFTER(CantoralDB[[#This Row],[index.html]],"&gt;"),"&gt;")&amp;"&gt;"</f>
        <v>&lt;a href="canciones/francisco_palazon/angelus.html"&gt;</v>
      </c>
      <c r="AA618" s="1"/>
    </row>
    <row r="619" spans="1:27" x14ac:dyDescent="0.3">
      <c r="A619" s="1">
        <f>ROW(CantoralDB[[#This Row],[Título]])-1</f>
        <v>618</v>
      </c>
      <c r="B619" s="1" t="s">
        <v>1938</v>
      </c>
      <c r="C619" s="1"/>
      <c r="H619" s="1" t="s">
        <v>1030</v>
      </c>
      <c r="J619" s="1" t="s">
        <v>608</v>
      </c>
      <c r="M619" s="15" t="s">
        <v>481</v>
      </c>
      <c r="N619" s="15" t="s">
        <v>1278</v>
      </c>
      <c r="O619" s="15">
        <v>9</v>
      </c>
      <c r="P619" s="15" t="str" cm="1">
        <f t="array" ref="P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19" s="15" t="str" cm="1">
        <f t="array" ref="Q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canciones/francisco_palazon/madre_nuestra.html</v>
      </c>
      <c r="S619" s="1"/>
      <c r="T619" s="1"/>
      <c r="U619" s="1"/>
      <c r="V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href="canciones/francisco_palazon/madre_nuestra.html"&gt;Madre nuestra&lt;/a&gt;&lt;/li&gt;</v>
      </c>
      <c r="W619" s="15" t="str">
        <f>_xlfn.TEXTBEFORE(_xlfn.TEXTAFTER(CantoralDB[[#This Row],[index.html]],"&gt;"),"&gt;")&amp;"&gt;"</f>
        <v>&lt;a href="canciones/francisco_palazon/madre_nuestra.html"&gt;</v>
      </c>
      <c r="AA619" s="1"/>
    </row>
    <row r="620" spans="1:27" x14ac:dyDescent="0.3">
      <c r="A620" s="1">
        <f>ROW(CantoralDB[[#This Row],[Título]])-1</f>
        <v>619</v>
      </c>
      <c r="B620" s="1" t="s">
        <v>497</v>
      </c>
      <c r="C620" s="1"/>
      <c r="H620" s="1" t="s">
        <v>531</v>
      </c>
      <c r="J620" s="1" t="s">
        <v>608</v>
      </c>
      <c r="M620" s="15" t="s">
        <v>481</v>
      </c>
      <c r="N620" s="15" t="s">
        <v>1278</v>
      </c>
      <c r="O620" s="15">
        <v>10</v>
      </c>
      <c r="P620" s="15" t="str" cm="1">
        <f t="array" ref="P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20" s="15" t="str" cm="1">
        <f t="array" ref="Q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canciones/francisco_palazon/ave_maria.html</v>
      </c>
      <c r="S620" s="1"/>
      <c r="T620" s="1"/>
      <c r="U620" s="1"/>
      <c r="V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href="canciones/francisco_palazon/ave_maria.html"&gt;Ave María&lt;/a&gt;&lt;/li&gt;</v>
      </c>
      <c r="W620" s="15" t="str">
        <f>_xlfn.TEXTBEFORE(_xlfn.TEXTAFTER(CantoralDB[[#This Row],[index.html]],"&gt;"),"&gt;")&amp;"&gt;"</f>
        <v>&lt;a href="canciones/francisco_palazon/ave_maria.html"&gt;</v>
      </c>
      <c r="AA620" s="1"/>
    </row>
    <row r="621" spans="1:27" x14ac:dyDescent="0.3">
      <c r="A621" s="1">
        <f>ROW(CantoralDB[[#This Row],[Título]])-1</f>
        <v>620</v>
      </c>
      <c r="B621" s="1" t="s">
        <v>2046</v>
      </c>
      <c r="C621" s="1"/>
      <c r="H621" s="1" t="s">
        <v>1028</v>
      </c>
      <c r="J621" s="1" t="s">
        <v>608</v>
      </c>
      <c r="M621" s="15" t="s">
        <v>481</v>
      </c>
      <c r="N621" s="15" t="s">
        <v>2918</v>
      </c>
      <c r="O621" s="15">
        <v>1</v>
      </c>
      <c r="P621" s="15" t="str" cm="1">
        <f t="array" ref="P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21" s="15" t="str" cm="1">
        <f t="array" ref="Q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canciones/francisco_palazon/unidos_por_la_fe_y_el_amor.html</v>
      </c>
      <c r="S621" s="1"/>
      <c r="T621" s="1"/>
      <c r="U621" s="1"/>
      <c r="V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href="canciones/francisco_palazon/unidos_por_la_fe_y_el_amor.html"&gt;Unidos por la fe y el amor&lt;/a&gt;&lt;/li&gt;</v>
      </c>
      <c r="W621" s="15" t="str">
        <f>_xlfn.TEXTBEFORE(_xlfn.TEXTAFTER(CantoralDB[[#This Row],[index.html]],"&gt;"),"&gt;")&amp;"&gt;"</f>
        <v>&lt;a href="canciones/francisco_palazon/unidos_por_la_fe_y_el_amor.html"&gt;</v>
      </c>
      <c r="AA621" s="1"/>
    </row>
    <row r="622" spans="1:27" x14ac:dyDescent="0.3">
      <c r="A622" s="1">
        <f>ROW(CantoralDB[[#This Row],[Título]])-1</f>
        <v>621</v>
      </c>
      <c r="B622" s="1" t="s">
        <v>1582</v>
      </c>
      <c r="C622" s="1"/>
      <c r="H622" s="1" t="s">
        <v>1027</v>
      </c>
      <c r="J622" s="1" t="s">
        <v>608</v>
      </c>
      <c r="M622" s="15" t="s">
        <v>481</v>
      </c>
      <c r="N622" s="15" t="s">
        <v>2918</v>
      </c>
      <c r="O622" s="15">
        <v>2</v>
      </c>
      <c r="P622" s="15" t="str" cm="1">
        <f t="array" ref="P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22" s="15" t="str" cm="1">
        <f t="array" ref="Q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canciones/francisco_palazon/ten_piedad.html</v>
      </c>
      <c r="S622" s="1"/>
      <c r="T622" s="1"/>
      <c r="U622" s="1"/>
      <c r="V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href="canciones/francisco_palazon/ten_piedad.html"&gt;Ten piedad&lt;/a&gt;&lt;/li&gt;</v>
      </c>
      <c r="W622" s="15" t="str">
        <f>_xlfn.TEXTBEFORE(_xlfn.TEXTAFTER(CantoralDB[[#This Row],[index.html]],"&gt;"),"&gt;")&amp;"&gt;"</f>
        <v>&lt;a href="canciones/francisco_palazon/ten_piedad.html"&gt;</v>
      </c>
      <c r="AA622" s="1"/>
    </row>
    <row r="623" spans="1:27" x14ac:dyDescent="0.3">
      <c r="A623" s="1">
        <f>ROW(CantoralDB[[#This Row],[Título]])-1</f>
        <v>622</v>
      </c>
      <c r="B623" s="1" t="s">
        <v>2919</v>
      </c>
      <c r="C623" s="1"/>
      <c r="H623" s="1" t="s">
        <v>1027</v>
      </c>
      <c r="J623" s="1" t="s">
        <v>608</v>
      </c>
      <c r="M623" s="15" t="s">
        <v>481</v>
      </c>
      <c r="N623" s="15" t="s">
        <v>2918</v>
      </c>
      <c r="O623" s="15">
        <v>3</v>
      </c>
      <c r="P623" s="15" t="str" cm="1">
        <f t="array" ref="P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23" s="15" t="str" cm="1">
        <f t="array" ref="Q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canciones/francisco_palazon/gloria_(misa_coral_en_re).html</v>
      </c>
      <c r="S623" s="1"/>
      <c r="T623" s="1"/>
      <c r="U623" s="1"/>
      <c r="V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href="canciones/francisco_palazon/gloria_(misa_coral_en_re).html"&gt;Gloria (misa coral en Re)&lt;/a&gt;&lt;/li&gt;</v>
      </c>
      <c r="W623" s="15" t="str">
        <f>_xlfn.TEXTBEFORE(_xlfn.TEXTAFTER(CantoralDB[[#This Row],[index.html]],"&gt;"),"&gt;")&amp;"&gt;"</f>
        <v>&lt;a href="canciones/francisco_palazon/gloria_(misa_coral_en_re).html"&gt;</v>
      </c>
      <c r="AA623" s="1"/>
    </row>
    <row r="624" spans="1:27" x14ac:dyDescent="0.3">
      <c r="A624" s="1">
        <f>ROW(CantoralDB[[#This Row],[Título]])-1</f>
        <v>623</v>
      </c>
      <c r="B624" s="1" t="s">
        <v>2920</v>
      </c>
      <c r="C624" s="1"/>
      <c r="H624" s="1" t="s">
        <v>1030</v>
      </c>
      <c r="J624" s="1" t="s">
        <v>608</v>
      </c>
      <c r="M624" s="15" t="s">
        <v>481</v>
      </c>
      <c r="N624" s="15" t="s">
        <v>2918</v>
      </c>
      <c r="O624" s="15">
        <v>4</v>
      </c>
      <c r="P624" s="15" t="str" cm="1">
        <f t="array" ref="P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24" s="15" t="str" cm="1">
        <f t="array" ref="Q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canciones/francisco_palazon/aleluya_(misa_coral_en_re).html</v>
      </c>
      <c r="S624" s="1"/>
      <c r="T624" s="1"/>
      <c r="U624" s="1"/>
      <c r="V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href="canciones/francisco_palazon/aleluya_(misa_coral_en_re).html"&gt;Aleluya (misa coral en Re)&lt;/a&gt;&lt;/li&gt;</v>
      </c>
      <c r="W624" s="15" t="str">
        <f>_xlfn.TEXTBEFORE(_xlfn.TEXTAFTER(CantoralDB[[#This Row],[index.html]],"&gt;"),"&gt;")&amp;"&gt;"</f>
        <v>&lt;a href="canciones/francisco_palazon/aleluya_(misa_coral_en_re).html"&gt;</v>
      </c>
      <c r="AA624" s="1"/>
    </row>
    <row r="625" spans="1:27" x14ac:dyDescent="0.3">
      <c r="A625" s="1">
        <f>ROW(CantoralDB[[#This Row],[Título]])-1</f>
        <v>624</v>
      </c>
      <c r="B625" s="1" t="s">
        <v>2921</v>
      </c>
      <c r="C625" s="1"/>
      <c r="H625" s="1" t="s">
        <v>1027</v>
      </c>
      <c r="J625" s="1" t="s">
        <v>608</v>
      </c>
      <c r="M625" s="15" t="s">
        <v>481</v>
      </c>
      <c r="N625" s="15" t="s">
        <v>2918</v>
      </c>
      <c r="O625" s="15">
        <v>5</v>
      </c>
      <c r="P625" s="15" t="str" cm="1">
        <f t="array" ref="P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25" s="15" t="str" cm="1">
        <f t="array" ref="Q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canciones/francisco_palazon/santo_(misa_coral_en_re).html</v>
      </c>
      <c r="S625" s="1"/>
      <c r="T625" s="1"/>
      <c r="U625" s="1"/>
      <c r="V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href="canciones/francisco_palazon/santo_(misa_coral_en_re).html"&gt;Santo (misa coral en Re)&lt;/a&gt;&lt;/li&gt;</v>
      </c>
      <c r="W625" s="15" t="str">
        <f>_xlfn.TEXTBEFORE(_xlfn.TEXTAFTER(CantoralDB[[#This Row],[index.html]],"&gt;"),"&gt;")&amp;"&gt;"</f>
        <v>&lt;a href="canciones/francisco_palazon/santo_(misa_coral_en_re).html"&gt;</v>
      </c>
      <c r="AA625" s="1"/>
    </row>
    <row r="626" spans="1:27" x14ac:dyDescent="0.3">
      <c r="A626" s="1">
        <f>ROW(CantoralDB[[#This Row],[Título]])-1</f>
        <v>625</v>
      </c>
      <c r="B626" s="1" t="s">
        <v>2922</v>
      </c>
      <c r="C626" s="1"/>
      <c r="H626" s="1" t="s">
        <v>1027</v>
      </c>
      <c r="J626" s="1" t="s">
        <v>608</v>
      </c>
      <c r="M626" s="15" t="s">
        <v>481</v>
      </c>
      <c r="N626" s="15" t="s">
        <v>2918</v>
      </c>
      <c r="O626" s="15">
        <v>6</v>
      </c>
      <c r="P626" s="15" t="str" cm="1">
        <f t="array" ref="P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26" s="15" t="str" cm="1">
        <f t="array" ref="Q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canciones/francisco_palazon/padre_nuestro_(misa_coral_en_re).html</v>
      </c>
      <c r="S626" s="1"/>
      <c r="T626" s="1"/>
      <c r="U626" s="1"/>
      <c r="V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href="canciones/francisco_palazon/padre_nuestro_(misa_coral_en_re).html"&gt;Padre nuestro (misa coral en Re)&lt;/a&gt;&lt;/li&gt;</v>
      </c>
      <c r="W626" s="15" t="str">
        <f>_xlfn.TEXTBEFORE(_xlfn.TEXTAFTER(CantoralDB[[#This Row],[index.html]],"&gt;"),"&gt;")&amp;"&gt;"</f>
        <v>&lt;a href="canciones/francisco_palazon/padre_nuestro_(misa_coral_en_re).html"&gt;</v>
      </c>
      <c r="AA626" s="1"/>
    </row>
    <row r="627" spans="1:27" x14ac:dyDescent="0.3">
      <c r="A627" s="1">
        <f>ROW(CantoralDB[[#This Row],[Título]])-1</f>
        <v>626</v>
      </c>
      <c r="B627" s="1" t="s">
        <v>2923</v>
      </c>
      <c r="C627" s="1"/>
      <c r="H627" s="1" t="s">
        <v>1027</v>
      </c>
      <c r="J627" s="1" t="s">
        <v>608</v>
      </c>
      <c r="M627" s="15" t="s">
        <v>481</v>
      </c>
      <c r="N627" s="15" t="s">
        <v>2918</v>
      </c>
      <c r="O627" s="15">
        <v>7</v>
      </c>
      <c r="P627" s="15" t="str" cm="1">
        <f t="array" ref="P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27" s="15" t="str" cm="1">
        <f t="array" ref="Q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canciones/francisco_palazon/cordero_de_dios_(misa_coral_en_re).html</v>
      </c>
      <c r="S627" s="1"/>
      <c r="T627" s="1"/>
      <c r="U627" s="1"/>
      <c r="V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href="canciones/francisco_palazon/cordero_de_dios_(misa_coral_en_re).html"&gt;Cordero de Dios (misa coral en Re)&lt;/a&gt;&lt;/li&gt;</v>
      </c>
      <c r="W627" s="15" t="str">
        <f>_xlfn.TEXTBEFORE(_xlfn.TEXTAFTER(CantoralDB[[#This Row],[index.html]],"&gt;"),"&gt;")&amp;"&gt;"</f>
        <v>&lt;a href="canciones/francisco_palazon/cordero_de_dios_(misa_coral_en_re).html"&gt;</v>
      </c>
      <c r="AA627" s="1"/>
    </row>
    <row r="628" spans="1:27" x14ac:dyDescent="0.3">
      <c r="A628" s="1">
        <f>ROW(CantoralDB[[#This Row],[Título]])-1</f>
        <v>627</v>
      </c>
      <c r="B628" s="1" t="s">
        <v>2076</v>
      </c>
      <c r="C628" s="1"/>
      <c r="H628" s="1" t="s">
        <v>531</v>
      </c>
      <c r="J628" s="1" t="s">
        <v>608</v>
      </c>
      <c r="M628" s="15" t="s">
        <v>481</v>
      </c>
      <c r="N628" s="15" t="s">
        <v>2045</v>
      </c>
      <c r="O628" s="15">
        <v>1</v>
      </c>
      <c r="P628" s="15" t="str" cm="1">
        <f t="array" ref="P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28" s="15" t="str" cm="1">
        <f t="array" ref="Q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canciones/francisco_palazon/dales_señor_el_descanso_eterno.html</v>
      </c>
      <c r="S628" s="1"/>
      <c r="T628" s="1"/>
      <c r="U628" s="14" t="s">
        <v>3019</v>
      </c>
      <c r="V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href="canciones/francisco_palazon/dales_señor_el_descanso_eterno.html"&gt;Dales, Señor, el descanso eterno&lt;/a&gt;&lt;/li&gt;</v>
      </c>
      <c r="W628" s="15" t="str">
        <f>_xlfn.TEXTBEFORE(_xlfn.TEXTAFTER(CantoralDB[[#This Row],[index.html]],"&gt;"),"&gt;")&amp;"&gt;"</f>
        <v>&lt;a href="canciones/francisco_palazon/dales_señor_el_descanso_eterno.html"&gt;</v>
      </c>
      <c r="AA628" s="1"/>
    </row>
    <row r="629" spans="1:27" x14ac:dyDescent="0.3">
      <c r="A629" s="1">
        <f>ROW(CantoralDB[[#This Row],[Título]])-1</f>
        <v>628</v>
      </c>
      <c r="B629" s="1" t="s">
        <v>2036</v>
      </c>
      <c r="C629" s="1"/>
      <c r="J629" s="1"/>
      <c r="M629" s="15" t="s">
        <v>481</v>
      </c>
      <c r="N629" s="15" t="s">
        <v>2045</v>
      </c>
      <c r="O629" s="15">
        <v>2</v>
      </c>
      <c r="P629" s="15" t="str" cm="1">
        <f t="array" ref="P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29" s="15" t="str" cm="1">
        <f t="array" ref="Q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canciones/francisco_palazon/dale_señor.html</v>
      </c>
      <c r="S629" s="1"/>
      <c r="T629" s="1"/>
      <c r="U629" s="14" t="s">
        <v>3018</v>
      </c>
      <c r="V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href="canciones/francisco_palazon/dale_señor.html"&gt;Dale, Señor&lt;/a&gt;&lt;/li&gt;</v>
      </c>
      <c r="W629" s="15" t="str">
        <f>_xlfn.TEXTBEFORE(_xlfn.TEXTAFTER(CantoralDB[[#This Row],[index.html]],"&gt;"),"&gt;")&amp;"&gt;"</f>
        <v>&lt;a href="canciones/francisco_palazon/dale_señor.html"&gt;</v>
      </c>
      <c r="AA629" s="1"/>
    </row>
    <row r="630" spans="1:27" x14ac:dyDescent="0.3">
      <c r="A630" s="1">
        <f>ROW(CantoralDB[[#This Row],[Título]])-1</f>
        <v>629</v>
      </c>
      <c r="B630" s="1" t="s">
        <v>2037</v>
      </c>
      <c r="C630" s="1"/>
      <c r="J630" s="1"/>
      <c r="M630" s="15" t="s">
        <v>481</v>
      </c>
      <c r="N630" s="15" t="s">
        <v>2045</v>
      </c>
      <c r="O630" s="15">
        <v>3</v>
      </c>
      <c r="P630" s="15" t="str" cm="1">
        <f t="array" ref="P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30" s="15" t="str" cm="1">
        <f t="array" ref="Q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canciones/francisco_palazon/dichosos_los_que_mueren_en_el_señor.html</v>
      </c>
      <c r="S630" s="1"/>
      <c r="T630" s="1"/>
      <c r="U630" s="1"/>
      <c r="V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href="canciones/francisco_palazon/dichosos_los_que_mueren_en_el_señor.html"&gt;Dichosos los que mueren en el Señor&lt;/a&gt;&lt;/li&gt;</v>
      </c>
      <c r="W630" s="15" t="str">
        <f>_xlfn.TEXTBEFORE(_xlfn.TEXTAFTER(CantoralDB[[#This Row],[index.html]],"&gt;"),"&gt;")&amp;"&gt;"</f>
        <v>&lt;a href="canciones/francisco_palazon/dichosos_los_que_mueren_en_el_señor.html"&gt;</v>
      </c>
      <c r="AA630" s="1"/>
    </row>
    <row r="631" spans="1:27" x14ac:dyDescent="0.3">
      <c r="A631" s="1">
        <f>ROW(CantoralDB[[#This Row],[Título]])-1</f>
        <v>630</v>
      </c>
      <c r="B631" s="1" t="s">
        <v>2038</v>
      </c>
      <c r="C631" s="1"/>
      <c r="J631" s="1"/>
      <c r="M631" s="15" t="s">
        <v>481</v>
      </c>
      <c r="N631" s="15" t="s">
        <v>2045</v>
      </c>
      <c r="O631" s="15">
        <v>4</v>
      </c>
      <c r="P631" s="15" t="str" cm="1">
        <f t="array" ref="P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31" s="15" t="str" cm="1">
        <f t="array" ref="Q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canciones/francisco_palazon/kyrie_eleison.html</v>
      </c>
      <c r="S631" s="1"/>
      <c r="T631" s="1"/>
      <c r="U631" s="1"/>
      <c r="V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href="canciones/francisco_palazon/kyrie_eleison.html"&gt;Kyrie eleison&lt;/a&gt;&lt;/li&gt;</v>
      </c>
      <c r="W631" s="15" t="str">
        <f>_xlfn.TEXTBEFORE(_xlfn.TEXTAFTER(CantoralDB[[#This Row],[index.html]],"&gt;"),"&gt;")&amp;"&gt;"</f>
        <v>&lt;a href="canciones/francisco_palazon/kyrie_eleison.html"&gt;</v>
      </c>
      <c r="AA631" s="1"/>
    </row>
    <row r="632" spans="1:27" x14ac:dyDescent="0.3">
      <c r="A632" s="1">
        <f>ROW(CantoralDB[[#This Row],[Título]])-1</f>
        <v>631</v>
      </c>
      <c r="B632" s="1" t="s">
        <v>2039</v>
      </c>
      <c r="C632" s="1"/>
      <c r="J632" s="1"/>
      <c r="M632" s="15" t="s">
        <v>481</v>
      </c>
      <c r="N632" s="15" t="s">
        <v>2045</v>
      </c>
      <c r="O632" s="15">
        <v>5</v>
      </c>
      <c r="P632" s="15" t="str" cm="1">
        <f t="array" ref="P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32" s="15" t="str" cm="1">
        <f t="array" ref="Q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canciones/francisco_palazon/te_ofrecemos_señor_sacrificios_y_oblaciones.html</v>
      </c>
      <c r="S632" s="1"/>
      <c r="T632" s="1"/>
      <c r="U632" s="1"/>
      <c r="V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href="canciones/francisco_palazon/te_ofrecemos_señor_sacrificios_y_oblaciones.html"&gt;Te ofrecemos, Señor, sacrificios y oblaciones&lt;/a&gt;&lt;/li&gt;</v>
      </c>
      <c r="W632" s="15" t="str">
        <f>_xlfn.TEXTBEFORE(_xlfn.TEXTAFTER(CantoralDB[[#This Row],[index.html]],"&gt;"),"&gt;")&amp;"&gt;"</f>
        <v>&lt;a href="canciones/francisco_palazon/te_ofrecemos_señor_sacrificios_y_oblaciones.html"&gt;</v>
      </c>
    </row>
    <row r="633" spans="1:27" x14ac:dyDescent="0.3">
      <c r="A633" s="1">
        <f>ROW(CantoralDB[[#This Row],[Título]])-1</f>
        <v>632</v>
      </c>
      <c r="B633" s="1" t="s">
        <v>2043</v>
      </c>
      <c r="C633" s="1"/>
      <c r="J633" s="1"/>
      <c r="M633" s="15" t="s">
        <v>481</v>
      </c>
      <c r="N633" s="15" t="s">
        <v>2045</v>
      </c>
      <c r="O633" s="15">
        <v>6</v>
      </c>
      <c r="P633" s="15" t="str" cm="1">
        <f t="array" ref="P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33" s="15" t="str" cm="1">
        <f t="array" ref="Q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canciones/francisco_palazon/santo_(requiem).html</v>
      </c>
      <c r="S633" s="1"/>
      <c r="T633" s="1"/>
      <c r="U633" s="1"/>
      <c r="V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href="canciones/francisco_palazon/santo_(requiem).html"&gt;Santo (réquiem)&lt;/a&gt;&lt;/li&gt;</v>
      </c>
      <c r="W633" s="15" t="str">
        <f>_xlfn.TEXTBEFORE(_xlfn.TEXTAFTER(CantoralDB[[#This Row],[index.html]],"&gt;"),"&gt;")&amp;"&gt;"</f>
        <v>&lt;a href="canciones/francisco_palazon/santo_(requiem).html"&gt;</v>
      </c>
    </row>
    <row r="634" spans="1:27" x14ac:dyDescent="0.3">
      <c r="A634" s="1">
        <f>ROW(CantoralDB[[#This Row],[Título]])-1</f>
        <v>633</v>
      </c>
      <c r="B634" s="1" t="s">
        <v>2044</v>
      </c>
      <c r="C634" s="1"/>
      <c r="J634" s="1"/>
      <c r="M634" s="15" t="s">
        <v>481</v>
      </c>
      <c r="N634" s="15" t="s">
        <v>2045</v>
      </c>
      <c r="O634" s="15">
        <v>7</v>
      </c>
      <c r="P634" s="15" t="str" cm="1">
        <f t="array" ref="P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34" s="15" t="str" cm="1">
        <f t="array" ref="Q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canciones/francisco_palazon/cordero_de_dios_(requiem).html</v>
      </c>
      <c r="S634" s="1"/>
      <c r="T634" s="1"/>
      <c r="U634" s="1"/>
      <c r="V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href="canciones/francisco_palazon/cordero_de_dios_(requiem).html"&gt;Cordero de Dios (réquiem)&lt;/a&gt;&lt;/li&gt;</v>
      </c>
      <c r="W634" s="15" t="str">
        <f>_xlfn.TEXTBEFORE(_xlfn.TEXTAFTER(CantoralDB[[#This Row],[index.html]],"&gt;"),"&gt;")&amp;"&gt;"</f>
        <v>&lt;a href="canciones/francisco_palazon/cordero_de_dios_(requiem).html"&gt;</v>
      </c>
    </row>
    <row r="635" spans="1:27" x14ac:dyDescent="0.3">
      <c r="A635" s="1">
        <f>ROW(CantoralDB[[#This Row],[Título]])-1</f>
        <v>634</v>
      </c>
      <c r="B635" s="1" t="s">
        <v>2040</v>
      </c>
      <c r="C635" s="1"/>
      <c r="J635" s="1"/>
      <c r="M635" s="15" t="s">
        <v>481</v>
      </c>
      <c r="N635" s="15" t="s">
        <v>2045</v>
      </c>
      <c r="O635" s="15">
        <v>8</v>
      </c>
      <c r="P635" s="15" t="str" cm="1">
        <f t="array" ref="P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35" s="15" t="str" cm="1">
        <f t="array" ref="Q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canciones/francisco_palazon/este_es_el_pan_que_nos_lleva_a_jesus.html</v>
      </c>
      <c r="S635" s="1"/>
      <c r="T635" s="1"/>
      <c r="U635" s="1"/>
      <c r="V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href="canciones/francisco_palazon/este_es_el_pan_que_nos_lleva_a_jesus.html"&gt;Este es el Pan que nos lleva a Jesús&lt;/a&gt;&lt;/li&gt;</v>
      </c>
      <c r="W635" s="15" t="str">
        <f>_xlfn.TEXTBEFORE(_xlfn.TEXTAFTER(CantoralDB[[#This Row],[index.html]],"&gt;"),"&gt;")&amp;"&gt;"</f>
        <v>&lt;a href="canciones/francisco_palazon/este_es_el_pan_que_nos_lleva_a_jesus.html"&gt;</v>
      </c>
    </row>
    <row r="636" spans="1:27" x14ac:dyDescent="0.3">
      <c r="A636" s="1">
        <f>ROW(CantoralDB[[#This Row],[Título]])-1</f>
        <v>635</v>
      </c>
      <c r="B636" s="1" t="s">
        <v>2041</v>
      </c>
      <c r="C636" s="1"/>
      <c r="J636" s="1"/>
      <c r="M636" s="15" t="s">
        <v>481</v>
      </c>
      <c r="N636" s="15" t="s">
        <v>2045</v>
      </c>
      <c r="O636" s="15">
        <v>9</v>
      </c>
      <c r="P636" s="15" t="str" cm="1">
        <f t="array" ref="P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36" s="15" t="str" cm="1">
        <f t="array" ref="Q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canciones/francisco_palazon/al_paraiso_te_lleven_los_angeles.html</v>
      </c>
      <c r="S636" s="1"/>
      <c r="T636" s="1"/>
      <c r="U636" s="1"/>
      <c r="V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href="canciones/francisco_palazon/al_paraiso_te_lleven_los_angeles.html"&gt;Al paraíso te lleven los ángeles&lt;/a&gt;&lt;/li&gt;</v>
      </c>
      <c r="W636" s="15" t="str">
        <f>_xlfn.TEXTBEFORE(_xlfn.TEXTAFTER(CantoralDB[[#This Row],[index.html]],"&gt;"),"&gt;")&amp;"&gt;"</f>
        <v>&lt;a href="canciones/francisco_palazon/al_paraiso_te_lleven_los_angeles.html"&gt;</v>
      </c>
    </row>
    <row r="637" spans="1:27" x14ac:dyDescent="0.3">
      <c r="A637" s="1">
        <f>ROW(CantoralDB[[#This Row],[Título]])-1</f>
        <v>636</v>
      </c>
      <c r="B637" s="1" t="s">
        <v>2042</v>
      </c>
      <c r="C637" s="1"/>
      <c r="J637" s="1"/>
      <c r="M637" s="15" t="s">
        <v>481</v>
      </c>
      <c r="N637" s="15" t="s">
        <v>2045</v>
      </c>
      <c r="O637" s="15">
        <v>10</v>
      </c>
      <c r="P637" s="15" t="str" cm="1">
        <f t="array" ref="P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37" s="15" t="str" cm="1">
        <f t="array" ref="Q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canciones/francisco_palazon/eres_madre_dolorosa.html</v>
      </c>
      <c r="S637" s="1"/>
      <c r="T637" s="1"/>
      <c r="U637" s="1"/>
      <c r="V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href="canciones/francisco_palazon/eres_madre_dolorosa.html"&gt;Eres Madre dolorosa&lt;/a&gt;&lt;/li&gt;</v>
      </c>
      <c r="W637" s="15" t="str">
        <f>_xlfn.TEXTBEFORE(_xlfn.TEXTAFTER(CantoralDB[[#This Row],[index.html]],"&gt;"),"&gt;")&amp;"&gt;"</f>
        <v>&lt;a href="canciones/francisco_palazon/eres_madre_dolorosa.html"&gt;</v>
      </c>
    </row>
    <row r="638" spans="1:27" x14ac:dyDescent="0.3">
      <c r="A638" s="1">
        <f>ROW(CantoralDB[[#This Row],[Título]])-1</f>
        <v>637</v>
      </c>
      <c r="B638" s="1" t="s">
        <v>2049</v>
      </c>
      <c r="C638" s="1"/>
      <c r="J638" s="1"/>
      <c r="M638" s="15" t="s">
        <v>481</v>
      </c>
      <c r="N638" s="15" t="s">
        <v>2047</v>
      </c>
      <c r="O638" s="15">
        <v>1</v>
      </c>
      <c r="P638" s="15" t="str" cm="1">
        <f t="array" ref="P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38" s="15" t="str" cm="1">
        <f t="array" ref="Q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canciones/francisco_palazon/para_que_escuchase_el_viento.html</v>
      </c>
      <c r="S638" s="1"/>
      <c r="T638" s="1"/>
      <c r="U638" s="1"/>
      <c r="V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href="canciones/francisco_palazon/para_que_escuchase_el_viento.html"&gt;Para que escuchase el viento&lt;/a&gt;&lt;/li&gt;</v>
      </c>
      <c r="W638" s="15" t="str">
        <f>_xlfn.TEXTBEFORE(_xlfn.TEXTAFTER(CantoralDB[[#This Row],[index.html]],"&gt;"),"&gt;")&amp;"&gt;"</f>
        <v>&lt;a href="canciones/francisco_palazon/para_que_escuchase_el_viento.html"&gt;</v>
      </c>
    </row>
    <row r="639" spans="1:27" x14ac:dyDescent="0.3">
      <c r="A639" s="1">
        <f>ROW(CantoralDB[[#This Row],[Título]])-1</f>
        <v>638</v>
      </c>
      <c r="B639" s="1" t="s">
        <v>2050</v>
      </c>
      <c r="C639" s="1"/>
      <c r="J639" s="1"/>
      <c r="M639" s="15" t="s">
        <v>481</v>
      </c>
      <c r="N639" s="15" t="s">
        <v>2047</v>
      </c>
      <c r="O639" s="15">
        <v>2</v>
      </c>
      <c r="P639" s="15" t="str" cm="1">
        <f t="array" ref="P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39" s="15" t="str" cm="1">
        <f t="array" ref="Q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canciones/francisco_palazon/camino_a_jerico.html</v>
      </c>
      <c r="S639" s="1"/>
      <c r="T639" s="1"/>
      <c r="U639" s="1"/>
      <c r="V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href="canciones/francisco_palazon/camino_a_jerico.html"&gt;Camino a Jericó&lt;/a&gt;&lt;/li&gt;</v>
      </c>
      <c r="W639" s="15" t="str">
        <f>_xlfn.TEXTBEFORE(_xlfn.TEXTAFTER(CantoralDB[[#This Row],[index.html]],"&gt;"),"&gt;")&amp;"&gt;"</f>
        <v>&lt;a href="canciones/francisco_palazon/camino_a_jerico.html"&gt;</v>
      </c>
    </row>
    <row r="640" spans="1:27" x14ac:dyDescent="0.3">
      <c r="A640" s="1">
        <f>ROW(CantoralDB[[#This Row],[Título]])-1</f>
        <v>639</v>
      </c>
      <c r="B640" s="1" t="s">
        <v>2051</v>
      </c>
      <c r="C640" s="1"/>
      <c r="J640" s="1"/>
      <c r="M640" s="15" t="s">
        <v>481</v>
      </c>
      <c r="N640" s="15" t="s">
        <v>2047</v>
      </c>
      <c r="O640" s="15">
        <v>3</v>
      </c>
      <c r="P640" s="15" t="str" cm="1">
        <f t="array" ref="P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40" s="15" t="str" cm="1">
        <f t="array" ref="Q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canciones/francisco_palazon/trigo_y_cizaña.html</v>
      </c>
      <c r="S640" s="1"/>
      <c r="T640" s="1"/>
      <c r="U640" s="1"/>
      <c r="V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href="canciones/francisco_palazon/trigo_y_cizaña.html"&gt;Trigo y cizaña&lt;/a&gt;&lt;/li&gt;</v>
      </c>
      <c r="W640" s="15" t="str">
        <f>_xlfn.TEXTBEFORE(_xlfn.TEXTAFTER(CantoralDB[[#This Row],[index.html]],"&gt;"),"&gt;")&amp;"&gt;"</f>
        <v>&lt;a href="canciones/francisco_palazon/trigo_y_cizaña.html"&gt;</v>
      </c>
    </row>
    <row r="641" spans="1:23" x14ac:dyDescent="0.3">
      <c r="A641" s="1">
        <f>ROW(CantoralDB[[#This Row],[Título]])-1</f>
        <v>640</v>
      </c>
      <c r="B641" s="1" t="s">
        <v>2052</v>
      </c>
      <c r="C641" s="1"/>
      <c r="J641" s="1"/>
      <c r="M641" s="15" t="s">
        <v>481</v>
      </c>
      <c r="N641" s="15" t="s">
        <v>2047</v>
      </c>
      <c r="O641" s="15">
        <v>4</v>
      </c>
      <c r="P641" s="15" t="str" cm="1">
        <f t="array" ref="P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41" s="15" t="str" cm="1">
        <f t="array" ref="Q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canciones/francisco_palazon/administradores_del_amor.html</v>
      </c>
      <c r="S641" s="1"/>
      <c r="T641" s="1"/>
      <c r="U641" s="1"/>
      <c r="V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href="canciones/francisco_palazon/administradores_del_amor.html"&gt;Administradores del amor&lt;/a&gt;&lt;/li&gt;</v>
      </c>
      <c r="W641" s="15" t="str">
        <f>_xlfn.TEXTBEFORE(_xlfn.TEXTAFTER(CantoralDB[[#This Row],[index.html]],"&gt;"),"&gt;")&amp;"&gt;"</f>
        <v>&lt;a href="canciones/francisco_palazon/administradores_del_amor.html"&gt;</v>
      </c>
    </row>
    <row r="642" spans="1:23" x14ac:dyDescent="0.3">
      <c r="A642" s="1">
        <f>ROW(CantoralDB[[#This Row],[Título]])-1</f>
        <v>641</v>
      </c>
      <c r="B642" s="1" t="s">
        <v>2053</v>
      </c>
      <c r="C642" s="1"/>
      <c r="J642" s="1"/>
      <c r="M642" s="15" t="s">
        <v>481</v>
      </c>
      <c r="N642" s="15" t="s">
        <v>2047</v>
      </c>
      <c r="O642" s="15">
        <v>5</v>
      </c>
      <c r="P642" s="15" t="str" cm="1">
        <f t="array" ref="P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42" s="15" t="str" cm="1">
        <f t="array" ref="Q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canciones/francisco_palazon/la_oveja_negra.html</v>
      </c>
      <c r="S642" s="1"/>
      <c r="T642" s="1"/>
      <c r="U642" s="1"/>
      <c r="V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href="canciones/francisco_palazon/la_oveja_negra.html"&gt;La oveja negra&lt;/a&gt;&lt;/li&gt;</v>
      </c>
      <c r="W642" s="15" t="str">
        <f>_xlfn.TEXTBEFORE(_xlfn.TEXTAFTER(CantoralDB[[#This Row],[index.html]],"&gt;"),"&gt;")&amp;"&gt;"</f>
        <v>&lt;a href="canciones/francisco_palazon/la_oveja_negra.html"&gt;</v>
      </c>
    </row>
    <row r="643" spans="1:23" x14ac:dyDescent="0.3">
      <c r="A643" s="1">
        <f>ROW(CantoralDB[[#This Row],[Título]])-1</f>
        <v>642</v>
      </c>
      <c r="B643" s="1" t="s">
        <v>2054</v>
      </c>
      <c r="C643" s="1"/>
      <c r="J643" s="1"/>
      <c r="M643" s="15" t="s">
        <v>481</v>
      </c>
      <c r="N643" s="15" t="s">
        <v>2047</v>
      </c>
      <c r="O643" s="15">
        <v>6</v>
      </c>
      <c r="P643" s="15" t="str" cm="1">
        <f t="array" ref="P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43" s="15" t="str" cm="1">
        <f t="array" ref="Q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canciones/francisco_palazon/noche_y_dia_en_altamar.html</v>
      </c>
      <c r="S643" s="1"/>
      <c r="T643" s="1"/>
      <c r="U643" s="1"/>
      <c r="V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href="canciones/francisco_palazon/noche_y_dia_en_altamar.html"&gt;Noche y día en altamar&lt;/a&gt;&lt;/li&gt;</v>
      </c>
      <c r="W643" s="15" t="str">
        <f>_xlfn.TEXTBEFORE(_xlfn.TEXTAFTER(CantoralDB[[#This Row],[index.html]],"&gt;"),"&gt;")&amp;"&gt;"</f>
        <v>&lt;a href="canciones/francisco_palazon/noche_y_dia_en_altamar.html"&gt;</v>
      </c>
    </row>
    <row r="644" spans="1:23" x14ac:dyDescent="0.3">
      <c r="A644" s="1">
        <f>ROW(CantoralDB[[#This Row],[Título]])-1</f>
        <v>643</v>
      </c>
      <c r="B644" s="1" t="s">
        <v>2055</v>
      </c>
      <c r="C644" s="1"/>
      <c r="E644" s="1">
        <v>91</v>
      </c>
      <c r="J644" s="1"/>
      <c r="M644" s="15" t="s">
        <v>481</v>
      </c>
      <c r="N644" s="15" t="s">
        <v>2047</v>
      </c>
      <c r="O644" s="15">
        <v>7</v>
      </c>
      <c r="P644" s="15" t="str" cm="1">
        <f t="array" ref="P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44" s="15" t="str" cm="1">
        <f t="array" ref="Q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canciones/francisco_palazon/a_quien_se_parece.html</v>
      </c>
      <c r="S644" s="1"/>
      <c r="T644" s="1"/>
      <c r="U644" s="1"/>
      <c r="V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data-nold="91"&gt;&lt;a href="canciones/francisco_palazon/a_quien_se_parece.html"&gt;A quién se parece&lt;/a&gt;&lt;/li&gt;</v>
      </c>
      <c r="W644" s="15" t="str">
        <f>_xlfn.TEXTBEFORE(_xlfn.TEXTAFTER(CantoralDB[[#This Row],[index.html]],"&gt;"),"&gt;")&amp;"&gt;"</f>
        <v>&lt;a href="canciones/francisco_palazon/a_quien_se_parece.html"&gt;</v>
      </c>
    </row>
    <row r="645" spans="1:23" x14ac:dyDescent="0.3">
      <c r="A645" s="1">
        <f>ROW(CantoralDB[[#This Row],[Título]])-1</f>
        <v>644</v>
      </c>
      <c r="B645" s="1" t="s">
        <v>2056</v>
      </c>
      <c r="C645" s="1"/>
      <c r="J645" s="1"/>
      <c r="M645" s="15" t="s">
        <v>481</v>
      </c>
      <c r="N645" s="15" t="s">
        <v>2047</v>
      </c>
      <c r="O645" s="15">
        <v>8</v>
      </c>
      <c r="P645" s="15" t="str" cm="1">
        <f t="array" ref="P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45" s="15" t="str" cm="1">
        <f t="array" ref="Q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canciones/francisco_palazon/un_hombre_una_tierra.html</v>
      </c>
      <c r="S645" s="1"/>
      <c r="T645" s="1"/>
      <c r="U645" s="1"/>
      <c r="V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href="canciones/francisco_palazon/un_hombre_una_tierra.html"&gt;Un hombre, una tierra&lt;/a&gt;&lt;/li&gt;</v>
      </c>
      <c r="W645" s="15" t="str">
        <f>_xlfn.TEXTBEFORE(_xlfn.TEXTAFTER(CantoralDB[[#This Row],[index.html]],"&gt;"),"&gt;")&amp;"&gt;"</f>
        <v>&lt;a href="canciones/francisco_palazon/un_hombre_una_tierra.html"&gt;</v>
      </c>
    </row>
    <row r="646" spans="1:23" x14ac:dyDescent="0.3">
      <c r="A646" s="1">
        <f>ROW(CantoralDB[[#This Row],[Título]])-1</f>
        <v>645</v>
      </c>
      <c r="B646" s="1" t="s">
        <v>2057</v>
      </c>
      <c r="C646" s="1"/>
      <c r="J646" s="1"/>
      <c r="M646" s="15" t="s">
        <v>481</v>
      </c>
      <c r="N646" s="15" t="s">
        <v>2047</v>
      </c>
      <c r="O646" s="15">
        <v>9</v>
      </c>
      <c r="P646" s="15" t="str" cm="1">
        <f t="array" ref="P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46" s="15" t="str" cm="1">
        <f t="array" ref="Q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canciones/francisco_palazon/de_par_en_par.html</v>
      </c>
      <c r="S646" s="1"/>
      <c r="T646" s="1"/>
      <c r="U646" s="1"/>
      <c r="V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href="canciones/francisco_palazon/de_par_en_par.html"&gt;De par en par&lt;/a&gt;&lt;/li&gt;</v>
      </c>
      <c r="W646" s="15" t="str">
        <f>_xlfn.TEXTBEFORE(_xlfn.TEXTAFTER(CantoralDB[[#This Row],[index.html]],"&gt;"),"&gt;")&amp;"&gt;"</f>
        <v>&lt;a href="canciones/francisco_palazon/de_par_en_par.html"&gt;</v>
      </c>
    </row>
    <row r="647" spans="1:23" x14ac:dyDescent="0.3">
      <c r="A647" s="1">
        <f>ROW(CantoralDB[[#This Row],[Título]])-1</f>
        <v>646</v>
      </c>
      <c r="B647" s="1" t="s">
        <v>2058</v>
      </c>
      <c r="C647" s="1"/>
      <c r="J647" s="1"/>
      <c r="M647" s="15" t="s">
        <v>481</v>
      </c>
      <c r="N647" s="15" t="s">
        <v>2047</v>
      </c>
      <c r="O647" s="15">
        <v>10</v>
      </c>
      <c r="P647" s="15" t="str" cm="1">
        <f t="array" ref="P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47" s="15" t="str" cm="1">
        <f t="array" ref="Q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canciones/francisco_palazon/el_hijo_prodigo.html</v>
      </c>
      <c r="S647" s="1"/>
      <c r="T647" s="1"/>
      <c r="U647" s="1"/>
      <c r="V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href="canciones/francisco_palazon/el_hijo_prodigo.html"&gt;El hijo pródigo&lt;/a&gt;&lt;/li&gt;</v>
      </c>
      <c r="W647" s="15" t="str">
        <f>_xlfn.TEXTBEFORE(_xlfn.TEXTAFTER(CantoralDB[[#This Row],[index.html]],"&gt;"),"&gt;")&amp;"&gt;"</f>
        <v>&lt;a href="canciones/francisco_palazon/el_hijo_prodigo.html"&gt;</v>
      </c>
    </row>
    <row r="648" spans="1:23" x14ac:dyDescent="0.3">
      <c r="A648" s="1">
        <f>ROW(CantoralDB[[#This Row],[Título]])-1</f>
        <v>647</v>
      </c>
      <c r="B648" s="1" t="s">
        <v>2059</v>
      </c>
      <c r="C648" s="1"/>
      <c r="H648" s="1" t="s">
        <v>531</v>
      </c>
      <c r="J648" s="1" t="s">
        <v>608</v>
      </c>
      <c r="M648" s="15" t="s">
        <v>481</v>
      </c>
      <c r="N648" s="15" t="s">
        <v>2048</v>
      </c>
      <c r="O648" s="15">
        <v>1</v>
      </c>
      <c r="P648" s="15" t="str" cm="1">
        <f t="array" ref="P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48" s="15" t="str" cm="1">
        <f t="array" ref="Q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canciones/francisco_palazon/en_la_plaza_de_un_pueblo.html</v>
      </c>
      <c r="S648" s="1"/>
      <c r="T648" s="1"/>
      <c r="U648" s="1"/>
      <c r="V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href="canciones/francisco_palazon/en_la_plaza_de_un_pueblo.html"&gt;En la plaza de un pueblo&lt;/a&gt;&lt;/li&gt;</v>
      </c>
      <c r="W648" s="15" t="str">
        <f>_xlfn.TEXTBEFORE(_xlfn.TEXTAFTER(CantoralDB[[#This Row],[index.html]],"&gt;"),"&gt;")&amp;"&gt;"</f>
        <v>&lt;a href="canciones/francisco_palazon/en_la_plaza_de_un_pueblo.html"&gt;</v>
      </c>
    </row>
    <row r="649" spans="1:23" x14ac:dyDescent="0.3">
      <c r="A649" s="1">
        <f>ROW(CantoralDB[[#This Row],[Título]])-1</f>
        <v>648</v>
      </c>
      <c r="B649" s="1" t="s">
        <v>2060</v>
      </c>
      <c r="C649" s="1"/>
      <c r="H649" s="1" t="s">
        <v>1027</v>
      </c>
      <c r="J649" s="1" t="s">
        <v>608</v>
      </c>
      <c r="M649" s="15" t="s">
        <v>481</v>
      </c>
      <c r="N649" s="15" t="s">
        <v>2048</v>
      </c>
      <c r="O649" s="15">
        <v>2</v>
      </c>
      <c r="P649" s="15" t="str" cm="1">
        <f t="array" ref="P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49" s="15" t="str" cm="1">
        <f t="array" ref="Q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canciones/francisco_palazon/fariseo_y_publicano.html</v>
      </c>
      <c r="S649" s="1"/>
      <c r="T649" s="1"/>
      <c r="U649" s="1"/>
      <c r="V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href="canciones/francisco_palazon/fariseo_y_publicano.html"&gt;Fariseo y publicano&lt;/a&gt;&lt;/li&gt;</v>
      </c>
      <c r="W649" s="15" t="str">
        <f>_xlfn.TEXTBEFORE(_xlfn.TEXTAFTER(CantoralDB[[#This Row],[index.html]],"&gt;"),"&gt;")&amp;"&gt;"</f>
        <v>&lt;a href="canciones/francisco_palazon/fariseo_y_publicano.html"&gt;</v>
      </c>
    </row>
    <row r="650" spans="1:23" x14ac:dyDescent="0.3">
      <c r="A650" s="1">
        <f>ROW(CantoralDB[[#This Row],[Título]])-1</f>
        <v>649</v>
      </c>
      <c r="B650" s="1" t="s">
        <v>2061</v>
      </c>
      <c r="C650" s="1"/>
      <c r="H650" s="1" t="s">
        <v>531</v>
      </c>
      <c r="J650" s="1" t="s">
        <v>608</v>
      </c>
      <c r="M650" s="15" t="s">
        <v>481</v>
      </c>
      <c r="N650" s="15" t="s">
        <v>2048</v>
      </c>
      <c r="O650" s="15">
        <v>3</v>
      </c>
      <c r="P650" s="15" t="str" cm="1">
        <f t="array" ref="P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50" s="15" t="str" cm="1">
        <f t="array" ref="Q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canciones/francisco_palazon/de_cosas_sencillas.html</v>
      </c>
      <c r="S650" s="1"/>
      <c r="T650" s="1"/>
      <c r="U650" s="1"/>
      <c r="V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href="canciones/francisco_palazon/de_cosas_sencillas.html"&gt;De cosas sencillas&lt;/a&gt;&lt;/li&gt;</v>
      </c>
      <c r="W650" s="15" t="str">
        <f>_xlfn.TEXTBEFORE(_xlfn.TEXTAFTER(CantoralDB[[#This Row],[index.html]],"&gt;"),"&gt;")&amp;"&gt;"</f>
        <v>&lt;a href="canciones/francisco_palazon/de_cosas_sencillas.html"&gt;</v>
      </c>
    </row>
    <row r="651" spans="1:23" x14ac:dyDescent="0.3">
      <c r="A651" s="1">
        <f>ROW(CantoralDB[[#This Row],[Título]])-1</f>
        <v>650</v>
      </c>
      <c r="B651" s="1" t="s">
        <v>2062</v>
      </c>
      <c r="C651" s="1"/>
      <c r="H651" s="1" t="s">
        <v>1030</v>
      </c>
      <c r="J651" s="1" t="s">
        <v>608</v>
      </c>
      <c r="M651" s="15" t="s">
        <v>481</v>
      </c>
      <c r="N651" s="15" t="s">
        <v>2048</v>
      </c>
      <c r="O651" s="15">
        <v>4</v>
      </c>
      <c r="P651" s="15" t="str" cm="1">
        <f t="array" ref="P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51" s="15" t="str" cm="1">
        <f t="array" ref="Q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canciones/francisco_palazon/y_ciegos_son_los_hombres.html</v>
      </c>
      <c r="S651" s="1"/>
      <c r="T651" s="1"/>
      <c r="U651" s="1"/>
      <c r="V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href="canciones/francisco_palazon/y_ciegos_son_los_hombres.html"&gt;Y ciegos son los hombres&lt;/a&gt;&lt;/li&gt;</v>
      </c>
      <c r="W651" s="15" t="str">
        <f>_xlfn.TEXTBEFORE(_xlfn.TEXTAFTER(CantoralDB[[#This Row],[index.html]],"&gt;"),"&gt;")&amp;"&gt;"</f>
        <v>&lt;a href="canciones/francisco_palazon/y_ciegos_son_los_hombres.html"&gt;</v>
      </c>
    </row>
    <row r="652" spans="1:23" x14ac:dyDescent="0.3">
      <c r="A652" s="1">
        <f>ROW(CantoralDB[[#This Row],[Título]])-1</f>
        <v>651</v>
      </c>
      <c r="B652" s="1" t="s">
        <v>2063</v>
      </c>
      <c r="C652" s="1"/>
      <c r="H652" s="1" t="s">
        <v>1027</v>
      </c>
      <c r="J652" s="1" t="s">
        <v>608</v>
      </c>
      <c r="M652" s="15" t="s">
        <v>481</v>
      </c>
      <c r="N652" s="15" t="s">
        <v>2048</v>
      </c>
      <c r="O652" s="15">
        <v>5</v>
      </c>
      <c r="P652" s="15" t="str" cm="1">
        <f t="array" ref="P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52" s="15" t="str" cm="1">
        <f t="array" ref="Q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canciones/francisco_palazon/en_la_viña_del_señor.html</v>
      </c>
      <c r="S652" s="1"/>
      <c r="T652" s="1"/>
      <c r="U652" s="1"/>
      <c r="V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href="canciones/francisco_palazon/en_la_viña_del_señor.html"&gt;En la viña del Señor&lt;/a&gt;&lt;/li&gt;</v>
      </c>
      <c r="W652" s="15" t="str">
        <f>_xlfn.TEXTBEFORE(_xlfn.TEXTAFTER(CantoralDB[[#This Row],[index.html]],"&gt;"),"&gt;")&amp;"&gt;"</f>
        <v>&lt;a href="canciones/francisco_palazon/en_la_viña_del_señor.html"&gt;</v>
      </c>
    </row>
    <row r="653" spans="1:23" x14ac:dyDescent="0.3">
      <c r="A653" s="1">
        <f>ROW(CantoralDB[[#This Row],[Título]])-1</f>
        <v>652</v>
      </c>
      <c r="B653" s="1" t="s">
        <v>2064</v>
      </c>
      <c r="C653" s="1"/>
      <c r="H653" s="1" t="s">
        <v>1030</v>
      </c>
      <c r="J653" s="1" t="s">
        <v>608</v>
      </c>
      <c r="M653" s="15" t="s">
        <v>481</v>
      </c>
      <c r="N653" s="15" t="s">
        <v>2048</v>
      </c>
      <c r="O653" s="15">
        <v>6</v>
      </c>
      <c r="P653" s="15" t="str" cm="1">
        <f t="array" ref="P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53" s="15" t="str" cm="1">
        <f t="array" ref="Q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canciones/francisco_palazon/invitacion.html</v>
      </c>
      <c r="S653" s="1"/>
      <c r="T653" s="1"/>
      <c r="U653" s="1"/>
      <c r="V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href="canciones/francisco_palazon/invitacion.html"&gt;Invitación&lt;/a&gt;&lt;/li&gt;</v>
      </c>
      <c r="W653" s="15" t="str">
        <f>_xlfn.TEXTBEFORE(_xlfn.TEXTAFTER(CantoralDB[[#This Row],[index.html]],"&gt;"),"&gt;")&amp;"&gt;"</f>
        <v>&lt;a href="canciones/francisco_palazon/invitacion.html"&gt;</v>
      </c>
    </row>
    <row r="654" spans="1:23" x14ac:dyDescent="0.3">
      <c r="A654" s="1">
        <f>ROW(CantoralDB[[#This Row],[Título]])-1</f>
        <v>653</v>
      </c>
      <c r="B654" s="1" t="s">
        <v>2065</v>
      </c>
      <c r="C654" s="1"/>
      <c r="H654" s="1" t="s">
        <v>2968</v>
      </c>
      <c r="J654" s="1" t="s">
        <v>608</v>
      </c>
      <c r="M654" s="15" t="s">
        <v>481</v>
      </c>
      <c r="N654" s="15" t="s">
        <v>2048</v>
      </c>
      <c r="O654" s="15">
        <v>7</v>
      </c>
      <c r="P654" s="15" t="str" cm="1">
        <f t="array" ref="P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54" s="15" t="str" cm="1">
        <f t="array" ref="Q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canciones/francisco_palazon/dos_señores.html</v>
      </c>
      <c r="S654" s="1"/>
      <c r="T654" s="1"/>
      <c r="U654" s="1"/>
      <c r="V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href="canciones/francisco_palazon/dos_señores.html"&gt;Dos señores&lt;/a&gt;&lt;/li&gt;</v>
      </c>
      <c r="W654" s="15" t="str">
        <f>_xlfn.TEXTBEFORE(_xlfn.TEXTAFTER(CantoralDB[[#This Row],[index.html]],"&gt;"),"&gt;")&amp;"&gt;"</f>
        <v>&lt;a href="canciones/francisco_palazon/dos_señores.html"&gt;</v>
      </c>
    </row>
    <row r="655" spans="1:23" x14ac:dyDescent="0.3">
      <c r="A655" s="1">
        <f>ROW(CantoralDB[[#This Row],[Título]])-1</f>
        <v>654</v>
      </c>
      <c r="B655" s="1" t="s">
        <v>2066</v>
      </c>
      <c r="C655" s="1"/>
      <c r="H655" s="1" t="s">
        <v>2968</v>
      </c>
      <c r="J655" s="1" t="s">
        <v>608</v>
      </c>
      <c r="M655" s="15" t="s">
        <v>481</v>
      </c>
      <c r="N655" s="15" t="s">
        <v>2048</v>
      </c>
      <c r="O655" s="15">
        <v>8</v>
      </c>
      <c r="P655" s="15" t="str" cm="1">
        <f t="array" ref="P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55" s="15" t="str" cm="1">
        <f t="array" ref="Q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canciones/francisco_palazon/buen_pastor.html</v>
      </c>
      <c r="S655" s="1"/>
      <c r="T655" s="1"/>
      <c r="U655" s="1"/>
      <c r="V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href="canciones/francisco_palazon/buen_pastor.html"&gt;Buen pastor&lt;/a&gt;&lt;/li&gt;</v>
      </c>
      <c r="W655" s="15" t="str">
        <f>_xlfn.TEXTBEFORE(_xlfn.TEXTAFTER(CantoralDB[[#This Row],[index.html]],"&gt;"),"&gt;")&amp;"&gt;"</f>
        <v>&lt;a href="canciones/francisco_palazon/buen_pastor.html"&gt;</v>
      </c>
    </row>
    <row r="656" spans="1:23" x14ac:dyDescent="0.3">
      <c r="A656" s="1">
        <f>ROW(CantoralDB[[#This Row],[Título]])-1</f>
        <v>655</v>
      </c>
      <c r="B656" s="1" t="s">
        <v>2067</v>
      </c>
      <c r="C656" s="1"/>
      <c r="H656" s="1" t="s">
        <v>1030</v>
      </c>
      <c r="J656" s="1" t="s">
        <v>608</v>
      </c>
      <c r="M656" s="15" t="s">
        <v>481</v>
      </c>
      <c r="N656" s="15" t="s">
        <v>2048</v>
      </c>
      <c r="O656" s="15">
        <v>9</v>
      </c>
      <c r="P656" s="15" t="str" cm="1">
        <f t="array" ref="P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56" s="15" t="str" cm="1">
        <f t="array" ref="Q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canciones/francisco_palazon/el_pobre_lazaro.html</v>
      </c>
      <c r="S656" s="1"/>
      <c r="T656" s="1"/>
      <c r="U656" s="1"/>
      <c r="V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href="canciones/francisco_palazon/el_pobre_lazaro.html"&gt;El pobre Lázaro&lt;/a&gt;&lt;/li&gt;</v>
      </c>
      <c r="W656" s="15" t="str">
        <f>_xlfn.TEXTBEFORE(_xlfn.TEXTAFTER(CantoralDB[[#This Row],[index.html]],"&gt;"),"&gt;")&amp;"&gt;"</f>
        <v>&lt;a href="canciones/francisco_palazon/el_pobre_lazaro.html"&gt;</v>
      </c>
    </row>
    <row r="657" spans="1:23" x14ac:dyDescent="0.3">
      <c r="A657" s="1">
        <f>ROW(CantoralDB[[#This Row],[Título]])-1</f>
        <v>656</v>
      </c>
      <c r="B657" s="1" t="s">
        <v>2362</v>
      </c>
      <c r="C657" s="1"/>
      <c r="H657" s="1" t="s">
        <v>1043</v>
      </c>
      <c r="J657" s="1" t="s">
        <v>608</v>
      </c>
      <c r="M657" s="15" t="s">
        <v>481</v>
      </c>
      <c r="N657" s="15" t="s">
        <v>2048</v>
      </c>
      <c r="O657" s="15">
        <v>10</v>
      </c>
      <c r="P657" s="15" t="str" cm="1">
        <f t="array" ref="P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57" s="15" t="str" cm="1">
        <f t="array" ref="Q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canciones/francisco_palazon/despues_de_la_medianoche.html</v>
      </c>
      <c r="S657" s="1"/>
      <c r="T657" s="1"/>
      <c r="U657" s="1"/>
      <c r="V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href="canciones/francisco_palazon/despues_de_la_medianoche.html"&gt;Después de la medianoche&lt;/a&gt;&lt;/li&gt;</v>
      </c>
      <c r="W657" s="15" t="str">
        <f>_xlfn.TEXTBEFORE(_xlfn.TEXTAFTER(CantoralDB[[#This Row],[index.html]],"&gt;"),"&gt;")&amp;"&gt;"</f>
        <v>&lt;a href="canciones/francisco_palazon/despues_de_la_medianoche.html"&gt;</v>
      </c>
    </row>
    <row r="658" spans="1:23" x14ac:dyDescent="0.3">
      <c r="A658" s="1">
        <f>ROW(CantoralDB[[#This Row],[Título]])-1</f>
        <v>657</v>
      </c>
      <c r="B658" s="1" t="s">
        <v>1247</v>
      </c>
      <c r="C658" s="1"/>
      <c r="E658" s="1">
        <v>110</v>
      </c>
      <c r="H658" s="1" t="s">
        <v>1030</v>
      </c>
      <c r="J658" s="1" t="s">
        <v>608</v>
      </c>
      <c r="M658" s="15" t="s">
        <v>481</v>
      </c>
      <c r="N658" s="15" t="s">
        <v>2226</v>
      </c>
      <c r="O658" s="15"/>
      <c r="P658" s="15" t="str" cm="1">
        <f t="array" ref="P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58" s="15" t="str" cm="1">
        <f t="array" ref="Q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canciones/francisco_palazon/el_señor_ha_estado_grande_con_nosotros.html</v>
      </c>
      <c r="S658" s="1"/>
      <c r="T658" s="1"/>
      <c r="U658" s="1"/>
      <c r="V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data-nold="110"&gt;&lt;a href="canciones/francisco_palazon/el_señor_ha_estado_grande_con_nosotros.html"&gt;El Señor ha estado grande con nosotros&lt;/a&gt;&lt;/li&gt;</v>
      </c>
      <c r="W658" s="15" t="str">
        <f>_xlfn.TEXTBEFORE(_xlfn.TEXTAFTER(CantoralDB[[#This Row],[index.html]],"&gt;"),"&gt;")&amp;"&gt;"</f>
        <v>&lt;a href="canciones/francisco_palazon/el_señor_ha_estado_grande_con_nosotros.html"&gt;</v>
      </c>
    </row>
    <row r="659" spans="1:23" x14ac:dyDescent="0.3">
      <c r="A659" s="1">
        <f>ROW(CantoralDB[[#This Row],[Título]])-1</f>
        <v>658</v>
      </c>
      <c r="B659" s="1" t="s">
        <v>127</v>
      </c>
      <c r="C659" s="1" t="s">
        <v>191</v>
      </c>
      <c r="D659" s="1" t="s">
        <v>751</v>
      </c>
      <c r="E659" s="1">
        <v>453</v>
      </c>
      <c r="G659" s="1" t="s">
        <v>209</v>
      </c>
      <c r="H659" s="1" t="s">
        <v>1030</v>
      </c>
      <c r="J659" s="1" t="s">
        <v>608</v>
      </c>
      <c r="M659" s="15" t="s">
        <v>481</v>
      </c>
      <c r="N659" s="15" t="s">
        <v>1927</v>
      </c>
      <c r="O659" s="15">
        <v>1</v>
      </c>
      <c r="P659" s="15" t="str" cm="1">
        <f t="array" ref="P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59" s="15" t="str" cm="1">
        <f t="array" ref="Q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canciones/francisco_palazon/reunidos_en_el_nombre_del_señor.html</v>
      </c>
      <c r="S659" s="1"/>
      <c r="T659" s="1"/>
      <c r="U659" s="1"/>
      <c r="V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data-momento="Entrada" data-nnew="A31" data-nold="453"&gt;&lt;a href="canciones/francisco_palazon/reunidos_en_el_nombre_del_señor.html"&gt;Reunidos en el nombre del Señor&lt;/a&gt;&lt;/li&gt;</v>
      </c>
      <c r="W659" s="15" t="str">
        <f>_xlfn.TEXTBEFORE(_xlfn.TEXTAFTER(CantoralDB[[#This Row],[index.html]],"&gt;"),"&gt;")&amp;"&gt;"</f>
        <v>&lt;a href="canciones/francisco_palazon/reunidos_en_el_nombre_del_señor.html"&gt;</v>
      </c>
    </row>
    <row r="660" spans="1:23" x14ac:dyDescent="0.3">
      <c r="A660" s="1">
        <f>ROW(CantoralDB[[#This Row],[Título]])-1</f>
        <v>659</v>
      </c>
      <c r="B660" s="1" t="s">
        <v>2190</v>
      </c>
      <c r="C660" s="1"/>
      <c r="J660" s="1"/>
      <c r="M660" s="15" t="s">
        <v>481</v>
      </c>
      <c r="N660" s="15" t="s">
        <v>1927</v>
      </c>
      <c r="O660" s="15">
        <v>2</v>
      </c>
      <c r="P660" s="15" t="str" cm="1">
        <f t="array" ref="P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60" s="15" t="str" cm="1">
        <f t="array" ref="Q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canciones/francisco_palazon/señor_ten_piedad_(reunidos_en_su_nombre).html</v>
      </c>
      <c r="S660" s="1"/>
      <c r="T660" s="1"/>
      <c r="U660" s="1"/>
      <c r="V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href="canciones/francisco_palazon/señor_ten_piedad_(reunidos_en_su_nombre).html"&gt;Señor, ten piedad (Reunidos en su nombre)&lt;/a&gt;&lt;/li&gt;</v>
      </c>
      <c r="W660" s="15" t="str">
        <f>_xlfn.TEXTBEFORE(_xlfn.TEXTAFTER(CantoralDB[[#This Row],[index.html]],"&gt;"),"&gt;")&amp;"&gt;"</f>
        <v>&lt;a href="canciones/francisco_palazon/señor_ten_piedad_(reunidos_en_su_nombre).html"&gt;</v>
      </c>
    </row>
    <row r="661" spans="1:23" x14ac:dyDescent="0.3">
      <c r="A661" s="1">
        <f>ROW(CantoralDB[[#This Row],[Título]])-1</f>
        <v>660</v>
      </c>
      <c r="B661" s="1" t="s">
        <v>2191</v>
      </c>
      <c r="C661" s="1"/>
      <c r="J661" s="1"/>
      <c r="M661" s="15" t="s">
        <v>481</v>
      </c>
      <c r="N661" s="15" t="s">
        <v>1927</v>
      </c>
      <c r="O661" s="15">
        <v>3</v>
      </c>
      <c r="P661" s="15" t="str" cm="1">
        <f t="array" ref="P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61" s="15" t="str" cm="1">
        <f t="array" ref="Q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canciones/francisco_palazon/gloria_(reunidos_en_su_nombre).html</v>
      </c>
      <c r="S661" s="1"/>
      <c r="T661" s="1"/>
      <c r="U661" s="1"/>
      <c r="V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href="canciones/francisco_palazon/gloria_(reunidos_en_su_nombre).html"&gt;Gloria (Reunidos en su nombre)&lt;/a&gt;&lt;/li&gt;</v>
      </c>
      <c r="W661" s="15" t="str">
        <f>_xlfn.TEXTBEFORE(_xlfn.TEXTAFTER(CantoralDB[[#This Row],[index.html]],"&gt;"),"&gt;")&amp;"&gt;"</f>
        <v>&lt;a href="canciones/francisco_palazon/gloria_(reunidos_en_su_nombre).html"&gt;</v>
      </c>
    </row>
    <row r="662" spans="1:23" x14ac:dyDescent="0.3">
      <c r="A662" s="1">
        <f>ROW(CantoralDB[[#This Row],[Título]])-1</f>
        <v>661</v>
      </c>
      <c r="B662" s="1" t="s">
        <v>2192</v>
      </c>
      <c r="C662" s="1"/>
      <c r="J662" s="1"/>
      <c r="M662" s="15" t="s">
        <v>481</v>
      </c>
      <c r="N662" s="15" t="s">
        <v>1927</v>
      </c>
      <c r="O662" s="15">
        <v>4</v>
      </c>
      <c r="P662" s="15" t="str" cm="1">
        <f t="array" ref="P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62" s="15" t="str" cm="1">
        <f t="array" ref="Q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canciones/francisco_palazon/santo_(reunidos_en_su_nombre).html</v>
      </c>
      <c r="S662" s="1"/>
      <c r="T662" s="1"/>
      <c r="U662" s="1"/>
      <c r="V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href="canciones/francisco_palazon/santo_(reunidos_en_su_nombre).html"&gt;Santo (Reunidos en su nombre)&lt;/a&gt;&lt;/li&gt;</v>
      </c>
      <c r="W662" s="15" t="str">
        <f>_xlfn.TEXTBEFORE(_xlfn.TEXTAFTER(CantoralDB[[#This Row],[index.html]],"&gt;"),"&gt;")&amp;"&gt;"</f>
        <v>&lt;a href="canciones/francisco_palazon/santo_(reunidos_en_su_nombre).html"&gt;</v>
      </c>
    </row>
    <row r="663" spans="1:23" x14ac:dyDescent="0.3">
      <c r="A663" s="1">
        <f>ROW(CantoralDB[[#This Row],[Título]])-1</f>
        <v>662</v>
      </c>
      <c r="B663" s="1" t="s">
        <v>2193</v>
      </c>
      <c r="C663" s="1"/>
      <c r="J663" s="1"/>
      <c r="M663" s="15" t="s">
        <v>481</v>
      </c>
      <c r="N663" s="15" t="s">
        <v>1927</v>
      </c>
      <c r="O663" s="15">
        <v>5</v>
      </c>
      <c r="P663" s="15" t="str" cm="1">
        <f t="array" ref="P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63" s="15" t="str" cm="1">
        <f t="array" ref="Q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canciones/francisco_palazon/gustad_y_ved.html</v>
      </c>
      <c r="S663" s="1"/>
      <c r="T663" s="1"/>
      <c r="U663" s="1"/>
      <c r="V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href="canciones/francisco_palazon/gustad_y_ved.html"&gt;Gustad y ved&lt;/a&gt;&lt;/li&gt;</v>
      </c>
      <c r="W663" s="15" t="str">
        <f>_xlfn.TEXTBEFORE(_xlfn.TEXTAFTER(CantoralDB[[#This Row],[index.html]],"&gt;"),"&gt;")&amp;"&gt;"</f>
        <v>&lt;a href="canciones/francisco_palazon/gustad_y_ved.html"&gt;</v>
      </c>
    </row>
    <row r="664" spans="1:23" x14ac:dyDescent="0.3">
      <c r="A664" s="1">
        <f>ROW(CantoralDB[[#This Row],[Título]])-1</f>
        <v>663</v>
      </c>
      <c r="B664" s="1" t="s">
        <v>2194</v>
      </c>
      <c r="C664" s="1"/>
      <c r="J664" s="1"/>
      <c r="M664" s="15" t="s">
        <v>481</v>
      </c>
      <c r="N664" s="15" t="s">
        <v>1927</v>
      </c>
      <c r="O664" s="15">
        <v>6</v>
      </c>
      <c r="P664" s="15" t="str" cm="1">
        <f t="array" ref="P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64" s="15" t="str" cm="1">
        <f t="array" ref="Q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canciones/francisco_palazon/te_ofrecemos_señor.html</v>
      </c>
      <c r="S664" s="1"/>
      <c r="T664" s="1"/>
      <c r="U664" s="1"/>
      <c r="V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href="canciones/francisco_palazon/te_ofrecemos_señor.html"&gt;Te ofrecemos, Señor&lt;/a&gt;&lt;/li&gt;</v>
      </c>
      <c r="W664" s="15" t="str">
        <f>_xlfn.TEXTBEFORE(_xlfn.TEXTAFTER(CantoralDB[[#This Row],[index.html]],"&gt;"),"&gt;")&amp;"&gt;"</f>
        <v>&lt;a href="canciones/francisco_palazon/te_ofrecemos_señor.html"&gt;</v>
      </c>
    </row>
    <row r="665" spans="1:23" x14ac:dyDescent="0.3">
      <c r="A665" s="1">
        <f>ROW(CantoralDB[[#This Row],[Título]])-1</f>
        <v>664</v>
      </c>
      <c r="B665" s="1" t="s">
        <v>2195</v>
      </c>
      <c r="C665" s="1"/>
      <c r="J665" s="1"/>
      <c r="M665" s="15" t="s">
        <v>481</v>
      </c>
      <c r="N665" s="15" t="s">
        <v>1927</v>
      </c>
      <c r="O665" s="15">
        <v>7</v>
      </c>
      <c r="P665" s="15" t="str" cm="1">
        <f t="array" ref="P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65" s="15" t="str" cm="1">
        <f t="array" ref="Q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canciones/francisco_palazon/padre_nuestro_(reunidos_en_su_nombre).html</v>
      </c>
      <c r="S665" s="1"/>
      <c r="T665" s="1"/>
      <c r="U665" s="1"/>
      <c r="V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href="canciones/francisco_palazon/padre_nuestro_(reunidos_en_su_nombre).html"&gt;Padre nuestro (Reunidos en su nombre)&lt;/a&gt;&lt;/li&gt;</v>
      </c>
      <c r="W665" s="15" t="str">
        <f>_xlfn.TEXTBEFORE(_xlfn.TEXTAFTER(CantoralDB[[#This Row],[index.html]],"&gt;"),"&gt;")&amp;"&gt;"</f>
        <v>&lt;a href="canciones/francisco_palazon/padre_nuestro_(reunidos_en_su_nombre).html"&gt;</v>
      </c>
    </row>
    <row r="666" spans="1:23" x14ac:dyDescent="0.3">
      <c r="A666" s="1">
        <f>ROW(CantoralDB[[#This Row],[Título]])-1</f>
        <v>665</v>
      </c>
      <c r="B666" s="1" t="s">
        <v>2196</v>
      </c>
      <c r="C666" s="1"/>
      <c r="J666" s="1"/>
      <c r="M666" s="15" t="s">
        <v>481</v>
      </c>
      <c r="N666" s="15" t="s">
        <v>1927</v>
      </c>
      <c r="O666" s="15">
        <v>8</v>
      </c>
      <c r="P666" s="15" t="str" cm="1">
        <f t="array" ref="P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66" s="15" t="str" cm="1">
        <f t="array" ref="Q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canciones/francisco_palazon/cordero_de_dios_(reunidos_en_su_nombre).html</v>
      </c>
      <c r="S666" s="1"/>
      <c r="T666" s="1"/>
      <c r="U666" s="1"/>
      <c r="V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href="canciones/francisco_palazon/cordero_de_dios_(reunidos_en_su_nombre).html"&gt;Cordero de Dios (Reunidos en su nombre)&lt;/a&gt;&lt;/li&gt;</v>
      </c>
      <c r="W666" s="15" t="str">
        <f>_xlfn.TEXTBEFORE(_xlfn.TEXTAFTER(CantoralDB[[#This Row],[index.html]],"&gt;"),"&gt;")&amp;"&gt;"</f>
        <v>&lt;a href="canciones/francisco_palazon/cordero_de_dios_(reunidos_en_su_nombre).html"&gt;</v>
      </c>
    </row>
    <row r="667" spans="1:23" x14ac:dyDescent="0.3">
      <c r="A667" s="1">
        <f>ROW(CantoralDB[[#This Row],[Título]])-1</f>
        <v>666</v>
      </c>
      <c r="B667" s="1" t="s">
        <v>1922</v>
      </c>
      <c r="C667" s="1"/>
      <c r="H667" s="1" t="s">
        <v>1030</v>
      </c>
      <c r="J667" s="1" t="s">
        <v>608</v>
      </c>
      <c r="M667" s="15" t="s">
        <v>481</v>
      </c>
      <c r="N667" s="15" t="s">
        <v>1927</v>
      </c>
      <c r="O667" s="15">
        <v>9</v>
      </c>
      <c r="P667" s="15" t="str" cm="1">
        <f t="array" ref="P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67" s="15" t="str" cm="1">
        <f t="array" ref="Q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canciones/francisco_palazon/tuyo_es_el_reino.html</v>
      </c>
      <c r="S667" s="1"/>
      <c r="T667" s="1"/>
      <c r="U667" s="1"/>
      <c r="V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href="canciones/francisco_palazon/tuyo_es_el_reino.html"&gt;Tuyo es el reino&lt;/a&gt;&lt;/li&gt;</v>
      </c>
      <c r="W667" s="15" t="str">
        <f>_xlfn.TEXTBEFORE(_xlfn.TEXTAFTER(CantoralDB[[#This Row],[index.html]],"&gt;"),"&gt;")&amp;"&gt;"</f>
        <v>&lt;a href="canciones/francisco_palazon/tuyo_es_el_reino.html"&gt;</v>
      </c>
    </row>
    <row r="668" spans="1:23" x14ac:dyDescent="0.3">
      <c r="A668" s="1">
        <f>ROW(CantoralDB[[#This Row],[Título]])-1</f>
        <v>667</v>
      </c>
      <c r="B668" s="1" t="s">
        <v>2197</v>
      </c>
      <c r="C668" s="1"/>
      <c r="J668" s="1"/>
      <c r="M668" s="15" t="s">
        <v>481</v>
      </c>
      <c r="N668" s="15" t="s">
        <v>1927</v>
      </c>
      <c r="O668" s="15">
        <v>10</v>
      </c>
      <c r="P668" s="15" t="str" cm="1">
        <f t="array" ref="P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68" s="15" t="str" cm="1">
        <f t="array" ref="Q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canciones/francisco_palazon/el_pan_que_compartimos.html</v>
      </c>
      <c r="S668" s="1"/>
      <c r="T668" s="1"/>
      <c r="U668" s="1"/>
      <c r="V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href="canciones/francisco_palazon/el_pan_que_compartimos.html"&gt;El pan que compartimos&lt;/a&gt;&lt;/li&gt;</v>
      </c>
      <c r="W668" s="15" t="str">
        <f>_xlfn.TEXTBEFORE(_xlfn.TEXTAFTER(CantoralDB[[#This Row],[index.html]],"&gt;"),"&gt;")&amp;"&gt;"</f>
        <v>&lt;a href="canciones/francisco_palazon/el_pan_que_compartimos.html"&gt;</v>
      </c>
    </row>
    <row r="669" spans="1:23" x14ac:dyDescent="0.3">
      <c r="A669" s="1">
        <f>ROW(CantoralDB[[#This Row],[Título]])-1</f>
        <v>668</v>
      </c>
      <c r="B669" s="1" t="s">
        <v>2029</v>
      </c>
      <c r="C669" s="1"/>
      <c r="H669" s="1" t="s">
        <v>1043</v>
      </c>
      <c r="J669" s="1" t="s">
        <v>608</v>
      </c>
      <c r="M669" s="15" t="s">
        <v>481</v>
      </c>
      <c r="N669" s="15" t="s">
        <v>1929</v>
      </c>
      <c r="O669" s="15">
        <v>1</v>
      </c>
      <c r="P669" s="15" t="str" cm="1">
        <f t="array" ref="P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69" s="15" t="str" cm="1">
        <f t="array" ref="Q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canciones/francisco_palazon/bendice_alma_mia_al_señor.html</v>
      </c>
      <c r="S669" s="1"/>
      <c r="T669" s="1"/>
      <c r="U669" s="1"/>
      <c r="V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href="canciones/francisco_palazon/bendice_alma_mia_al_señor.html"&gt;Bendice, alma mía, al Señor&lt;/a&gt;&lt;/li&gt;</v>
      </c>
      <c r="W669" s="15" t="str">
        <f>_xlfn.TEXTBEFORE(_xlfn.TEXTAFTER(CantoralDB[[#This Row],[index.html]],"&gt;"),"&gt;")&amp;"&gt;"</f>
        <v>&lt;a href="canciones/francisco_palazon/bendice_alma_mia_al_señor.html"&gt;</v>
      </c>
    </row>
    <row r="670" spans="1:23" x14ac:dyDescent="0.3">
      <c r="A670" s="1">
        <f>ROW(CantoralDB[[#This Row],[Título]])-1</f>
        <v>669</v>
      </c>
      <c r="B670" s="1" t="s">
        <v>2030</v>
      </c>
      <c r="C670" s="1"/>
      <c r="H670" s="1" t="s">
        <v>1028</v>
      </c>
      <c r="J670" s="1" t="s">
        <v>608</v>
      </c>
      <c r="M670" s="15" t="s">
        <v>481</v>
      </c>
      <c r="N670" s="15" t="s">
        <v>1929</v>
      </c>
      <c r="O670" s="15">
        <v>2</v>
      </c>
      <c r="P670" s="15" t="str" cm="1">
        <f t="array" ref="P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70" s="15" t="str" cm="1">
        <f t="array" ref="Q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canciones/francisco_palazon/alegrate_y_goza_jerusalen.html</v>
      </c>
      <c r="S670" s="1"/>
      <c r="T670" s="1"/>
      <c r="U670" s="1"/>
      <c r="V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href="canciones/francisco_palazon/alegrate_y_goza_jerusalen.html"&gt;Alégrate y goza, Jerusalén&lt;/a&gt;&lt;/li&gt;</v>
      </c>
      <c r="W670" s="15" t="str">
        <f>_xlfn.TEXTBEFORE(_xlfn.TEXTAFTER(CantoralDB[[#This Row],[index.html]],"&gt;"),"&gt;")&amp;"&gt;"</f>
        <v>&lt;a href="canciones/francisco_palazon/alegrate_y_goza_jerusalen.html"&gt;</v>
      </c>
    </row>
    <row r="671" spans="1:23" x14ac:dyDescent="0.3">
      <c r="A671" s="1">
        <f>ROW(CantoralDB[[#This Row],[Título]])-1</f>
        <v>670</v>
      </c>
      <c r="B671" s="1" t="s">
        <v>2031</v>
      </c>
      <c r="C671" s="1"/>
      <c r="H671" s="1" t="s">
        <v>531</v>
      </c>
      <c r="J671" s="1" t="s">
        <v>608</v>
      </c>
      <c r="M671" s="15" t="s">
        <v>481</v>
      </c>
      <c r="N671" s="15" t="s">
        <v>1929</v>
      </c>
      <c r="O671" s="15">
        <v>3</v>
      </c>
      <c r="P671" s="15" t="str" cm="1">
        <f t="array" ref="P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71" s="15" t="str" cm="1">
        <f t="array" ref="Q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canciones/francisco_palazon/te_doy_gracias_señor.html</v>
      </c>
      <c r="S671" s="1"/>
      <c r="T671" s="1"/>
      <c r="U671" s="1"/>
      <c r="V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href="canciones/francisco_palazon/te_doy_gracias_señor.html"&gt;Te doy gracias, Señor&lt;/a&gt;&lt;/li&gt;</v>
      </c>
      <c r="W671" s="15" t="str">
        <f>_xlfn.TEXTBEFORE(_xlfn.TEXTAFTER(CantoralDB[[#This Row],[index.html]],"&gt;"),"&gt;")&amp;"&gt;"</f>
        <v>&lt;a href="canciones/francisco_palazon/te_doy_gracias_señor.html"&gt;</v>
      </c>
    </row>
    <row r="672" spans="1:23" x14ac:dyDescent="0.3">
      <c r="A672" s="1">
        <f>ROW(CantoralDB[[#This Row],[Título]])-1</f>
        <v>671</v>
      </c>
      <c r="B672" s="1" t="s">
        <v>2032</v>
      </c>
      <c r="C672" s="1"/>
      <c r="H672" s="1" t="s">
        <v>1030</v>
      </c>
      <c r="J672" s="1" t="s">
        <v>608</v>
      </c>
      <c r="M672" s="15" t="s">
        <v>481</v>
      </c>
      <c r="N672" s="15" t="s">
        <v>1929</v>
      </c>
      <c r="O672" s="15">
        <v>4</v>
      </c>
      <c r="P672" s="15" t="str" cm="1">
        <f t="array" ref="P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72" s="15" t="str" cm="1">
        <f t="array" ref="Q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canciones/francisco_palazon/aleluya_aleluya_aleluya.html</v>
      </c>
      <c r="S672" s="1"/>
      <c r="T672" s="1"/>
      <c r="U672" s="1"/>
      <c r="V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href="canciones/francisco_palazon/aleluya_aleluya_aleluya.html"&gt;Aleluya, aleluya, aleluya&lt;/a&gt;&lt;/li&gt;</v>
      </c>
      <c r="W672" s="15" t="str">
        <f>_xlfn.TEXTBEFORE(_xlfn.TEXTAFTER(CantoralDB[[#This Row],[index.html]],"&gt;"),"&gt;")&amp;"&gt;"</f>
        <v>&lt;a href="canciones/francisco_palazon/aleluya_aleluya_aleluya.html"&gt;</v>
      </c>
    </row>
    <row r="673" spans="1:23" x14ac:dyDescent="0.3">
      <c r="A673" s="1">
        <f>ROW(CantoralDB[[#This Row],[Título]])-1</f>
        <v>672</v>
      </c>
      <c r="B673" s="1" t="s">
        <v>2033</v>
      </c>
      <c r="C673" s="1"/>
      <c r="H673" s="1" t="s">
        <v>2967</v>
      </c>
      <c r="J673" s="1" t="s">
        <v>608</v>
      </c>
      <c r="M673" s="15" t="s">
        <v>481</v>
      </c>
      <c r="N673" s="15" t="s">
        <v>1929</v>
      </c>
      <c r="O673" s="15">
        <v>5</v>
      </c>
      <c r="P673" s="15" t="str" cm="1">
        <f t="array" ref="P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73" s="15" t="str" cm="1">
        <f t="array" ref="Q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canciones/francisco_palazon/alabad_al_señor_por_su_inmensa_grandeza.html</v>
      </c>
      <c r="S673" s="1"/>
      <c r="T673" s="1"/>
      <c r="U673" s="1"/>
      <c r="V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href="canciones/francisco_palazon/alabad_al_señor_por_su_inmensa_grandeza.html"&gt;Alabad al Señor por su inmensa grandeza&lt;/a&gt;&lt;/li&gt;</v>
      </c>
      <c r="W673" s="15" t="str">
        <f>_xlfn.TEXTBEFORE(_xlfn.TEXTAFTER(CantoralDB[[#This Row],[index.html]],"&gt;"),"&gt;")&amp;"&gt;"</f>
        <v>&lt;a href="canciones/francisco_palazon/alabad_al_señor_por_su_inmensa_grandeza.html"&gt;</v>
      </c>
    </row>
    <row r="674" spans="1:23" x14ac:dyDescent="0.3">
      <c r="A674" s="1">
        <f>ROW(CantoralDB[[#This Row],[Título]])-1</f>
        <v>673</v>
      </c>
      <c r="B674" s="1" t="s">
        <v>2034</v>
      </c>
      <c r="C674" s="1"/>
      <c r="E674" s="1">
        <v>232</v>
      </c>
      <c r="F674" s="1">
        <v>17</v>
      </c>
      <c r="H674" s="1" t="s">
        <v>531</v>
      </c>
      <c r="J674" s="1" t="s">
        <v>608</v>
      </c>
      <c r="M674" s="15" t="s">
        <v>481</v>
      </c>
      <c r="N674" s="15" t="s">
        <v>1929</v>
      </c>
      <c r="O674" s="15">
        <v>6</v>
      </c>
      <c r="P674" s="15" t="str" cm="1">
        <f t="array" ref="P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74" s="15" t="str" cm="1">
        <f t="array" ref="Q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canciones/francisco_palazon/señor_dios_nuestro.html</v>
      </c>
      <c r="S674" s="1"/>
      <c r="T674" s="1"/>
      <c r="U674" s="1"/>
      <c r="V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data-nold="232"&gt;&lt;a href="canciones/francisco_palazon/señor_dios_nuestro.html"&gt;Señor, Dios nuestro&lt;/a&gt;&lt;/li&gt;</v>
      </c>
      <c r="W674" s="15" t="str">
        <f>_xlfn.TEXTBEFORE(_xlfn.TEXTAFTER(CantoralDB[[#This Row],[index.html]],"&gt;"),"&gt;")&amp;"&gt;"</f>
        <v>&lt;a href="canciones/francisco_palazon/señor_dios_nuestro.html"&gt;</v>
      </c>
    </row>
    <row r="675" spans="1:23" x14ac:dyDescent="0.3">
      <c r="A675" s="1">
        <f>ROW(CantoralDB[[#This Row],[Título]])-1</f>
        <v>674</v>
      </c>
      <c r="B675" s="1" t="s">
        <v>1320</v>
      </c>
      <c r="C675" s="1"/>
      <c r="E675" s="1">
        <v>240</v>
      </c>
      <c r="H675" s="1" t="s">
        <v>1027</v>
      </c>
      <c r="J675" s="1" t="s">
        <v>608</v>
      </c>
      <c r="M675" s="15" t="s">
        <v>481</v>
      </c>
      <c r="N675" s="15" t="s">
        <v>1929</v>
      </c>
      <c r="O675" s="15">
        <v>7</v>
      </c>
      <c r="P675" s="15" t="str" cm="1">
        <f t="array" ref="P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75" s="15" t="str" cm="1">
        <f t="array" ref="Q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canciones/francisco_palazon/señor_tu_has_sido_nuestro_refugio.html</v>
      </c>
      <c r="S675" s="1"/>
      <c r="T675" s="1"/>
      <c r="U675" s="1"/>
      <c r="V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data-nold="240"&gt;&lt;a href="canciones/francisco_palazon/señor_tu_has_sido_nuestro_refugio.html"&gt;Señor, tú has sido nuestro refugio&lt;/a&gt;&lt;/li&gt;</v>
      </c>
      <c r="W675" s="15" t="str">
        <f>_xlfn.TEXTBEFORE(_xlfn.TEXTAFTER(CantoralDB[[#This Row],[index.html]],"&gt;"),"&gt;")&amp;"&gt;"</f>
        <v>&lt;a href="canciones/francisco_palazon/señor_tu_has_sido_nuestro_refugio.html"&gt;</v>
      </c>
    </row>
    <row r="676" spans="1:23" x14ac:dyDescent="0.3">
      <c r="A676" s="1">
        <f>ROW(CantoralDB[[#This Row],[Título]])-1</f>
        <v>675</v>
      </c>
      <c r="B676" s="1" t="s">
        <v>31</v>
      </c>
      <c r="C676" s="1" t="s">
        <v>201</v>
      </c>
      <c r="D676" s="1" t="s">
        <v>1396</v>
      </c>
      <c r="E676" s="1">
        <v>41</v>
      </c>
      <c r="G676" s="1" t="s">
        <v>209</v>
      </c>
      <c r="H676" s="1" t="s">
        <v>1028</v>
      </c>
      <c r="J676" s="1" t="s">
        <v>608</v>
      </c>
      <c r="M676" s="15" t="s">
        <v>481</v>
      </c>
      <c r="N676" s="15" t="s">
        <v>1929</v>
      </c>
      <c r="O676" s="15">
        <v>8</v>
      </c>
      <c r="P676" s="15" t="str" cm="1">
        <f t="array" ref="P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76" s="15" t="str" cm="1">
        <f t="array" ref="Q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canciones/francisco_palazon/cantare_eternamente.html</v>
      </c>
      <c r="S676" s="1" t="s">
        <v>813</v>
      </c>
      <c r="T676" s="1"/>
      <c r="U676" s="1"/>
      <c r="V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data-momento="Antífonas" data-nnew="D08" data-nold="41"&gt;&lt;a href="canciones/francisco_palazon/cantare_eternamente.html"&gt;Cantaré eternamente&lt;/a&gt;&lt;/li&gt;</v>
      </c>
      <c r="W676" s="15" t="str">
        <f>_xlfn.TEXTBEFORE(_xlfn.TEXTAFTER(CantoralDB[[#This Row],[index.html]],"&gt;"),"&gt;")&amp;"&gt;"</f>
        <v>&lt;a href="canciones/francisco_palazon/cantare_eternamente.html"&gt;</v>
      </c>
    </row>
    <row r="677" spans="1:23" x14ac:dyDescent="0.3">
      <c r="A677" s="1">
        <f>ROW(CantoralDB[[#This Row],[Título]])-1</f>
        <v>676</v>
      </c>
      <c r="B677" s="1" t="s">
        <v>2035</v>
      </c>
      <c r="C677" s="1"/>
      <c r="E677" s="1">
        <v>186</v>
      </c>
      <c r="F677" s="1">
        <v>36</v>
      </c>
      <c r="H677" s="1" t="s">
        <v>1043</v>
      </c>
      <c r="J677" s="1" t="s">
        <v>608</v>
      </c>
      <c r="M677" s="15" t="s">
        <v>481</v>
      </c>
      <c r="N677" s="15" t="s">
        <v>1929</v>
      </c>
      <c r="O677" s="15">
        <v>9</v>
      </c>
      <c r="P677" s="15" t="str" cm="1">
        <f t="array" ref="P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77" s="15" t="str" cm="1">
        <f t="array" ref="Q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canciones/francisco_palazon/oh_dios_tu_mereces_un_himno_en_sion.html</v>
      </c>
      <c r="S677" s="1"/>
      <c r="T677" s="1"/>
      <c r="U677" s="14" t="s">
        <v>2984</v>
      </c>
      <c r="V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data-nold="186"&gt;&lt;a href="canciones/francisco_palazon/oh_dios_tu_mereces_un_himno_en_sion.html"&gt;Oh, Dios, Tú mereces un himno en Sión&lt;/a&gt;&lt;/li&gt;</v>
      </c>
      <c r="W677" s="15" t="str">
        <f>_xlfn.TEXTBEFORE(_xlfn.TEXTAFTER(CantoralDB[[#This Row],[index.html]],"&gt;"),"&gt;")&amp;"&gt;"</f>
        <v>&lt;a href="canciones/francisco_palazon/oh_dios_tu_mereces_un_himno_en_sion.html"&gt;</v>
      </c>
    </row>
    <row r="678" spans="1:23" x14ac:dyDescent="0.3">
      <c r="A678" s="1">
        <f>ROW(CantoralDB[[#This Row],[Título]])-1</f>
        <v>677</v>
      </c>
      <c r="B678" s="1" t="s">
        <v>1154</v>
      </c>
      <c r="C678" s="1"/>
      <c r="E678" s="1">
        <v>2</v>
      </c>
      <c r="H678" s="1" t="s">
        <v>531</v>
      </c>
      <c r="J678" s="1" t="s">
        <v>608</v>
      </c>
      <c r="M678" s="15" t="s">
        <v>481</v>
      </c>
      <c r="N678" s="15" t="s">
        <v>1929</v>
      </c>
      <c r="O678" s="15">
        <v>10</v>
      </c>
      <c r="P678" s="15" t="str" cm="1">
        <f t="array" ref="P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78" s="15" t="str" cm="1">
        <f t="array" ref="Q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canciones/francisco_palazon/aclamad_justos_al_señor.html</v>
      </c>
      <c r="S678" s="1"/>
      <c r="T678" s="1"/>
      <c r="U678" s="14" t="s">
        <v>2982</v>
      </c>
      <c r="V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data-nold="2"&gt;&lt;a href="canciones/francisco_palazon/aclamad_justos_al_señor.html"&gt;Aclamad, justos, al Señor&lt;/a&gt;&lt;/li&gt;</v>
      </c>
      <c r="W678" s="15" t="str">
        <f>_xlfn.TEXTBEFORE(_xlfn.TEXTAFTER(CantoralDB[[#This Row],[index.html]],"&gt;"),"&gt;")&amp;"&gt;"</f>
        <v>&lt;a href="canciones/francisco_palazon/aclamad_justos_al_señor.html"&gt;</v>
      </c>
    </row>
    <row r="679" spans="1:23" x14ac:dyDescent="0.3">
      <c r="A679" s="1">
        <f>ROW(CantoralDB[[#This Row],[Título]])-1</f>
        <v>678</v>
      </c>
      <c r="C679" s="1"/>
      <c r="J679" s="1"/>
      <c r="M679" s="15" t="s">
        <v>481</v>
      </c>
      <c r="N679" s="15" t="s">
        <v>2068</v>
      </c>
      <c r="O679" s="15"/>
      <c r="P679" s="15" t="str" cm="1">
        <f t="array" ref="P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79" s="15" t="str" cm="1">
        <f t="array" ref="Q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R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canciones/francisco_palazon/.html</v>
      </c>
      <c r="S679" s="1"/>
      <c r="T679" s="1"/>
      <c r="U679" s="1"/>
      <c r="V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Palazón"&gt;&lt;a href="canciones/francisco_palazon/.html"&gt;&lt;/a&gt;&lt;/li&gt;</v>
      </c>
      <c r="W679" s="15" t="str">
        <f>_xlfn.TEXTBEFORE(_xlfn.TEXTAFTER(CantoralDB[[#This Row],[index.html]],"&gt;"),"&gt;")&amp;"&gt;"</f>
        <v>&lt;a href="canciones/francisco_palazon/.html"&gt;</v>
      </c>
    </row>
    <row r="680" spans="1:23" x14ac:dyDescent="0.3">
      <c r="A680" s="1">
        <f>ROW(CantoralDB[[#This Row],[Título]])-1</f>
        <v>679</v>
      </c>
      <c r="B680" s="1" t="s">
        <v>1217</v>
      </c>
      <c r="C680" s="1"/>
      <c r="E680" s="1">
        <v>100</v>
      </c>
      <c r="J680" s="1"/>
      <c r="M680" s="15" t="s">
        <v>481</v>
      </c>
      <c r="N680" s="15"/>
      <c r="O680" s="15"/>
      <c r="P680" s="15" t="str" cm="1">
        <f t="array" ref="P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80" s="15" t="str" cm="1">
        <f t="array" ref="Q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canciones/francisco_palazon/el_señor_es_compasivo_y_misericordioso.html</v>
      </c>
      <c r="S680" s="1"/>
      <c r="T680" s="1"/>
      <c r="U680" s="1"/>
      <c r="V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data-nold="100"&gt;&lt;a href="canciones/francisco_palazon/el_señor_es_compasivo_y_misericordioso.html"&gt;El Señor es compasivo y misericordioso&lt;/a&gt;&lt;/li&gt;</v>
      </c>
      <c r="W680" s="15" t="str">
        <f>_xlfn.TEXTBEFORE(_xlfn.TEXTAFTER(CantoralDB[[#This Row],[index.html]],"&gt;"),"&gt;")&amp;"&gt;"</f>
        <v>&lt;a href="canciones/francisco_palazon/el_señor_es_compasivo_y_misericordioso.html"&gt;</v>
      </c>
    </row>
    <row r="681" spans="1:23" x14ac:dyDescent="0.3">
      <c r="A681" s="1">
        <f>ROW(CantoralDB[[#This Row],[Título]])-1</f>
        <v>680</v>
      </c>
      <c r="B681" s="1" t="s">
        <v>2917</v>
      </c>
      <c r="C681" s="1"/>
      <c r="E681" s="1">
        <v>281</v>
      </c>
      <c r="H681" s="1" t="s">
        <v>1028</v>
      </c>
      <c r="J681" s="1" t="s">
        <v>608</v>
      </c>
      <c r="M681" s="15" t="s">
        <v>481</v>
      </c>
      <c r="N681" s="15"/>
      <c r="O681" s="15"/>
      <c r="P681" s="15" t="str" cm="1">
        <f t="array" ref="P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81" s="15" t="str" cm="1">
        <f t="array" ref="Q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canciones/francisco_palazon/ven_a_salvar_a_tu_pueblo.html</v>
      </c>
      <c r="S681" s="1"/>
      <c r="T681" s="1"/>
      <c r="U681" s="1"/>
      <c r="V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data-nold="281"&gt;&lt;a href="canciones/francisco_palazon/ven_a_salvar_a_tu_pueblo.html"&gt;Ven a salvar a tu pueblo&lt;/a&gt;&lt;/li&gt;</v>
      </c>
      <c r="W681" s="15" t="str">
        <f>_xlfn.TEXTBEFORE(_xlfn.TEXTAFTER(CantoralDB[[#This Row],[index.html]],"&gt;"),"&gt;")&amp;"&gt;"</f>
        <v>&lt;a href="canciones/francisco_palazon/ven_a_salvar_a_tu_pueblo.html"&gt;</v>
      </c>
    </row>
    <row r="682" spans="1:23" x14ac:dyDescent="0.3">
      <c r="A682" s="1">
        <f>ROW(CantoralDB[[#This Row],[Título]])-1</f>
        <v>681</v>
      </c>
      <c r="B682" s="1" t="s">
        <v>159</v>
      </c>
      <c r="C682" s="1" t="s">
        <v>199</v>
      </c>
      <c r="D682" s="1" t="s">
        <v>1474</v>
      </c>
      <c r="E682" s="1">
        <v>470</v>
      </c>
      <c r="F682" s="1" t="s">
        <v>2445</v>
      </c>
      <c r="G682" s="1" t="s">
        <v>209</v>
      </c>
      <c r="H682" s="1" t="s">
        <v>531</v>
      </c>
      <c r="I682" s="1" t="s">
        <v>2962</v>
      </c>
      <c r="J682" s="1" t="s">
        <v>608</v>
      </c>
      <c r="M682" s="15" t="s">
        <v>481</v>
      </c>
      <c r="N682" s="15"/>
      <c r="O682" s="15"/>
      <c r="P682" s="15" t="str" cm="1">
        <f t="array" ref="P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82" s="15" t="str" cm="1">
        <f t="array" ref="Q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canciones/francisco_palazon/vaso_nuevo.html</v>
      </c>
      <c r="S682" s="1"/>
      <c r="T682" s="1"/>
      <c r="U682" s="1"/>
      <c r="V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data-momento="Despedida" data-nnew="L08" data-nold="470"&gt;&lt;a href="canciones/francisco_palazon/vaso_nuevo.html"&gt;Vaso nuevo&lt;/a&gt;&lt;/li&gt;</v>
      </c>
      <c r="W682" s="15" t="str">
        <f>_xlfn.TEXTBEFORE(_xlfn.TEXTAFTER(CantoralDB[[#This Row],[index.html]],"&gt;"),"&gt;")&amp;"&gt;"</f>
        <v>&lt;a href="canciones/francisco_palazon/vaso_nuevo.html"&gt;</v>
      </c>
    </row>
    <row r="683" spans="1:23" x14ac:dyDescent="0.3">
      <c r="A683" s="1">
        <f>ROW(CantoralDB[[#This Row],[Título]])-1</f>
        <v>682</v>
      </c>
      <c r="B683" s="1" t="s">
        <v>251</v>
      </c>
      <c r="C683" s="1" t="s">
        <v>993</v>
      </c>
      <c r="D683" s="1" t="s">
        <v>1004</v>
      </c>
      <c r="G683" s="1" t="s">
        <v>248</v>
      </c>
      <c r="H683" s="1" t="s">
        <v>473</v>
      </c>
      <c r="J683" s="1" t="s">
        <v>608</v>
      </c>
      <c r="M683" s="15" t="s">
        <v>481</v>
      </c>
      <c r="N683" s="15"/>
      <c r="O683" s="15"/>
      <c r="P683" s="15" t="str" cm="1">
        <f t="array" ref="P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Q683" s="15" t="str" cm="1">
        <f t="array" ref="Q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canciones/francisco_palazon/si_me_falta_el_amor.html</v>
      </c>
      <c r="S683" s="1"/>
      <c r="T683" s="1"/>
      <c r="U683" s="1"/>
      <c r="V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data-author="Francisco Palazón" data-momento="Comunión" data-nnew="K67"&gt;&lt;a href="canciones/francisco_palazon/si_me_falta_el_amor.html"&gt;Si me falta el amor&lt;/a&gt;&lt;/li&gt;</v>
      </c>
      <c r="W683" s="15" t="str">
        <f>_xlfn.TEXTBEFORE(_xlfn.TEXTAFTER(CantoralDB[[#This Row],[index.html]],"&gt;"),"&gt;")&amp;"&gt;"</f>
        <v>&lt;a href="canciones/francisco_palazon/si_me_falta_el_amor.html"&gt;</v>
      </c>
    </row>
    <row r="684" spans="1:23" x14ac:dyDescent="0.3">
      <c r="A684" s="1">
        <f>ROW(CantoralDB[[#This Row],[Título]])-1</f>
        <v>683</v>
      </c>
      <c r="B684" s="1" t="s">
        <v>2701</v>
      </c>
      <c r="C684" s="1"/>
      <c r="F684" s="1">
        <v>321</v>
      </c>
      <c r="J684" s="1"/>
      <c r="M684" s="15" t="s">
        <v>2702</v>
      </c>
      <c r="N684" s="15"/>
      <c r="O684" s="15"/>
      <c r="P684" s="15" t="str" cm="1">
        <f t="array" ref="P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84" s="15" t="str" cm="1">
        <f t="array" ref="Q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canciones/nuevas/aleluya_jesus_es_el_señor.html</v>
      </c>
      <c r="S684" s="1"/>
      <c r="T684" s="1"/>
      <c r="U684" s="1"/>
      <c r="V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data-author="Frank Hernández"&gt;&lt;a href="canciones/nuevas/aleluya_jesus_es_el_señor.html"&gt;Aleluya, Jesús es el Señor&lt;/a&gt;&lt;/li&gt;</v>
      </c>
      <c r="W684" s="15" t="str">
        <f>_xlfn.TEXTBEFORE(_xlfn.TEXTAFTER(CantoralDB[[#This Row],[index.html]],"&gt;"),"&gt;")&amp;"&gt;"</f>
        <v>&lt;a href="canciones/nuevas/aleluya_jesus_es_el_señor.html"&gt;</v>
      </c>
    </row>
    <row r="685" spans="1:23" x14ac:dyDescent="0.3">
      <c r="A685" s="1">
        <f>ROW(CantoralDB[[#This Row],[Título]])-1</f>
        <v>684</v>
      </c>
      <c r="B685" s="1" t="s">
        <v>2694</v>
      </c>
      <c r="C685" s="1"/>
      <c r="F685" s="1">
        <v>310</v>
      </c>
      <c r="J685" s="1"/>
      <c r="M685" s="15" t="s">
        <v>2882</v>
      </c>
      <c r="N685" s="15"/>
      <c r="O685" s="15"/>
      <c r="P685" s="15" t="str" cm="1">
        <f t="array" ref="P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85" s="15" t="str" cm="1">
        <f t="array" ref="Q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canciones/nuevas/ponte_ya_de_pie.html</v>
      </c>
      <c r="S685" s="1"/>
      <c r="T685" s="1"/>
      <c r="U685" s="1"/>
      <c r="V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André Gouze - Gocam"&gt;&lt;a href="canciones/nuevas/ponte_ya_de_pie.html"&gt;Ponte ya de pie&lt;/a&gt;&lt;/li&gt;</v>
      </c>
      <c r="W685" s="15" t="str">
        <f>_xlfn.TEXTBEFORE(_xlfn.TEXTAFTER(CantoralDB[[#This Row],[index.html]],"&gt;"),"&gt;")&amp;"&gt;"</f>
        <v>&lt;a href="canciones/nuevas/ponte_ya_de_pie.html"&gt;</v>
      </c>
    </row>
    <row r="686" spans="1:23" x14ac:dyDescent="0.3">
      <c r="A686" s="1">
        <f>ROW(CantoralDB[[#This Row],[Título]])-1</f>
        <v>685</v>
      </c>
      <c r="B686" s="1" t="s">
        <v>2743</v>
      </c>
      <c r="C686" s="1"/>
      <c r="F686" s="1">
        <v>358</v>
      </c>
      <c r="J686" s="1"/>
      <c r="M686" s="15" t="s">
        <v>2882</v>
      </c>
      <c r="N686" s="15"/>
      <c r="O686" s="15"/>
      <c r="P686" s="15" t="str" cm="1">
        <f t="array" ref="P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86" s="15" t="str" cm="1">
        <f t="array" ref="Q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canciones/nuevas/que_nuestro_dios_te_guarde.html</v>
      </c>
      <c r="S686" s="1"/>
      <c r="T686" s="1"/>
      <c r="U686" s="1"/>
      <c r="V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André Gouze - Gocam"&gt;&lt;a href="canciones/nuevas/que_nuestro_dios_te_guarde.html"&gt;Que nuestro Dios te guarde&lt;/a&gt;&lt;/li&gt;</v>
      </c>
      <c r="W686" s="15" t="str">
        <f>_xlfn.TEXTBEFORE(_xlfn.TEXTAFTER(CantoralDB[[#This Row],[index.html]],"&gt;"),"&gt;")&amp;"&gt;"</f>
        <v>&lt;a href="canciones/nuevas/que_nuestro_dios_te_guarde.html"&gt;</v>
      </c>
    </row>
    <row r="687" spans="1:23" x14ac:dyDescent="0.3">
      <c r="A687" s="1">
        <f>ROW(CantoralDB[[#This Row],[Título]])-1</f>
        <v>686</v>
      </c>
      <c r="B687" s="1" t="s">
        <v>415</v>
      </c>
      <c r="C687" s="1"/>
      <c r="F687" s="1">
        <v>447</v>
      </c>
      <c r="J687" s="1"/>
      <c r="M687" s="15" t="s">
        <v>2848</v>
      </c>
      <c r="N687" s="15"/>
      <c r="O687" s="15"/>
      <c r="P687" s="15" t="str" cm="1">
        <f t="array" ref="P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87" s="15" t="str" cm="1">
        <f t="array" ref="Q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canciones/nuevas/nada_te_turbe.html</v>
      </c>
      <c r="S687" s="1"/>
      <c r="T687" s="1"/>
      <c r="U687" s="1"/>
      <c r="V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data-author="Fray Nacho"&gt;&lt;a href="canciones/nuevas/nada_te_turbe.html"&gt;Nada te turbe&lt;/a&gt;&lt;/li&gt;</v>
      </c>
      <c r="W687" s="15" t="str">
        <f>_xlfn.TEXTBEFORE(_xlfn.TEXTAFTER(CantoralDB[[#This Row],[index.html]],"&gt;"),"&gt;")&amp;"&gt;"</f>
        <v>&lt;a href="canciones/nuevas/nada_te_turbe.html"&gt;</v>
      </c>
    </row>
    <row r="688" spans="1:23" x14ac:dyDescent="0.3">
      <c r="A688" s="1">
        <f>ROW(CantoralDB[[#This Row],[Título]])-1</f>
        <v>687</v>
      </c>
      <c r="B688" s="1" t="s">
        <v>2451</v>
      </c>
      <c r="C688" s="1"/>
      <c r="F688" s="1">
        <v>61</v>
      </c>
      <c r="J688" s="1"/>
      <c r="M688" s="15" t="s">
        <v>2452</v>
      </c>
      <c r="N688" s="15"/>
      <c r="O688" s="15"/>
      <c r="P688" s="15" t="str" cm="1">
        <f t="array" ref="P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88" s="15" t="str" cm="1">
        <f t="array" ref="Q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canciones/nuevas/escucha_nuestra_oracion.html</v>
      </c>
      <c r="S688" s="1"/>
      <c r="T688" s="1"/>
      <c r="U688" s="1"/>
      <c r="V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 Gancho"&gt;&lt;a href="canciones/nuevas/escucha_nuestra_oracion.html"&gt;Escucha nuestra oración&lt;/a&gt;&lt;/li&gt;</v>
      </c>
      <c r="W688" s="15" t="str">
        <f>_xlfn.TEXTBEFORE(_xlfn.TEXTAFTER(CantoralDB[[#This Row],[index.html]],"&gt;"),"&gt;")&amp;"&gt;"</f>
        <v>&lt;a href="canciones/nuevas/escucha_nuestra_oracion.html"&gt;</v>
      </c>
    </row>
    <row r="689" spans="1:23" x14ac:dyDescent="0.3">
      <c r="A689" s="1">
        <f>ROW(CantoralDB[[#This Row],[Título]])-1</f>
        <v>688</v>
      </c>
      <c r="B689" s="1" t="s">
        <v>2727</v>
      </c>
      <c r="C689" s="1"/>
      <c r="F689" s="1">
        <v>346</v>
      </c>
      <c r="J689" s="1"/>
      <c r="M689" s="15" t="s">
        <v>2728</v>
      </c>
      <c r="N689" s="15"/>
      <c r="O689" s="15"/>
      <c r="P689" s="15" t="str" cm="1">
        <f t="array" ref="P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89" s="15" t="str" cm="1">
        <f t="array" ref="Q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canciones/nuevas/celebrad_a_cristo.html</v>
      </c>
      <c r="S689" s="1"/>
      <c r="T689" s="1"/>
      <c r="U689" s="1"/>
      <c r="V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data-author="Gary Oliver"&gt;&lt;a href="canciones/nuevas/celebrad_a_cristo.html"&gt;Celebrad a Cristo&lt;/a&gt;&lt;/li&gt;</v>
      </c>
      <c r="W689" s="15" t="str">
        <f>_xlfn.TEXTBEFORE(_xlfn.TEXTAFTER(CantoralDB[[#This Row],[index.html]],"&gt;"),"&gt;")&amp;"&gt;"</f>
        <v>&lt;a href="canciones/nuevas/celebrad_a_cristo.html"&gt;</v>
      </c>
    </row>
    <row r="690" spans="1:23" x14ac:dyDescent="0.3">
      <c r="A690" s="1">
        <f>ROW(CantoralDB[[#This Row],[Título]])-1</f>
        <v>689</v>
      </c>
      <c r="B690" s="1" t="s">
        <v>2502</v>
      </c>
      <c r="C690" s="1"/>
      <c r="F690" s="1">
        <v>113</v>
      </c>
      <c r="H690" s="1" t="s">
        <v>1030</v>
      </c>
      <c r="J690" s="1" t="s">
        <v>608</v>
      </c>
      <c r="M690" s="15" t="s">
        <v>626</v>
      </c>
      <c r="N690" s="15"/>
      <c r="O690" s="15"/>
      <c r="P690" s="15" t="str" cm="1">
        <f t="array" ref="P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90" s="15" t="str" cm="1">
        <f t="array" ref="Q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canciones/nuevas/santo_(gen_rosso).html</v>
      </c>
      <c r="S690" s="1"/>
      <c r="T690" s="1"/>
      <c r="U690" s="1"/>
      <c r="V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Rosso"&gt;&lt;a href="canciones/nuevas/santo_(gen_rosso).html"&gt;Santo (Gen Rosso)&lt;/a&gt;&lt;/li&gt;</v>
      </c>
      <c r="W690" s="15" t="str">
        <f>_xlfn.TEXTBEFORE(_xlfn.TEXTAFTER(CantoralDB[[#This Row],[index.html]],"&gt;"),"&gt;")&amp;"&gt;"</f>
        <v>&lt;a href="canciones/nuevas/santo_(gen_rosso).html"&gt;</v>
      </c>
    </row>
    <row r="691" spans="1:23" x14ac:dyDescent="0.3">
      <c r="A691" s="1">
        <f>ROW(CantoralDB[[#This Row],[Título]])-1</f>
        <v>690</v>
      </c>
      <c r="B691" s="1" t="s">
        <v>783</v>
      </c>
      <c r="C691" s="1" t="s">
        <v>993</v>
      </c>
      <c r="D691" s="1" t="s">
        <v>699</v>
      </c>
      <c r="G691" s="1" t="s">
        <v>209</v>
      </c>
      <c r="H691" s="1" t="s">
        <v>1030</v>
      </c>
      <c r="J691" s="1" t="s">
        <v>608</v>
      </c>
      <c r="M691" s="15" t="s">
        <v>626</v>
      </c>
      <c r="N691" s="15"/>
      <c r="O691" s="15"/>
      <c r="P691" s="15" t="str" cm="1">
        <f t="array" ref="P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91" s="15" t="str" cm="1">
        <f t="array" ref="Q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canciones/nsb/el_camino_no_lo_haremos_solos.html</v>
      </c>
      <c r="S691" s="1"/>
      <c r="T691" s="1"/>
      <c r="U691" s="1"/>
      <c r="V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Rosso" data-momento="Comunión" data-nnew="K26"&gt;&lt;a href="canciones/nsb/el_camino_no_lo_haremos_solos.html"&gt;El camino no lo haremos solos&lt;/a&gt;&lt;/li&gt;</v>
      </c>
      <c r="W691" s="15" t="str">
        <f>_xlfn.TEXTBEFORE(_xlfn.TEXTAFTER(CantoralDB[[#This Row],[index.html]],"&gt;"),"&gt;")&amp;"&gt;"</f>
        <v>&lt;a href="canciones/nsb/el_camino_no_lo_haremos_solos.html"&gt;</v>
      </c>
    </row>
    <row r="692" spans="1:23" x14ac:dyDescent="0.3">
      <c r="A692" s="1">
        <f>ROW(CantoralDB[[#This Row],[Título]])-1</f>
        <v>691</v>
      </c>
      <c r="B692" s="1" t="s">
        <v>583</v>
      </c>
      <c r="C692" s="1" t="s">
        <v>200</v>
      </c>
      <c r="D692" s="1" t="s">
        <v>1054</v>
      </c>
      <c r="F692" s="1">
        <v>97</v>
      </c>
      <c r="G692" s="1" t="s">
        <v>584</v>
      </c>
      <c r="H692" s="1" t="s">
        <v>1027</v>
      </c>
      <c r="I692" s="1" t="s">
        <v>2962</v>
      </c>
      <c r="J692" s="1" t="s">
        <v>608</v>
      </c>
      <c r="M692" s="15" t="s">
        <v>600</v>
      </c>
      <c r="N692" s="15"/>
      <c r="O692" s="15"/>
      <c r="P692" s="15" t="str" cm="1">
        <f t="array" ref="P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92" s="15" t="str" cm="1">
        <f t="array" ref="Q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canciones/nsb/salve_regina.html</v>
      </c>
      <c r="S692" s="1"/>
      <c r="T692" s="1"/>
      <c r="U692" s="1"/>
      <c r="V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data-author="Gen Verde" data-momento="María" data-nnew="M20"&gt;&lt;a href="canciones/nsb/salve_regina.html"&gt;Salve, Regina&lt;/a&gt;&lt;/li&gt;</v>
      </c>
      <c r="W692" s="15" t="str">
        <f>_xlfn.TEXTBEFORE(_xlfn.TEXTAFTER(CantoralDB[[#This Row],[index.html]],"&gt;"),"&gt;")&amp;"&gt;"</f>
        <v>&lt;a href="canciones/nsb/salve_regina.html"&gt;</v>
      </c>
    </row>
    <row r="693" spans="1:23" x14ac:dyDescent="0.3">
      <c r="A693" s="1">
        <f>ROW(CantoralDB[[#This Row],[Título]])-1</f>
        <v>692</v>
      </c>
      <c r="B693" s="1" t="s">
        <v>526</v>
      </c>
      <c r="C693" s="1" t="s">
        <v>196</v>
      </c>
      <c r="D693" s="1" t="s">
        <v>1459</v>
      </c>
      <c r="F693" s="1">
        <v>74</v>
      </c>
      <c r="G693" s="1" t="s">
        <v>209</v>
      </c>
      <c r="H693" s="1" t="s">
        <v>531</v>
      </c>
      <c r="J693" s="1" t="s">
        <v>608</v>
      </c>
      <c r="M693" s="15" t="s">
        <v>582</v>
      </c>
      <c r="N693" s="15"/>
      <c r="O693" s="15"/>
      <c r="P693" s="15" t="str" cm="1">
        <f t="array" ref="P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93" s="15" t="str" cm="1">
        <f t="array" ref="Q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canciones/nsb/santo_(händel).html</v>
      </c>
      <c r="S693" s="1"/>
      <c r="T693" s="1"/>
      <c r="U693" s="1"/>
      <c r="V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data-author="Georg Friedrich Händel" data-momento="Santo" data-nnew="G02"&gt;&lt;a href="canciones/nsb/santo_(händel).html"&gt;Santo (Händel)&lt;/a&gt;&lt;/li&gt;</v>
      </c>
      <c r="W693" s="15" t="str">
        <f>_xlfn.TEXTBEFORE(_xlfn.TEXTAFTER(CantoralDB[[#This Row],[index.html]],"&gt;"),"&gt;")&amp;"&gt;"</f>
        <v>&lt;a href="canciones/nsb/santo_(händel).html"&gt;</v>
      </c>
    </row>
    <row r="694" spans="1:23" x14ac:dyDescent="0.3">
      <c r="A694" s="1">
        <f>ROW(CantoralDB[[#This Row],[Título]])-1</f>
        <v>693</v>
      </c>
      <c r="B694" s="1" t="s">
        <v>2553</v>
      </c>
      <c r="C694" s="1"/>
      <c r="F694" s="1">
        <v>157</v>
      </c>
      <c r="H694" s="1" t="s">
        <v>531</v>
      </c>
      <c r="J694" s="1" t="s">
        <v>608</v>
      </c>
      <c r="M694" s="15" t="s">
        <v>2554</v>
      </c>
      <c r="N694" s="15"/>
      <c r="O694" s="15"/>
      <c r="P694" s="15" t="str" cm="1">
        <f t="array" ref="P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94" s="15" t="str" cm="1">
        <f t="array" ref="Q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canciones/nuevas/tierra_firme_(getsemani).html</v>
      </c>
      <c r="S694" s="1"/>
      <c r="T694" s="1"/>
      <c r="U694" s="14" t="s">
        <v>3013</v>
      </c>
      <c r="V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data-author="Getsemaní"&gt;&lt;a href="canciones/nuevas/tierra_firme_(getsemani).html"&gt;Tierra firme (Getsemaní)&lt;/a&gt;&lt;/li&gt;</v>
      </c>
      <c r="W694" s="15" t="str">
        <f>_xlfn.TEXTBEFORE(_xlfn.TEXTAFTER(CantoralDB[[#This Row],[index.html]],"&gt;"),"&gt;")&amp;"&gt;"</f>
        <v>&lt;a href="canciones/nuevas/tierra_firme_(getsemani).html"&gt;</v>
      </c>
    </row>
    <row r="695" spans="1:23" x14ac:dyDescent="0.3">
      <c r="A695" s="1">
        <f>ROW(CantoralDB[[#This Row],[Título]])-1</f>
        <v>694</v>
      </c>
      <c r="B695" s="1" t="s">
        <v>1243</v>
      </c>
      <c r="C695" s="1"/>
      <c r="E695" s="1">
        <v>210</v>
      </c>
      <c r="H695" s="1" t="s">
        <v>1028</v>
      </c>
      <c r="J695" s="1" t="s">
        <v>608</v>
      </c>
      <c r="M695" s="15" t="s">
        <v>2905</v>
      </c>
      <c r="N695" s="15"/>
      <c r="O695" s="15"/>
      <c r="P695" s="15" t="str" cm="1">
        <f t="array" ref="P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95" s="15" t="str" cm="1">
        <f t="array" ref="Q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canciones/nsb/yo_te_nombro_libertad.html</v>
      </c>
      <c r="S695" s="1"/>
      <c r="T695" s="1"/>
      <c r="U695" s="1"/>
      <c r="V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data-author="Gian Franco Pagliardo" data-nold="210"&gt;&lt;a href="canciones/nsb/yo_te_nombro_libertad.html"&gt;Yo te nombro, libertad&lt;/a&gt;&lt;/li&gt;</v>
      </c>
      <c r="W695" s="15" t="str">
        <f>_xlfn.TEXTBEFORE(_xlfn.TEXTAFTER(CantoralDB[[#This Row],[index.html]],"&gt;"),"&gt;")&amp;"&gt;"</f>
        <v>&lt;a href="canciones/nsb/yo_te_nombro_libertad.html"&gt;</v>
      </c>
    </row>
    <row r="696" spans="1:23" x14ac:dyDescent="0.3">
      <c r="A696" s="1">
        <f>ROW(CantoralDB[[#This Row],[Título]])-1</f>
        <v>695</v>
      </c>
      <c r="B696" s="1" t="s">
        <v>146</v>
      </c>
      <c r="C696" s="1" t="s">
        <v>993</v>
      </c>
      <c r="D696" s="1" t="s">
        <v>1013</v>
      </c>
      <c r="E696" s="1">
        <v>465</v>
      </c>
      <c r="G696" s="1" t="s">
        <v>209</v>
      </c>
      <c r="H696" s="1" t="s">
        <v>1030</v>
      </c>
      <c r="I696" s="1" t="s">
        <v>2961</v>
      </c>
      <c r="J696" s="1" t="s">
        <v>608</v>
      </c>
      <c r="M696" s="15" t="s">
        <v>629</v>
      </c>
      <c r="N696" s="15"/>
      <c r="O696" s="15"/>
      <c r="P696" s="15" t="str" cm="1">
        <f t="array" ref="P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96" s="15" t="str" cm="1">
        <f t="array" ref="Q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canciones/nsb/tu_eres_capaz.html</v>
      </c>
      <c r="S696" s="1"/>
      <c r="T696" s="1"/>
      <c r="U696" s="1"/>
      <c r="V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data-author="Gina Fernández" data-momento="Comunión" data-nnew="K76" data-nold="465"&gt;&lt;a href="canciones/nsb/tu_eres_capaz.html"&gt;Tú eres capaz&lt;/a&gt;&lt;/li&gt;</v>
      </c>
      <c r="W696" s="15" t="str">
        <f>_xlfn.TEXTBEFORE(_xlfn.TEXTAFTER(CantoralDB[[#This Row],[index.html]],"&gt;"),"&gt;")&amp;"&gt;"</f>
        <v>&lt;a href="canciones/nsb/tu_eres_capaz.html"&gt;</v>
      </c>
    </row>
    <row r="697" spans="1:23" x14ac:dyDescent="0.3">
      <c r="A697" s="1">
        <f>ROW(CantoralDB[[#This Row],[Título]])-1</f>
        <v>696</v>
      </c>
      <c r="B697" s="1" t="s">
        <v>1200</v>
      </c>
      <c r="C697" s="1"/>
      <c r="E697" s="1">
        <v>74</v>
      </c>
      <c r="H697" s="1" t="s">
        <v>473</v>
      </c>
      <c r="J697" s="1" t="s">
        <v>608</v>
      </c>
      <c r="M697" s="15" t="s">
        <v>2900</v>
      </c>
      <c r="N697" s="15"/>
      <c r="O697" s="15"/>
      <c r="P697" s="15" t="str" cm="1">
        <f t="array" ref="P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697" s="15" t="str" cm="1">
        <f t="array" ref="Q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canciones/nsb/dame_señor_un_corazon_feliz.html</v>
      </c>
      <c r="S697" s="1"/>
      <c r="T697" s="1"/>
      <c r="U697" s="1"/>
      <c r="V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data-author="Gonzalo González" data-nold="74"&gt;&lt;a href="canciones/nsb/dame_señor_un_corazon_feliz.html"&gt;Dame, Señor, un corazón feliz&lt;/a&gt;&lt;/li&gt;</v>
      </c>
      <c r="W697" s="15" t="str">
        <f>_xlfn.TEXTBEFORE(_xlfn.TEXTAFTER(CantoralDB[[#This Row],[index.html]],"&gt;"),"&gt;")&amp;"&gt;"</f>
        <v>&lt;a href="canciones/nsb/dame_señor_un_corazon_feliz.html"&gt;</v>
      </c>
    </row>
    <row r="698" spans="1:23" x14ac:dyDescent="0.3">
      <c r="A698" s="1">
        <f>ROW(CantoralDB[[#This Row],[Título]])-1</f>
        <v>697</v>
      </c>
      <c r="B698" s="1" t="s">
        <v>2396</v>
      </c>
      <c r="C698" s="1"/>
      <c r="F698" s="1">
        <v>12</v>
      </c>
      <c r="H698" s="1" t="s">
        <v>1030</v>
      </c>
      <c r="J698" s="1" t="s">
        <v>608</v>
      </c>
      <c r="M698" s="15" t="s">
        <v>2397</v>
      </c>
      <c r="N698" s="15"/>
      <c r="O698" s="15"/>
      <c r="P698" s="15" t="str" cm="1">
        <f t="array" ref="P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98" s="15" t="str" cm="1">
        <f t="array" ref="Q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canciones/nuevas/brilla_jesus.html</v>
      </c>
      <c r="S698" s="1"/>
      <c r="T698" s="1"/>
      <c r="U698" s="1"/>
      <c r="V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data-author="Graham Kendrick"&gt;&lt;a href="canciones/nuevas/brilla_jesus.html"&gt;Brilla, Jesús&lt;/a&gt;&lt;/li&gt;</v>
      </c>
      <c r="W698" s="15" t="str">
        <f>_xlfn.TEXTBEFORE(_xlfn.TEXTAFTER(CantoralDB[[#This Row],[index.html]],"&gt;"),"&gt;")&amp;"&gt;"</f>
        <v>&lt;a href="canciones/nuevas/brilla_jesus.html"&gt;</v>
      </c>
    </row>
    <row r="699" spans="1:23" x14ac:dyDescent="0.3">
      <c r="A699" s="1">
        <f>ROW(CantoralDB[[#This Row],[Título]])-1</f>
        <v>698</v>
      </c>
      <c r="B699" s="1" t="s">
        <v>2636</v>
      </c>
      <c r="C699" s="1"/>
      <c r="F699" s="1">
        <v>248</v>
      </c>
      <c r="H699" s="1" t="s">
        <v>1027</v>
      </c>
      <c r="J699" s="1" t="s">
        <v>608</v>
      </c>
      <c r="M699" s="15" t="s">
        <v>2397</v>
      </c>
      <c r="N699" s="15"/>
      <c r="O699" s="15"/>
      <c r="P699" s="15" t="str" cm="1">
        <f t="array" ref="P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699" s="15" t="str" cm="1">
        <f t="array" ref="Q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canciones/nuevas/seduce_mi_corazon.html</v>
      </c>
      <c r="S699" s="1"/>
      <c r="T699" s="1"/>
      <c r="U699" s="1"/>
      <c r="V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data-author="Graham Kendrick"&gt;&lt;a href="canciones/nuevas/seduce_mi_corazon.html"&gt;Seduce mi corazón&lt;/a&gt;&lt;/li&gt;</v>
      </c>
      <c r="W699" s="15" t="str">
        <f>_xlfn.TEXTBEFORE(_xlfn.TEXTAFTER(CantoralDB[[#This Row],[index.html]],"&gt;"),"&gt;")&amp;"&gt;"</f>
        <v>&lt;a href="canciones/nuevas/seduce_mi_corazon.html"&gt;</v>
      </c>
    </row>
    <row r="700" spans="1:23" x14ac:dyDescent="0.3">
      <c r="A700" s="1">
        <f>ROW(CantoralDB[[#This Row],[Título]])-1</f>
        <v>699</v>
      </c>
      <c r="B700" s="1" t="s">
        <v>1175</v>
      </c>
      <c r="C700" s="1"/>
      <c r="E700" s="1">
        <v>43</v>
      </c>
      <c r="H700" s="1" t="s">
        <v>473</v>
      </c>
      <c r="J700" s="1" t="s">
        <v>608</v>
      </c>
      <c r="M700" s="15" t="s">
        <v>516</v>
      </c>
      <c r="N700" s="15"/>
      <c r="O700" s="15"/>
      <c r="P700" s="15" t="str" cm="1">
        <f t="array" ref="P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00" s="15" t="str" cm="1">
        <f t="array" ref="Q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canciones/nsb/como_habian_dicho_los_profetas.html</v>
      </c>
      <c r="S700" s="1"/>
      <c r="T700" s="1"/>
      <c r="U700" s="1"/>
      <c r="V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data-nold="43"&gt;&lt;a href="canciones/nsb/como_habian_dicho_los_profetas.html"&gt;Como habían dicho los profetas&lt;/a&gt;&lt;/li&gt;</v>
      </c>
      <c r="W700" s="15" t="str">
        <f>_xlfn.TEXTBEFORE(_xlfn.TEXTAFTER(CantoralDB[[#This Row],[index.html]],"&gt;"),"&gt;")&amp;"&gt;"</f>
        <v>&lt;a href="canciones/nsb/como_habian_dicho_los_profetas.html"&gt;</v>
      </c>
    </row>
    <row r="701" spans="1:23" x14ac:dyDescent="0.3">
      <c r="A701" s="1">
        <f>ROW(CantoralDB[[#This Row],[Título]])-1</f>
        <v>700</v>
      </c>
      <c r="B701" s="1" t="s">
        <v>1177</v>
      </c>
      <c r="C701" s="1"/>
      <c r="E701" s="1">
        <v>46</v>
      </c>
      <c r="H701" s="1" t="s">
        <v>1030</v>
      </c>
      <c r="J701" s="1" t="s">
        <v>608</v>
      </c>
      <c r="M701" s="15" t="s">
        <v>516</v>
      </c>
      <c r="N701" s="15"/>
      <c r="O701" s="15"/>
      <c r="P701" s="15" t="str" cm="1">
        <f t="array" ref="P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01" s="15" t="str" cm="1">
        <f t="array" ref="Q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canciones/nsb/cantan_los_angeles_en_belen.html</v>
      </c>
      <c r="S701" s="1"/>
      <c r="T701" s="1"/>
      <c r="U701" s="1"/>
      <c r="V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data-nold="46"&gt;&lt;a href="canciones/nsb/cantan_los_angeles_en_belen.html"&gt;Cantan los ángeles en Belén&lt;/a&gt;&lt;/li&gt;</v>
      </c>
      <c r="W701" s="15" t="str">
        <f>_xlfn.TEXTBEFORE(_xlfn.TEXTAFTER(CantoralDB[[#This Row],[index.html]],"&gt;"),"&gt;")&amp;"&gt;"</f>
        <v>&lt;a href="canciones/nsb/cantan_los_angeles_en_belen.html"&gt;</v>
      </c>
    </row>
    <row r="702" spans="1:23" x14ac:dyDescent="0.3">
      <c r="A702" s="1">
        <f>ROW(CantoralDB[[#This Row],[Título]])-1</f>
        <v>701</v>
      </c>
      <c r="B702" s="1" t="s">
        <v>1263</v>
      </c>
      <c r="C702" s="1"/>
      <c r="E702" s="1">
        <v>134</v>
      </c>
      <c r="J702" s="1"/>
      <c r="M702" s="15" t="s">
        <v>516</v>
      </c>
      <c r="N702" s="15"/>
      <c r="O702" s="15"/>
      <c r="P702" s="15" t="str" cm="1">
        <f t="array" ref="P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02" s="15" t="str" cm="1">
        <f t="array" ref="Q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canciones/nsb/hoy_en_belen_es_la_fiesta.html</v>
      </c>
      <c r="S702" s="1"/>
      <c r="T702" s="1"/>
      <c r="U702" s="1"/>
      <c r="V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data-nold="134"&gt;&lt;a href="canciones/nsb/hoy_en_belen_es_la_fiesta.html"&gt;Hoy en Belén es la fiesta&lt;/a&gt;&lt;/li&gt;</v>
      </c>
      <c r="W702" s="15" t="str">
        <f>_xlfn.TEXTBEFORE(_xlfn.TEXTAFTER(CantoralDB[[#This Row],[index.html]],"&gt;"),"&gt;")&amp;"&gt;"</f>
        <v>&lt;a href="canciones/nsb/hoy_en_belen_es_la_fiesta.html"&gt;</v>
      </c>
    </row>
    <row r="703" spans="1:23" x14ac:dyDescent="0.3">
      <c r="A703" s="1">
        <f>ROW(CantoralDB[[#This Row],[Título]])-1</f>
        <v>702</v>
      </c>
      <c r="B703" s="1" t="s">
        <v>2924</v>
      </c>
      <c r="C703" s="1"/>
      <c r="E703" s="1">
        <v>249</v>
      </c>
      <c r="H703" s="1" t="s">
        <v>1030</v>
      </c>
      <c r="J703" s="1" t="s">
        <v>608</v>
      </c>
      <c r="M703" s="15" t="s">
        <v>516</v>
      </c>
      <c r="N703" s="15"/>
      <c r="O703" s="15"/>
      <c r="P703" s="15" t="str" cm="1">
        <f t="array" ref="P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03" s="15" t="str" cm="1">
        <f t="array" ref="Q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canciones/nsb/si_cada_noche_fuera_nochebuena.html</v>
      </c>
      <c r="S703" s="1"/>
      <c r="T703" s="1"/>
      <c r="U703" s="1"/>
      <c r="V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data-nold="249"&gt;&lt;a href="canciones/nsb/si_cada_noche_fuera_nochebuena.html"&gt;Si cada noche fuera Nochebuena&lt;/a&gt;&lt;/li&gt;</v>
      </c>
      <c r="W703" s="15" t="str">
        <f>_xlfn.TEXTBEFORE(_xlfn.TEXTAFTER(CantoralDB[[#This Row],[index.html]],"&gt;"),"&gt;")&amp;"&gt;"</f>
        <v>&lt;a href="canciones/nsb/si_cada_noche_fuera_nochebuena.html"&gt;</v>
      </c>
    </row>
    <row r="704" spans="1:23" x14ac:dyDescent="0.3">
      <c r="A704" s="1">
        <f>ROW(CantoralDB[[#This Row],[Título]])-1</f>
        <v>703</v>
      </c>
      <c r="B704" s="1" t="s">
        <v>2925</v>
      </c>
      <c r="C704" s="1"/>
      <c r="E704" s="1">
        <v>250</v>
      </c>
      <c r="H704" s="1" t="s">
        <v>1030</v>
      </c>
      <c r="J704" s="1" t="s">
        <v>608</v>
      </c>
      <c r="M704" s="15" t="s">
        <v>516</v>
      </c>
      <c r="N704" s="15"/>
      <c r="O704" s="15"/>
      <c r="P704" s="15" t="str" cm="1">
        <f t="array" ref="P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04" s="15" t="str" cm="1">
        <f t="array" ref="Q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canciones/nsb/esto_es_navidad.html</v>
      </c>
      <c r="S704" s="1"/>
      <c r="T704" s="1"/>
      <c r="U704" s="1"/>
      <c r="V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data-author="Gregorio Fernández" data-nold="250"&gt;&lt;a href="canciones/nsb/esto_es_navidad.html"&gt;Esto es Navidad&lt;/a&gt;&lt;/li&gt;</v>
      </c>
      <c r="W704" s="15" t="str">
        <f>_xlfn.TEXTBEFORE(_xlfn.TEXTAFTER(CantoralDB[[#This Row],[index.html]],"&gt;"),"&gt;")&amp;"&gt;"</f>
        <v>&lt;a href="canciones/nsb/esto_es_navidad.html"&gt;</v>
      </c>
    </row>
    <row r="705" spans="1:23" x14ac:dyDescent="0.3">
      <c r="A705" s="1">
        <f>ROW(CantoralDB[[#This Row],[Título]])-1</f>
        <v>704</v>
      </c>
      <c r="B705" s="1" t="s">
        <v>91</v>
      </c>
      <c r="C705" s="1" t="s">
        <v>200</v>
      </c>
      <c r="D705" s="1" t="s">
        <v>1048</v>
      </c>
      <c r="E705" s="1">
        <v>435</v>
      </c>
      <c r="G705" s="1" t="s">
        <v>209</v>
      </c>
      <c r="H705" s="1" t="s">
        <v>1030</v>
      </c>
      <c r="J705" s="1" t="s">
        <v>608</v>
      </c>
      <c r="M705" s="15" t="s">
        <v>2228</v>
      </c>
      <c r="N705" s="15"/>
      <c r="O705" s="15"/>
      <c r="P705" s="15" t="str" cm="1">
        <f t="array" ref="P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05" s="15" t="str" cm="1">
        <f t="array" ref="Q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canciones/nsb/maria_mirame.html</v>
      </c>
      <c r="S705" s="1"/>
      <c r="T705" s="1"/>
      <c r="U705" s="1"/>
      <c r="V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Betsaida" data-momento="María" data-nnew="M14" data-nold="435"&gt;&lt;a href="canciones/nsb/maria_mirame.html"&gt;María, mírame&lt;/a&gt;&lt;/li&gt;</v>
      </c>
      <c r="W705" s="15" t="str">
        <f>_xlfn.TEXTBEFORE(_xlfn.TEXTAFTER(CantoralDB[[#This Row],[index.html]],"&gt;"),"&gt;")&amp;"&gt;"</f>
        <v>&lt;a href="canciones/nsb/maria_mirame.html"&gt;</v>
      </c>
    </row>
    <row r="706" spans="1:23" x14ac:dyDescent="0.3">
      <c r="A706" s="1">
        <f>ROW(CantoralDB[[#This Row],[Título]])-1</f>
        <v>705</v>
      </c>
      <c r="B706" s="1" t="s">
        <v>172</v>
      </c>
      <c r="C706" s="1" t="s">
        <v>195</v>
      </c>
      <c r="D706" s="1" t="s">
        <v>1381</v>
      </c>
      <c r="G706" s="1" t="s">
        <v>209</v>
      </c>
      <c r="H706" s="1" t="s">
        <v>531</v>
      </c>
      <c r="J706" s="1" t="s">
        <v>608</v>
      </c>
      <c r="M706" s="15" t="s">
        <v>519</v>
      </c>
      <c r="N706" s="15"/>
      <c r="O706" s="15"/>
      <c r="P706" s="15" t="str" cm="1">
        <f t="array" ref="P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06" s="15" t="str" cm="1">
        <f t="array" ref="Q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canciones/nsb/alimento_de_amor_(el_loco).html</v>
      </c>
      <c r="S706" s="1"/>
      <c r="T706" s="1"/>
      <c r="U706" s="1"/>
      <c r="V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Gente Nueva" data-momento="Ofertorio" data-nnew="F01"&gt;&lt;a href="canciones/nsb/alimento_de_amor_(el_loco).html"&gt;Alimento de amor (El loco)&lt;/a&gt;&lt;/li&gt;</v>
      </c>
      <c r="W706" s="15" t="str">
        <f>_xlfn.TEXTBEFORE(_xlfn.TEXTAFTER(CantoralDB[[#This Row],[index.html]],"&gt;"),"&gt;")&amp;"&gt;"</f>
        <v>&lt;a href="canciones/nsb/alimento_de_amor_(el_loco).html"&gt;</v>
      </c>
    </row>
    <row r="707" spans="1:23" x14ac:dyDescent="0.3">
      <c r="A707" s="1">
        <f>ROW(CantoralDB[[#This Row],[Título]])-1</f>
        <v>706</v>
      </c>
      <c r="B707" s="1" t="s">
        <v>614</v>
      </c>
      <c r="C707" s="1" t="s">
        <v>201</v>
      </c>
      <c r="D707" s="1" t="s">
        <v>679</v>
      </c>
      <c r="G707" s="1" t="s">
        <v>553</v>
      </c>
      <c r="H707" s="1" t="s">
        <v>1030</v>
      </c>
      <c r="J707" s="1" t="s">
        <v>608</v>
      </c>
      <c r="M707" s="15" t="s">
        <v>615</v>
      </c>
      <c r="N707" s="15"/>
      <c r="O707" s="15"/>
      <c r="P707" s="15" t="str" cm="1">
        <f t="array" ref="P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07" s="15" t="str" cm="1">
        <f t="array" ref="Q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canciones/nsb/ven_si_te_has_caido_levantate.html</v>
      </c>
      <c r="S707" s="1"/>
      <c r="T707" s="1"/>
      <c r="U707" s="1"/>
      <c r="V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Loyola Valladolid" data-momento="Antífonas" data-nnew="D41"&gt;&lt;a href="canciones/nsb/ven_si_te_has_caido_levantate.html"&gt;Ven, si te has caído levántate&lt;/a&gt;&lt;/li&gt;</v>
      </c>
      <c r="W707" s="15" t="str">
        <f>_xlfn.TEXTBEFORE(_xlfn.TEXTAFTER(CantoralDB[[#This Row],[index.html]],"&gt;"),"&gt;")&amp;"&gt;"</f>
        <v>&lt;a href="canciones/nsb/ven_si_te_has_caido_levantate.html"&gt;</v>
      </c>
    </row>
    <row r="708" spans="1:23" x14ac:dyDescent="0.3">
      <c r="A708" s="1">
        <f>ROW(CantoralDB[[#This Row],[Título]])-1</f>
        <v>707</v>
      </c>
      <c r="B708" s="1" t="s">
        <v>535</v>
      </c>
      <c r="C708" s="1" t="s">
        <v>211</v>
      </c>
      <c r="D708" s="1" t="s">
        <v>1477</v>
      </c>
      <c r="G708" s="1" t="s">
        <v>209</v>
      </c>
      <c r="H708" s="1" t="s">
        <v>531</v>
      </c>
      <c r="J708" s="1" t="s">
        <v>608</v>
      </c>
      <c r="M708" s="15" t="s">
        <v>510</v>
      </c>
      <c r="N708" s="15"/>
      <c r="O708" s="15"/>
      <c r="P708" s="15" t="str" cm="1">
        <f t="array" ref="P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708" s="15" t="str" cm="1">
        <f t="array" ref="Q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canciones/nsb/ven_espiritu_divino_(secuencia_de_pentecostes).html</v>
      </c>
      <c r="S708" s="1"/>
      <c r="T708" s="1"/>
      <c r="U708" s="1"/>
      <c r="V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data-author="Grupo Nueva Vida" data-momento="Especiales" data-nnew="P06"&gt;&lt;a href="canciones/nsb/ven_espiritu_divino_(secuencia_de_pentecostes).html"&gt;Ven, Espíritu divino (Secuencia de Pentecostés)&lt;/a&gt;&lt;/li&gt;</v>
      </c>
      <c r="W708" s="15" t="str">
        <f>_xlfn.TEXTBEFORE(_xlfn.TEXTAFTER(CantoralDB[[#This Row],[index.html]],"&gt;"),"&gt;")&amp;"&gt;"</f>
        <v>&lt;a href="canciones/nsb/ven_espiritu_divino_(secuencia_de_pentecostes).html"&gt;</v>
      </c>
    </row>
    <row r="709" spans="1:23" x14ac:dyDescent="0.3">
      <c r="A709" s="1">
        <f>ROW(CantoralDB[[#This Row],[Título]])-1</f>
        <v>708</v>
      </c>
      <c r="B709" s="1" t="s">
        <v>1989</v>
      </c>
      <c r="C709" s="1"/>
      <c r="H709" s="1" t="s">
        <v>1029</v>
      </c>
      <c r="I709" s="1" t="s">
        <v>2962</v>
      </c>
      <c r="J709" s="1" t="s">
        <v>608</v>
      </c>
      <c r="M709" s="15" t="s">
        <v>261</v>
      </c>
      <c r="N709" s="1" t="s">
        <v>1942</v>
      </c>
      <c r="O709" s="15">
        <v>1</v>
      </c>
      <c r="P709" s="15" t="str" cm="1">
        <f t="array" ref="P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09" s="15" t="str" cm="1">
        <f t="array" ref="Q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canciones/hakuna/olor_a_tostadas.html</v>
      </c>
      <c r="S709" s="1"/>
      <c r="T709" s="1"/>
      <c r="U709" s="1"/>
      <c r="V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href="canciones/hakuna/olor_a_tostadas.html"&gt;Olor a tostadas&lt;/a&gt;&lt;/li&gt;</v>
      </c>
      <c r="W709" s="15" t="str">
        <f>_xlfn.TEXTBEFORE(_xlfn.TEXTAFTER(CantoralDB[[#This Row],[index.html]],"&gt;"),"&gt;")&amp;"&gt;"</f>
        <v>&lt;a href="canciones/hakuna/olor_a_tostadas.html"&gt;</v>
      </c>
    </row>
    <row r="710" spans="1:23" x14ac:dyDescent="0.3">
      <c r="A710" s="1">
        <f>ROW(CantoralDB[[#This Row],[Título]])-1</f>
        <v>709</v>
      </c>
      <c r="B710" s="1" t="s">
        <v>1960</v>
      </c>
      <c r="C710" s="1"/>
      <c r="H710" s="1" t="s">
        <v>1030</v>
      </c>
      <c r="J710" s="1" t="s">
        <v>608</v>
      </c>
      <c r="M710" s="15" t="s">
        <v>261</v>
      </c>
      <c r="N710" s="1" t="s">
        <v>1942</v>
      </c>
      <c r="O710" s="15">
        <v>2</v>
      </c>
      <c r="P710" s="15" t="str" cm="1">
        <f t="array" ref="P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10" s="15" t="str" cm="1">
        <f t="array" ref="Q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canciones/hakuna/baila_y_dejate_de_historias.html</v>
      </c>
      <c r="S710" s="1"/>
      <c r="T710" s="1"/>
      <c r="U710" s="1"/>
      <c r="V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href="canciones/hakuna/baila_y_dejate_de_historias.html"&gt;Baila y déjate de historias&lt;/a&gt;&lt;/li&gt;</v>
      </c>
      <c r="W710" s="15" t="str">
        <f>_xlfn.TEXTBEFORE(_xlfn.TEXTAFTER(CantoralDB[[#This Row],[index.html]],"&gt;"),"&gt;")&amp;"&gt;"</f>
        <v>&lt;a href="canciones/hakuna/baila_y_dejate_de_historias.html"&gt;</v>
      </c>
    </row>
    <row r="711" spans="1:23" x14ac:dyDescent="0.3">
      <c r="A711" s="1">
        <f>ROW(CantoralDB[[#This Row],[Título]])-1</f>
        <v>710</v>
      </c>
      <c r="B711" s="1" t="s">
        <v>1952</v>
      </c>
      <c r="C711" s="1"/>
      <c r="H711" s="1" t="s">
        <v>531</v>
      </c>
      <c r="I711" s="1" t="s">
        <v>2962</v>
      </c>
      <c r="J711" s="1" t="s">
        <v>608</v>
      </c>
      <c r="M711" s="15" t="s">
        <v>261</v>
      </c>
      <c r="N711" s="1" t="s">
        <v>1942</v>
      </c>
      <c r="O711" s="15">
        <v>3</v>
      </c>
      <c r="P711" s="15" t="str" cm="1">
        <f t="array" ref="P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11" s="15" t="str" cm="1">
        <f t="array" ref="Q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canciones/hakuna/ojala.html</v>
      </c>
      <c r="S711" s="1"/>
      <c r="T711" s="1"/>
      <c r="U711" s="1"/>
      <c r="V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href="canciones/hakuna/ojala.html"&gt;Ojalá&lt;/a&gt;&lt;/li&gt;</v>
      </c>
      <c r="W711" s="15" t="str">
        <f>_xlfn.TEXTBEFORE(_xlfn.TEXTAFTER(CantoralDB[[#This Row],[index.html]],"&gt;"),"&gt;")&amp;"&gt;"</f>
        <v>&lt;a href="canciones/hakuna/ojala.html"&gt;</v>
      </c>
    </row>
    <row r="712" spans="1:23" x14ac:dyDescent="0.3">
      <c r="A712" s="1">
        <f>ROW(CantoralDB[[#This Row],[Título]])-1</f>
        <v>711</v>
      </c>
      <c r="B712" s="1" t="s">
        <v>1995</v>
      </c>
      <c r="C712" s="1"/>
      <c r="H712" s="1" t="s">
        <v>1029</v>
      </c>
      <c r="J712" s="1" t="s">
        <v>608</v>
      </c>
      <c r="M712" s="15" t="s">
        <v>261</v>
      </c>
      <c r="N712" s="1" t="s">
        <v>1942</v>
      </c>
      <c r="O712" s="15">
        <v>4</v>
      </c>
      <c r="P712" s="15" t="str" cm="1">
        <f t="array" ref="P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12" s="15" t="str" cm="1">
        <f t="array" ref="Q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canciones/hakuna/cuarto_lugar.html</v>
      </c>
      <c r="S712" s="1"/>
      <c r="T712" s="1"/>
      <c r="U712" s="1"/>
      <c r="V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href="canciones/hakuna/cuarto_lugar.html"&gt;Cuarto lugar&lt;/a&gt;&lt;/li&gt;</v>
      </c>
      <c r="W712" s="15" t="str">
        <f>_xlfn.TEXTBEFORE(_xlfn.TEXTAFTER(CantoralDB[[#This Row],[index.html]],"&gt;"),"&gt;")&amp;"&gt;"</f>
        <v>&lt;a href="canciones/hakuna/cuarto_lugar.html"&gt;</v>
      </c>
    </row>
    <row r="713" spans="1:23" x14ac:dyDescent="0.3">
      <c r="A713" s="1">
        <f>ROW(CantoralDB[[#This Row],[Título]])-1</f>
        <v>712</v>
      </c>
      <c r="B713" s="1" t="s">
        <v>1942</v>
      </c>
      <c r="C713" s="1"/>
      <c r="H713" s="1" t="s">
        <v>531</v>
      </c>
      <c r="I713" s="1" t="s">
        <v>2962</v>
      </c>
      <c r="J713" s="1" t="s">
        <v>608</v>
      </c>
      <c r="M713" s="15" t="s">
        <v>261</v>
      </c>
      <c r="N713" s="1" t="s">
        <v>1942</v>
      </c>
      <c r="O713" s="15">
        <v>5</v>
      </c>
      <c r="P713" s="15" t="str" cm="1">
        <f t="array" ref="P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13" s="15" t="str" cm="1">
        <f t="array" ref="Q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canciones/hakuna/capricho.html</v>
      </c>
      <c r="S713" s="1"/>
      <c r="T713" s="1"/>
      <c r="U713" s="1"/>
      <c r="V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href="canciones/hakuna/capricho.html"&gt;Capricho&lt;/a&gt;&lt;/li&gt;</v>
      </c>
      <c r="W713" s="15" t="str">
        <f>_xlfn.TEXTBEFORE(_xlfn.TEXTAFTER(CantoralDB[[#This Row],[index.html]],"&gt;"),"&gt;")&amp;"&gt;"</f>
        <v>&lt;a href="canciones/hakuna/capricho.html"&gt;</v>
      </c>
    </row>
    <row r="714" spans="1:23" x14ac:dyDescent="0.3">
      <c r="A714" s="1">
        <f>ROW(CantoralDB[[#This Row],[Título]])-1</f>
        <v>713</v>
      </c>
      <c r="B714" s="1" t="s">
        <v>1988</v>
      </c>
      <c r="C714" s="1"/>
      <c r="H714" s="1" t="s">
        <v>1027</v>
      </c>
      <c r="I714" s="1" t="s">
        <v>2960</v>
      </c>
      <c r="J714" s="1" t="s">
        <v>608</v>
      </c>
      <c r="M714" s="15" t="s">
        <v>261</v>
      </c>
      <c r="N714" s="1" t="s">
        <v>1942</v>
      </c>
      <c r="O714" s="15">
        <v>6</v>
      </c>
      <c r="P714" s="15" t="str" cm="1">
        <f t="array" ref="P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14" s="15" t="str" cm="1">
        <f t="array" ref="Q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canciones/hakuna/pluma_de_escribano.html</v>
      </c>
      <c r="S714" s="1"/>
      <c r="T714" s="1"/>
      <c r="U714" s="1"/>
      <c r="V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href="canciones/hakuna/pluma_de_escribano.html"&gt;Pluma de escribano&lt;/a&gt;&lt;/li&gt;</v>
      </c>
      <c r="W714" s="15" t="str">
        <f>_xlfn.TEXTBEFORE(_xlfn.TEXTAFTER(CantoralDB[[#This Row],[index.html]],"&gt;"),"&gt;")&amp;"&gt;"</f>
        <v>&lt;a href="canciones/hakuna/pluma_de_escribano.html"&gt;</v>
      </c>
    </row>
    <row r="715" spans="1:23" x14ac:dyDescent="0.3">
      <c r="A715" s="1">
        <f>ROW(CantoralDB[[#This Row],[Título]])-1</f>
        <v>714</v>
      </c>
      <c r="B715" s="1" t="s">
        <v>1987</v>
      </c>
      <c r="C715" s="1"/>
      <c r="H715" s="1" t="s">
        <v>1030</v>
      </c>
      <c r="I715" s="1" t="s">
        <v>2962</v>
      </c>
      <c r="J715" s="1" t="s">
        <v>608</v>
      </c>
      <c r="M715" s="15" t="s">
        <v>261</v>
      </c>
      <c r="N715" s="1" t="s">
        <v>1942</v>
      </c>
      <c r="O715" s="15">
        <v>7</v>
      </c>
      <c r="P715" s="15" t="str" cm="1">
        <f t="array" ref="P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15" s="15" t="str" cm="1">
        <f t="array" ref="Q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canciones/hakuna/nacidos_de_lo_alto.html</v>
      </c>
      <c r="S715" s="1"/>
      <c r="T715" s="1"/>
      <c r="U715" s="1"/>
      <c r="V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href="canciones/hakuna/nacidos_de_lo_alto.html"&gt;Nacidos de lo alto&lt;/a&gt;&lt;/li&gt;</v>
      </c>
      <c r="W715" s="15" t="str">
        <f>_xlfn.TEXTBEFORE(_xlfn.TEXTAFTER(CantoralDB[[#This Row],[index.html]],"&gt;"),"&gt;")&amp;"&gt;"</f>
        <v>&lt;a href="canciones/hakuna/nacidos_de_lo_alto.html"&gt;</v>
      </c>
    </row>
    <row r="716" spans="1:23" x14ac:dyDescent="0.3">
      <c r="A716" s="1">
        <f>ROW(CantoralDB[[#This Row],[Título]])-1</f>
        <v>715</v>
      </c>
      <c r="B716" s="1" t="s">
        <v>1994</v>
      </c>
      <c r="C716" s="1"/>
      <c r="H716" s="1" t="s">
        <v>531</v>
      </c>
      <c r="I716" s="1" t="s">
        <v>2962</v>
      </c>
      <c r="J716" s="1" t="s">
        <v>608</v>
      </c>
      <c r="M716" s="15" t="s">
        <v>261</v>
      </c>
      <c r="N716" s="1" t="s">
        <v>1942</v>
      </c>
      <c r="O716" s="15">
        <v>8</v>
      </c>
      <c r="P716" s="15" t="str" cm="1">
        <f t="array" ref="P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16" s="15" t="str" cm="1">
        <f t="array" ref="Q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canciones/hakuna/por_que_lloras.html</v>
      </c>
      <c r="S716" s="1"/>
      <c r="T716" s="1"/>
      <c r="U716" s="1"/>
      <c r="V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href="canciones/hakuna/por_que_lloras.html"&gt;Por qué lloras&lt;/a&gt;&lt;/li&gt;</v>
      </c>
      <c r="W716" s="15" t="str">
        <f>_xlfn.TEXTBEFORE(_xlfn.TEXTAFTER(CantoralDB[[#This Row],[index.html]],"&gt;"),"&gt;")&amp;"&gt;"</f>
        <v>&lt;a href="canciones/hakuna/por_que_lloras.html"&gt;</v>
      </c>
    </row>
    <row r="717" spans="1:23" x14ac:dyDescent="0.3">
      <c r="A717" s="1">
        <f>ROW(CantoralDB[[#This Row],[Título]])-1</f>
        <v>716</v>
      </c>
      <c r="B717" s="1" t="s">
        <v>1992</v>
      </c>
      <c r="C717" s="1"/>
      <c r="H717" s="1" t="s">
        <v>531</v>
      </c>
      <c r="I717" s="1" t="s">
        <v>2961</v>
      </c>
      <c r="J717" s="1" t="s">
        <v>608</v>
      </c>
      <c r="M717" s="15" t="s">
        <v>261</v>
      </c>
      <c r="N717" s="1" t="s">
        <v>1942</v>
      </c>
      <c r="O717" s="15">
        <v>9</v>
      </c>
      <c r="P717" s="15" t="str" cm="1">
        <f t="array" ref="P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17" s="15" t="str" cm="1">
        <f t="array" ref="Q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canciones/hakuna/entre_anestesias.html</v>
      </c>
      <c r="S717" s="1"/>
      <c r="T717" s="1"/>
      <c r="U717" s="1"/>
      <c r="V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href="canciones/hakuna/entre_anestesias.html"&gt;Entre anestesias&lt;/a&gt;&lt;/li&gt;</v>
      </c>
      <c r="W717" s="15" t="str">
        <f>_xlfn.TEXTBEFORE(_xlfn.TEXTAFTER(CantoralDB[[#This Row],[index.html]],"&gt;"),"&gt;")&amp;"&gt;"</f>
        <v>&lt;a href="canciones/hakuna/entre_anestesias.html"&gt;</v>
      </c>
    </row>
    <row r="718" spans="1:23" x14ac:dyDescent="0.3">
      <c r="A718" s="1">
        <f>ROW(CantoralDB[[#This Row],[Título]])-1</f>
        <v>717</v>
      </c>
      <c r="B718" s="1" t="s">
        <v>1990</v>
      </c>
      <c r="C718" s="1"/>
      <c r="H718" s="1" t="s">
        <v>531</v>
      </c>
      <c r="I718" s="1" t="s">
        <v>2962</v>
      </c>
      <c r="J718" s="1" t="s">
        <v>608</v>
      </c>
      <c r="M718" s="15" t="s">
        <v>261</v>
      </c>
      <c r="N718" s="1" t="s">
        <v>1942</v>
      </c>
      <c r="O718" s="15">
        <v>10</v>
      </c>
      <c r="P718" s="15" t="str" cm="1">
        <f t="array" ref="P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18" s="15" t="str" cm="1">
        <f t="array" ref="Q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canciones/hakuna/dime_padre.html</v>
      </c>
      <c r="S718" s="1"/>
      <c r="T718" s="1"/>
      <c r="U718" s="1"/>
      <c r="V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href="canciones/hakuna/dime_padre.html"&gt;Dime, Padre&lt;/a&gt;&lt;/li&gt;</v>
      </c>
      <c r="W718" s="15" t="str">
        <f>_xlfn.TEXTBEFORE(_xlfn.TEXTAFTER(CantoralDB[[#This Row],[index.html]],"&gt;"),"&gt;")&amp;"&gt;"</f>
        <v>&lt;a href="canciones/hakuna/dime_padre.html"&gt;</v>
      </c>
    </row>
    <row r="719" spans="1:23" x14ac:dyDescent="0.3">
      <c r="A719" s="1">
        <f>ROW(CantoralDB[[#This Row],[Título]])-1</f>
        <v>718</v>
      </c>
      <c r="B719" s="1" t="s">
        <v>1993</v>
      </c>
      <c r="C719" s="1"/>
      <c r="H719" s="1" t="s">
        <v>1029</v>
      </c>
      <c r="I719" s="1" t="s">
        <v>2962</v>
      </c>
      <c r="J719" s="1" t="s">
        <v>608</v>
      </c>
      <c r="M719" s="15" t="s">
        <v>261</v>
      </c>
      <c r="N719" s="1" t="s">
        <v>1942</v>
      </c>
      <c r="O719" s="15">
        <v>11</v>
      </c>
      <c r="P719" s="15" t="str" cm="1">
        <f t="array" ref="P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19" s="15" t="str" cm="1">
        <f t="array" ref="Q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canciones/hakuna/exulte_mi_alma.html</v>
      </c>
      <c r="S719" s="1"/>
      <c r="T719" s="1"/>
      <c r="U719" s="1"/>
      <c r="V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href="canciones/hakuna/exulte_mi_alma.html"&gt;Exulte mi alma&lt;/a&gt;&lt;/li&gt;</v>
      </c>
      <c r="W719" s="15" t="str">
        <f>_xlfn.TEXTBEFORE(_xlfn.TEXTAFTER(CantoralDB[[#This Row],[index.html]],"&gt;"),"&gt;")&amp;"&gt;"</f>
        <v>&lt;a href="canciones/hakuna/exulte_mi_alma.html"&gt;</v>
      </c>
    </row>
    <row r="720" spans="1:23" x14ac:dyDescent="0.3">
      <c r="A720" s="1">
        <f>ROW(CantoralDB[[#This Row],[Título]])-1</f>
        <v>719</v>
      </c>
      <c r="B720" s="1" t="s">
        <v>2003</v>
      </c>
      <c r="C720" s="1"/>
      <c r="H720" s="1" t="s">
        <v>1030</v>
      </c>
      <c r="J720" s="1" t="s">
        <v>608</v>
      </c>
      <c r="M720" s="15" t="s">
        <v>261</v>
      </c>
      <c r="N720" s="1" t="s">
        <v>1996</v>
      </c>
      <c r="O720" s="15">
        <v>1</v>
      </c>
      <c r="P720" s="15" t="str" cm="1">
        <f t="array" ref="P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20" s="15" t="str" cm="1">
        <f t="array" ref="Q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canciones/hakuna/un_sitio.html</v>
      </c>
      <c r="S720" s="1"/>
      <c r="T720" s="1"/>
      <c r="U720" s="1"/>
      <c r="V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href="canciones/hakuna/un_sitio.html"&gt;Un sitio&lt;/a&gt;&lt;/li&gt;</v>
      </c>
      <c r="W720" s="15" t="str">
        <f>_xlfn.TEXTBEFORE(_xlfn.TEXTAFTER(CantoralDB[[#This Row],[index.html]],"&gt;"),"&gt;")&amp;"&gt;"</f>
        <v>&lt;a href="canciones/hakuna/un_sitio.html"&gt;</v>
      </c>
    </row>
    <row r="721" spans="1:23" x14ac:dyDescent="0.3">
      <c r="A721" s="1">
        <f>ROW(CantoralDB[[#This Row],[Título]])-1</f>
        <v>720</v>
      </c>
      <c r="B721" s="1" t="s">
        <v>1996</v>
      </c>
      <c r="C721" s="1"/>
      <c r="H721" s="1" t="s">
        <v>1030</v>
      </c>
      <c r="J721" s="1" t="s">
        <v>608</v>
      </c>
      <c r="M721" s="15" t="s">
        <v>261</v>
      </c>
      <c r="N721" s="1" t="s">
        <v>1996</v>
      </c>
      <c r="O721" s="15">
        <v>2</v>
      </c>
      <c r="P721" s="15" t="str" cm="1">
        <f t="array" ref="P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21" s="15" t="str" cm="1">
        <f t="array" ref="Q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canciones/hakuna/el_arte_de_vivir.html</v>
      </c>
      <c r="S721" s="1"/>
      <c r="T721" s="1"/>
      <c r="U721" s="1"/>
      <c r="V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href="canciones/hakuna/el_arte_de_vivir.html"&gt;El arte de vivir&lt;/a&gt;&lt;/li&gt;</v>
      </c>
      <c r="W721" s="15" t="str">
        <f>_xlfn.TEXTBEFORE(_xlfn.TEXTAFTER(CantoralDB[[#This Row],[index.html]],"&gt;"),"&gt;")&amp;"&gt;"</f>
        <v>&lt;a href="canciones/hakuna/el_arte_de_vivir.html"&gt;</v>
      </c>
    </row>
    <row r="722" spans="1:23" x14ac:dyDescent="0.3">
      <c r="A722" s="1">
        <f>ROW(CantoralDB[[#This Row],[Título]])-1</f>
        <v>721</v>
      </c>
      <c r="B722" s="1" t="s">
        <v>1997</v>
      </c>
      <c r="C722" s="1"/>
      <c r="H722" s="1" t="s">
        <v>531</v>
      </c>
      <c r="I722" s="1" t="s">
        <v>2961</v>
      </c>
      <c r="J722" s="1" t="s">
        <v>608</v>
      </c>
      <c r="M722" s="15" t="s">
        <v>261</v>
      </c>
      <c r="N722" s="1" t="s">
        <v>1996</v>
      </c>
      <c r="O722" s="15">
        <v>3</v>
      </c>
      <c r="P722" s="15" t="str" cm="1">
        <f t="array" ref="P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22" s="15" t="str" cm="1">
        <f t="array" ref="Q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canciones/hakuna/mi_amado.html</v>
      </c>
      <c r="S722" s="1"/>
      <c r="T722" s="1"/>
      <c r="U722" s="1"/>
      <c r="V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href="canciones/hakuna/mi_amado.html"&gt;Mi amado&lt;/a&gt;&lt;/li&gt;</v>
      </c>
      <c r="W722" s="15" t="str">
        <f>_xlfn.TEXTBEFORE(_xlfn.TEXTAFTER(CantoralDB[[#This Row],[index.html]],"&gt;"),"&gt;")&amp;"&gt;"</f>
        <v>&lt;a href="canciones/hakuna/mi_amado.html"&gt;</v>
      </c>
    </row>
    <row r="723" spans="1:23" x14ac:dyDescent="0.3">
      <c r="A723" s="1">
        <f>ROW(CantoralDB[[#This Row],[Título]])-1</f>
        <v>722</v>
      </c>
      <c r="B723" s="1" t="s">
        <v>1999</v>
      </c>
      <c r="C723" s="1"/>
      <c r="H723" s="1" t="s">
        <v>531</v>
      </c>
      <c r="I723" s="1" t="s">
        <v>2963</v>
      </c>
      <c r="J723" s="1" t="s">
        <v>608</v>
      </c>
      <c r="M723" s="15" t="s">
        <v>261</v>
      </c>
      <c r="N723" s="1" t="s">
        <v>1996</v>
      </c>
      <c r="O723" s="15">
        <v>4</v>
      </c>
      <c r="P723" s="15" t="str" cm="1">
        <f t="array" ref="P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23" s="15" t="str" cm="1">
        <f t="array" ref="Q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canciones/hakuna/la_fila.html</v>
      </c>
      <c r="S723" s="1"/>
      <c r="T723" s="1"/>
      <c r="U723" s="1"/>
      <c r="V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href="canciones/hakuna/la_fila.html"&gt;La fila&lt;/a&gt;&lt;/li&gt;</v>
      </c>
      <c r="W723" s="15" t="str">
        <f>_xlfn.TEXTBEFORE(_xlfn.TEXTAFTER(CantoralDB[[#This Row],[index.html]],"&gt;"),"&gt;")&amp;"&gt;"</f>
        <v>&lt;a href="canciones/hakuna/la_fila.html"&gt;</v>
      </c>
    </row>
    <row r="724" spans="1:23" x14ac:dyDescent="0.3">
      <c r="A724" s="1">
        <f>ROW(CantoralDB[[#This Row],[Título]])-1</f>
        <v>723</v>
      </c>
      <c r="B724" s="1" t="s">
        <v>2869</v>
      </c>
      <c r="C724" s="1"/>
      <c r="H724" s="1" t="s">
        <v>1030</v>
      </c>
      <c r="I724" s="1" t="s">
        <v>2964</v>
      </c>
      <c r="J724" s="1" t="s">
        <v>608</v>
      </c>
      <c r="M724" s="15" t="s">
        <v>261</v>
      </c>
      <c r="N724" s="1" t="s">
        <v>1996</v>
      </c>
      <c r="O724" s="15">
        <v>5</v>
      </c>
      <c r="P724" s="15" t="str" cm="1">
        <f t="array" ref="P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24" s="15" t="str" cm="1">
        <f t="array" ref="Q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canciones/hakuna/loco.html</v>
      </c>
      <c r="S724" s="1"/>
      <c r="T724" s="1"/>
      <c r="U724" s="1"/>
      <c r="V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href="canciones/hakuna/loco.html"&gt;Loco&lt;/a&gt;&lt;/li&gt;</v>
      </c>
      <c r="W724" s="15" t="str">
        <f>_xlfn.TEXTBEFORE(_xlfn.TEXTAFTER(CantoralDB[[#This Row],[index.html]],"&gt;"),"&gt;")&amp;"&gt;"</f>
        <v>&lt;a href="canciones/hakuna/loco.html"&gt;</v>
      </c>
    </row>
    <row r="725" spans="1:23" x14ac:dyDescent="0.3">
      <c r="A725" s="1">
        <f>ROW(CantoralDB[[#This Row],[Título]])-1</f>
        <v>724</v>
      </c>
      <c r="B725" s="1" t="s">
        <v>2001</v>
      </c>
      <c r="C725" s="1"/>
      <c r="H725" s="1" t="s">
        <v>531</v>
      </c>
      <c r="I725" s="1" t="s">
        <v>2961</v>
      </c>
      <c r="J725" s="1" t="s">
        <v>608</v>
      </c>
      <c r="M725" s="15" t="s">
        <v>261</v>
      </c>
      <c r="N725" s="1" t="s">
        <v>1996</v>
      </c>
      <c r="O725" s="15">
        <v>6</v>
      </c>
      <c r="P725" s="15" t="str" cm="1">
        <f t="array" ref="P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25" s="15" t="str" cm="1">
        <f t="array" ref="Q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canciones/hakuna/no_te_vas.html</v>
      </c>
      <c r="S725" s="1"/>
      <c r="T725" s="1"/>
      <c r="U725" s="1"/>
      <c r="V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href="canciones/hakuna/no_te_vas.html"&gt;No te vas&lt;/a&gt;&lt;/li&gt;</v>
      </c>
      <c r="W725" s="15" t="str">
        <f>_xlfn.TEXTBEFORE(_xlfn.TEXTAFTER(CantoralDB[[#This Row],[index.html]],"&gt;"),"&gt;")&amp;"&gt;"</f>
        <v>&lt;a href="canciones/hakuna/no_te_vas.html"&gt;</v>
      </c>
    </row>
    <row r="726" spans="1:23" x14ac:dyDescent="0.3">
      <c r="A726" s="1">
        <f>ROW(CantoralDB[[#This Row],[Título]])-1</f>
        <v>725</v>
      </c>
      <c r="B726" s="1" t="s">
        <v>2004</v>
      </c>
      <c r="C726" s="1"/>
      <c r="H726" s="1" t="s">
        <v>531</v>
      </c>
      <c r="J726" s="1" t="s">
        <v>608</v>
      </c>
      <c r="M726" s="15" t="s">
        <v>261</v>
      </c>
      <c r="N726" s="1" t="s">
        <v>1996</v>
      </c>
      <c r="O726" s="15">
        <v>7</v>
      </c>
      <c r="P726" s="15" t="str" cm="1">
        <f t="array" ref="P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26" s="15" t="str" cm="1">
        <f t="array" ref="Q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canciones/hakuna/nada.html</v>
      </c>
      <c r="S726" s="1"/>
      <c r="T726" s="1"/>
      <c r="U726" s="1"/>
      <c r="V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href="canciones/hakuna/nada.html"&gt;Nada&lt;/a&gt;&lt;/li&gt;</v>
      </c>
      <c r="W726" s="15" t="str">
        <f>_xlfn.TEXTBEFORE(_xlfn.TEXTAFTER(CantoralDB[[#This Row],[index.html]],"&gt;"),"&gt;")&amp;"&gt;"</f>
        <v>&lt;a href="canciones/hakuna/nada.html"&gt;</v>
      </c>
    </row>
    <row r="727" spans="1:23" x14ac:dyDescent="0.3">
      <c r="A727" s="1">
        <f>ROW(CantoralDB[[#This Row],[Título]])-1</f>
        <v>726</v>
      </c>
      <c r="B727" s="1" t="s">
        <v>2000</v>
      </c>
      <c r="C727" s="1"/>
      <c r="H727" s="1" t="s">
        <v>531</v>
      </c>
      <c r="I727" s="1" t="s">
        <v>2961</v>
      </c>
      <c r="J727" s="1" t="s">
        <v>608</v>
      </c>
      <c r="M727" s="15" t="s">
        <v>261</v>
      </c>
      <c r="N727" s="1" t="s">
        <v>1996</v>
      </c>
      <c r="O727" s="15">
        <v>8</v>
      </c>
      <c r="P727" s="15" t="str" cm="1">
        <f t="array" ref="P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27" s="15" t="str" cm="1">
        <f t="array" ref="Q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canciones/hakuna/trueno.html</v>
      </c>
      <c r="S727" s="1"/>
      <c r="T727" s="1"/>
      <c r="U727" s="1"/>
      <c r="V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href="canciones/hakuna/trueno.html"&gt;Trueno&lt;/a&gt;&lt;/li&gt;</v>
      </c>
      <c r="W727" s="15" t="str">
        <f>_xlfn.TEXTBEFORE(_xlfn.TEXTAFTER(CantoralDB[[#This Row],[index.html]],"&gt;"),"&gt;")&amp;"&gt;"</f>
        <v>&lt;a href="canciones/hakuna/trueno.html"&gt;</v>
      </c>
    </row>
    <row r="728" spans="1:23" x14ac:dyDescent="0.3">
      <c r="A728" s="1">
        <f>ROW(CantoralDB[[#This Row],[Título]])-1</f>
        <v>727</v>
      </c>
      <c r="B728" s="1" t="s">
        <v>1998</v>
      </c>
      <c r="C728" s="1"/>
      <c r="H728" s="1" t="s">
        <v>1029</v>
      </c>
      <c r="J728" s="1" t="s">
        <v>608</v>
      </c>
      <c r="M728" s="15" t="s">
        <v>261</v>
      </c>
      <c r="N728" s="1" t="s">
        <v>1996</v>
      </c>
      <c r="O728" s="15">
        <v>9</v>
      </c>
      <c r="P728" s="15" t="str" cm="1">
        <f t="array" ref="P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28" s="15" t="str" cm="1">
        <f t="array" ref="Q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canciones/hakuna/el_rey_de_la_gloria.html</v>
      </c>
      <c r="S728" s="1"/>
      <c r="T728" s="1"/>
      <c r="U728" s="1"/>
      <c r="V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href="canciones/hakuna/el_rey_de_la_gloria.html"&gt;El Rey de la Gloria&lt;/a&gt;&lt;/li&gt;</v>
      </c>
      <c r="W728" s="15" t="str">
        <f>_xlfn.TEXTBEFORE(_xlfn.TEXTAFTER(CantoralDB[[#This Row],[index.html]],"&gt;"),"&gt;")&amp;"&gt;"</f>
        <v>&lt;a href="canciones/hakuna/el_rey_de_la_gloria.html"&gt;</v>
      </c>
    </row>
    <row r="729" spans="1:23" x14ac:dyDescent="0.3">
      <c r="A729" s="1">
        <f>ROW(CantoralDB[[#This Row],[Título]])-1</f>
        <v>728</v>
      </c>
      <c r="B729" s="1" t="s">
        <v>1959</v>
      </c>
      <c r="C729" s="1"/>
      <c r="H729" s="1" t="s">
        <v>473</v>
      </c>
      <c r="J729" s="1" t="s">
        <v>608</v>
      </c>
      <c r="M729" s="15" t="s">
        <v>261</v>
      </c>
      <c r="N729" s="1" t="s">
        <v>261</v>
      </c>
      <c r="O729" s="15">
        <v>1</v>
      </c>
      <c r="P729" s="15" t="str" cm="1">
        <f t="array" ref="P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29" s="15" t="str" cm="1">
        <f t="array" ref="Q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canciones/hakuna/al_estar_en_la_presencia.html</v>
      </c>
      <c r="S729" s="1"/>
      <c r="T729" s="1"/>
      <c r="U729" s="1"/>
      <c r="V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href="canciones/hakuna/al_estar_en_la_presencia.html"&gt;Al estar en la presencia&lt;/a&gt;&lt;/li&gt;</v>
      </c>
      <c r="W729" s="15" t="str">
        <f>_xlfn.TEXTBEFORE(_xlfn.TEXTAFTER(CantoralDB[[#This Row],[index.html]],"&gt;"),"&gt;")&amp;"&gt;"</f>
        <v>&lt;a href="canciones/hakuna/al_estar_en_la_presencia.html"&gt;</v>
      </c>
    </row>
    <row r="730" spans="1:23" x14ac:dyDescent="0.3">
      <c r="A730" s="1">
        <f>ROW(CantoralDB[[#This Row],[Título]])-1</f>
        <v>729</v>
      </c>
      <c r="B730" s="1" t="s">
        <v>264</v>
      </c>
      <c r="C730" s="1" t="s">
        <v>191</v>
      </c>
      <c r="D730" s="1" t="s">
        <v>738</v>
      </c>
      <c r="G730" s="1" t="s">
        <v>261</v>
      </c>
      <c r="H730" s="1" t="s">
        <v>1029</v>
      </c>
      <c r="J730" s="1" t="s">
        <v>608</v>
      </c>
      <c r="M730" s="15" t="s">
        <v>261</v>
      </c>
      <c r="N730" s="1" t="s">
        <v>261</v>
      </c>
      <c r="O730" s="15">
        <v>2</v>
      </c>
      <c r="P730" s="15" t="str" cm="1">
        <f t="array" ref="P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30" s="15" t="str" cm="1">
        <f t="array" ref="Q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canciones/hakuna/enciendeme.html</v>
      </c>
      <c r="S730" s="1"/>
      <c r="T730" s="1"/>
      <c r="U730" s="1"/>
      <c r="V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data-momento="Entrada" data-nnew="A18"&gt;&lt;a href="canciones/hakuna/enciendeme.html"&gt;Enciéndeme&lt;/a&gt;&lt;/li&gt;</v>
      </c>
      <c r="W730" s="15" t="str">
        <f>_xlfn.TEXTBEFORE(_xlfn.TEXTAFTER(CantoralDB[[#This Row],[index.html]],"&gt;"),"&gt;")&amp;"&gt;"</f>
        <v>&lt;a href="canciones/hakuna/enciendeme.html"&gt;</v>
      </c>
    </row>
    <row r="731" spans="1:23" x14ac:dyDescent="0.3">
      <c r="A731" s="1">
        <f>ROW(CantoralDB[[#This Row],[Título]])-1</f>
        <v>730</v>
      </c>
      <c r="B731" s="1" t="s">
        <v>260</v>
      </c>
      <c r="C731" s="1" t="s">
        <v>993</v>
      </c>
      <c r="D731" s="1" t="s">
        <v>1009</v>
      </c>
      <c r="G731" s="1" t="s">
        <v>261</v>
      </c>
      <c r="H731" s="1" t="s">
        <v>1027</v>
      </c>
      <c r="I731" s="1" t="s">
        <v>2959</v>
      </c>
      <c r="J731" s="1" t="s">
        <v>608</v>
      </c>
      <c r="M731" s="15" t="s">
        <v>261</v>
      </c>
      <c r="N731" s="1" t="s">
        <v>261</v>
      </c>
      <c r="O731" s="15">
        <v>3</v>
      </c>
      <c r="P731" s="15" t="str" cm="1">
        <f t="array" ref="P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31" s="15" t="str" cm="1">
        <f t="array" ref="Q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canciones/hakuna/tomad_comed.html</v>
      </c>
      <c r="S731" s="1" t="s">
        <v>864</v>
      </c>
      <c r="T731" s="1"/>
      <c r="U731" s="1"/>
      <c r="V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data-momento="Comunión" data-nnew="K72"&gt;&lt;a href="canciones/hakuna/tomad_comed.html"&gt;Tomad, comed&lt;/a&gt;&lt;/li&gt;</v>
      </c>
      <c r="W731" s="15" t="str">
        <f>_xlfn.TEXTBEFORE(_xlfn.TEXTAFTER(CantoralDB[[#This Row],[index.html]],"&gt;"),"&gt;")&amp;"&gt;"</f>
        <v>&lt;a href="canciones/hakuna/tomad_comed.html"&gt;</v>
      </c>
    </row>
    <row r="732" spans="1:23" x14ac:dyDescent="0.3">
      <c r="A732" s="1">
        <f>ROW(CantoralDB[[#This Row],[Título]])-1</f>
        <v>731</v>
      </c>
      <c r="B732" s="1" t="s">
        <v>1946</v>
      </c>
      <c r="C732" s="1"/>
      <c r="H732" s="1" t="s">
        <v>473</v>
      </c>
      <c r="I732" s="1" t="s">
        <v>2962</v>
      </c>
      <c r="J732" s="1" t="s">
        <v>608</v>
      </c>
      <c r="M732" s="15" t="s">
        <v>261</v>
      </c>
      <c r="N732" s="1" t="s">
        <v>261</v>
      </c>
      <c r="O732" s="15">
        <v>4</v>
      </c>
      <c r="P732" s="15" t="str" cm="1">
        <f t="array" ref="P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32" s="15" t="str" cm="1">
        <f t="array" ref="Q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canciones/hakuna/deseo.html</v>
      </c>
      <c r="S732" s="1"/>
      <c r="T732" s="1"/>
      <c r="U732" s="1"/>
      <c r="V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href="canciones/hakuna/deseo.html"&gt;Deseo&lt;/a&gt;&lt;/li&gt;</v>
      </c>
      <c r="W732" s="15" t="str">
        <f>_xlfn.TEXTBEFORE(_xlfn.TEXTAFTER(CantoralDB[[#This Row],[index.html]],"&gt;"),"&gt;")&amp;"&gt;"</f>
        <v>&lt;a href="canciones/hakuna/deseo.html"&gt;</v>
      </c>
    </row>
    <row r="733" spans="1:23" x14ac:dyDescent="0.3">
      <c r="A733" s="1">
        <f>ROW(CantoralDB[[#This Row],[Título]])-1</f>
        <v>732</v>
      </c>
      <c r="B733" s="1" t="s">
        <v>1961</v>
      </c>
      <c r="C733" s="1"/>
      <c r="H733" s="1" t="s">
        <v>1029</v>
      </c>
      <c r="J733" s="1" t="s">
        <v>608</v>
      </c>
      <c r="M733" s="15" t="s">
        <v>261</v>
      </c>
      <c r="N733" s="1" t="s">
        <v>261</v>
      </c>
      <c r="O733" s="15">
        <v>5</v>
      </c>
      <c r="P733" s="15" t="str" cm="1">
        <f t="array" ref="P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33" s="15" t="str" cm="1">
        <f t="array" ref="Q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canciones/hakuna/bien_amado_señor.html</v>
      </c>
      <c r="S733" s="1"/>
      <c r="T733" s="1"/>
      <c r="U733" s="1"/>
      <c r="V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href="canciones/hakuna/bien_amado_señor.html"&gt;Bien amado Señor&lt;/a&gt;&lt;/li&gt;</v>
      </c>
      <c r="W733" s="15" t="str">
        <f>_xlfn.TEXTBEFORE(_xlfn.TEXTAFTER(CantoralDB[[#This Row],[index.html]],"&gt;"),"&gt;")&amp;"&gt;"</f>
        <v>&lt;a href="canciones/hakuna/bien_amado_señor.html"&gt;</v>
      </c>
    </row>
    <row r="734" spans="1:23" x14ac:dyDescent="0.3">
      <c r="A734" s="1">
        <f>ROW(CantoralDB[[#This Row],[Título]])-1</f>
        <v>733</v>
      </c>
      <c r="B734" s="1" t="s">
        <v>1962</v>
      </c>
      <c r="C734" s="1"/>
      <c r="H734" s="1" t="s">
        <v>531</v>
      </c>
      <c r="I734" s="1" t="s">
        <v>2959</v>
      </c>
      <c r="J734" s="1" t="s">
        <v>608</v>
      </c>
      <c r="M734" s="15" t="s">
        <v>261</v>
      </c>
      <c r="N734" s="1" t="s">
        <v>261</v>
      </c>
      <c r="O734" s="15">
        <v>6</v>
      </c>
      <c r="P734" s="15" t="str" cm="1">
        <f t="array" ref="P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34" s="15" t="str" cm="1">
        <f t="array" ref="Q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canciones/hakuna/que_bien_se_esta_cuando_se_esta_bien.html</v>
      </c>
      <c r="S734" s="1"/>
      <c r="T734" s="1"/>
      <c r="U734" s="1"/>
      <c r="V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href="canciones/hakuna/que_bien_se_esta_cuando_se_esta_bien.html"&gt;Qué bien se está cuando se está bien&lt;/a&gt;&lt;/li&gt;</v>
      </c>
      <c r="W734" s="15" t="str">
        <f>_xlfn.TEXTBEFORE(_xlfn.TEXTAFTER(CantoralDB[[#This Row],[index.html]],"&gt;"),"&gt;")&amp;"&gt;"</f>
        <v>&lt;a href="canciones/hakuna/que_bien_se_esta_cuando_se_esta_bien.html"&gt;</v>
      </c>
    </row>
    <row r="735" spans="1:23" x14ac:dyDescent="0.3">
      <c r="A735" s="1">
        <f>ROW(CantoralDB[[#This Row],[Título]])-1</f>
        <v>734</v>
      </c>
      <c r="B735" s="1" t="s">
        <v>1949</v>
      </c>
      <c r="C735" s="1"/>
      <c r="H735" s="1" t="s">
        <v>1029</v>
      </c>
      <c r="J735" s="1" t="s">
        <v>608</v>
      </c>
      <c r="M735" s="15" t="s">
        <v>261</v>
      </c>
      <c r="N735" s="1" t="s">
        <v>261</v>
      </c>
      <c r="O735" s="15">
        <v>7</v>
      </c>
      <c r="P735" s="15" t="str" cm="1">
        <f t="array" ref="P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35" s="15" t="str" cm="1">
        <f t="array" ref="Q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canciones/hakuna/libertad.html</v>
      </c>
      <c r="S735" s="1"/>
      <c r="T735" s="1"/>
      <c r="U735" s="1"/>
      <c r="V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href="canciones/hakuna/libertad.html"&gt;Libertad&lt;/a&gt;&lt;/li&gt;</v>
      </c>
      <c r="W735" s="15" t="str">
        <f>_xlfn.TEXTBEFORE(_xlfn.TEXTAFTER(CantoralDB[[#This Row],[index.html]],"&gt;"),"&gt;")&amp;"&gt;"</f>
        <v>&lt;a href="canciones/hakuna/libertad.html"&gt;</v>
      </c>
    </row>
    <row r="736" spans="1:23" x14ac:dyDescent="0.3">
      <c r="A736" s="1">
        <f>ROW(CantoralDB[[#This Row],[Título]])-1</f>
        <v>735</v>
      </c>
      <c r="B736" s="1" t="s">
        <v>1963</v>
      </c>
      <c r="C736" s="1"/>
      <c r="H736" s="1" t="s">
        <v>1030</v>
      </c>
      <c r="I736" s="1" t="s">
        <v>2962</v>
      </c>
      <c r="J736" s="1" t="s">
        <v>608</v>
      </c>
      <c r="M736" s="15" t="s">
        <v>261</v>
      </c>
      <c r="N736" s="1" t="s">
        <v>261</v>
      </c>
      <c r="O736" s="15">
        <v>8</v>
      </c>
      <c r="P736" s="15" t="str" cm="1">
        <f t="array" ref="P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36" s="15" t="str" cm="1">
        <f t="array" ref="Q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canciones/hakuna/tan_cerca.html</v>
      </c>
      <c r="S736" s="1"/>
      <c r="T736" s="1"/>
      <c r="U736" s="1"/>
      <c r="V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href="canciones/hakuna/tan_cerca.html"&gt;Tan cerca&lt;/a&gt;&lt;/li&gt;</v>
      </c>
      <c r="W736" s="15" t="str">
        <f>_xlfn.TEXTBEFORE(_xlfn.TEXTAFTER(CantoralDB[[#This Row],[index.html]],"&gt;"),"&gt;")&amp;"&gt;"</f>
        <v>&lt;a href="canciones/hakuna/tan_cerca.html"&gt;</v>
      </c>
    </row>
    <row r="737" spans="1:23" x14ac:dyDescent="0.3">
      <c r="A737" s="1">
        <f>ROW(CantoralDB[[#This Row],[Título]])-1</f>
        <v>736</v>
      </c>
      <c r="B737" s="1" t="s">
        <v>1964</v>
      </c>
      <c r="C737" s="1"/>
      <c r="H737" s="1" t="s">
        <v>473</v>
      </c>
      <c r="J737" s="1" t="s">
        <v>608</v>
      </c>
      <c r="M737" s="15" t="s">
        <v>261</v>
      </c>
      <c r="N737" s="1" t="s">
        <v>261</v>
      </c>
      <c r="O737" s="15">
        <v>9</v>
      </c>
      <c r="P737" s="15" t="str" cm="1">
        <f t="array" ref="P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37" s="15" t="str" cm="1">
        <f t="array" ref="Q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canciones/hakuna/hoy_te_dejo.html</v>
      </c>
      <c r="S737" s="1"/>
      <c r="T737" s="1"/>
      <c r="U737" s="1"/>
      <c r="V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href="canciones/hakuna/hoy_te_dejo.html"&gt;Hoy te dejo&lt;/a&gt;&lt;/li&gt;</v>
      </c>
      <c r="W737" s="15" t="str">
        <f>_xlfn.TEXTBEFORE(_xlfn.TEXTAFTER(CantoralDB[[#This Row],[index.html]],"&gt;"),"&gt;")&amp;"&gt;"</f>
        <v>&lt;a href="canciones/hakuna/hoy_te_dejo.html"&gt;</v>
      </c>
    </row>
    <row r="738" spans="1:23" x14ac:dyDescent="0.3">
      <c r="A738" s="1">
        <f>ROW(CantoralDB[[#This Row],[Título]])-1</f>
        <v>737</v>
      </c>
      <c r="B738" s="1" t="s">
        <v>1965</v>
      </c>
      <c r="C738" s="1"/>
      <c r="H738" s="1" t="s">
        <v>1030</v>
      </c>
      <c r="J738" s="1" t="s">
        <v>608</v>
      </c>
      <c r="M738" s="15" t="s">
        <v>261</v>
      </c>
      <c r="N738" s="1" t="s">
        <v>261</v>
      </c>
      <c r="O738" s="15">
        <v>10</v>
      </c>
      <c r="P738" s="15" t="str" cm="1">
        <f t="array" ref="P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38" s="15" t="str" cm="1">
        <f t="array" ref="Q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canciones/hakuna/pasion_de_dios.html</v>
      </c>
      <c r="S738" s="1"/>
      <c r="T738" s="1"/>
      <c r="U738" s="1"/>
      <c r="V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href="canciones/hakuna/pasion_de_dios.html"&gt;Pasión de Dios&lt;/a&gt;&lt;/li&gt;</v>
      </c>
      <c r="W738" s="15" t="str">
        <f>_xlfn.TEXTBEFORE(_xlfn.TEXTAFTER(CantoralDB[[#This Row],[index.html]],"&gt;"),"&gt;")&amp;"&gt;"</f>
        <v>&lt;a href="canciones/hakuna/pasion_de_dios.html"&gt;</v>
      </c>
    </row>
    <row r="739" spans="1:23" x14ac:dyDescent="0.3">
      <c r="A739" s="1">
        <f>ROW(CantoralDB[[#This Row],[Título]])-1</f>
        <v>738</v>
      </c>
      <c r="B739" s="1" t="s">
        <v>1221</v>
      </c>
      <c r="C739" s="1"/>
      <c r="H739" s="1" t="s">
        <v>531</v>
      </c>
      <c r="J739" s="1" t="s">
        <v>608</v>
      </c>
      <c r="M739" s="15" t="s">
        <v>261</v>
      </c>
      <c r="N739" s="1" t="s">
        <v>261</v>
      </c>
      <c r="O739" s="15">
        <v>12</v>
      </c>
      <c r="P739" s="15" t="str" cm="1">
        <f t="array" ref="P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39" s="15" t="str" cm="1">
        <f t="array" ref="Q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canciones/hakuna/bendita_sea_tu_pureza.html</v>
      </c>
      <c r="S739" s="1"/>
      <c r="T739" s="1"/>
      <c r="U739" s="1"/>
      <c r="V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href="canciones/hakuna/bendita_sea_tu_pureza.html"&gt;Bendita sea tu pureza&lt;/a&gt;&lt;/li&gt;</v>
      </c>
      <c r="W739" s="15" t="str">
        <f>_xlfn.TEXTBEFORE(_xlfn.TEXTAFTER(CantoralDB[[#This Row],[index.html]],"&gt;"),"&gt;")&amp;"&gt;"</f>
        <v>&lt;a href="canciones/hakuna/bendita_sea_tu_pureza.html"&gt;</v>
      </c>
    </row>
    <row r="740" spans="1:23" x14ac:dyDescent="0.3">
      <c r="A740" s="1">
        <f>ROW(CantoralDB[[#This Row],[Título]])-1</f>
        <v>739</v>
      </c>
      <c r="B740" s="1" t="s">
        <v>1966</v>
      </c>
      <c r="C740" s="1"/>
      <c r="H740" s="1" t="s">
        <v>531</v>
      </c>
      <c r="J740" s="1" t="s">
        <v>608</v>
      </c>
      <c r="M740" s="15" t="s">
        <v>261</v>
      </c>
      <c r="N740" s="1" t="s">
        <v>1973</v>
      </c>
      <c r="O740" s="15">
        <v>1</v>
      </c>
      <c r="P740" s="15" t="str" cm="1">
        <f t="array" ref="P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40" s="15" t="str" cm="1">
        <f t="array" ref="Q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canciones/hakuna/tu_misericordia.html</v>
      </c>
      <c r="S740" s="1"/>
      <c r="T740" s="1"/>
      <c r="U740" s="1"/>
      <c r="V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href="canciones/hakuna/tu_misericordia.html"&gt;Tu misericordia&lt;/a&gt;&lt;/li&gt;</v>
      </c>
      <c r="W740" s="15" t="str">
        <f>_xlfn.TEXTBEFORE(_xlfn.TEXTAFTER(CantoralDB[[#This Row],[index.html]],"&gt;"),"&gt;")&amp;"&gt;"</f>
        <v>&lt;a href="canciones/hakuna/tu_misericordia.html"&gt;</v>
      </c>
    </row>
    <row r="741" spans="1:23" x14ac:dyDescent="0.3">
      <c r="A741" s="1">
        <f>ROW(CantoralDB[[#This Row],[Título]])-1</f>
        <v>740</v>
      </c>
      <c r="B741" s="1" t="s">
        <v>1968</v>
      </c>
      <c r="C741" s="1"/>
      <c r="H741" s="1" t="s">
        <v>1029</v>
      </c>
      <c r="I741" s="1" t="s">
        <v>2962</v>
      </c>
      <c r="J741" s="1" t="s">
        <v>608</v>
      </c>
      <c r="M741" s="15" t="s">
        <v>261</v>
      </c>
      <c r="N741" s="1" t="s">
        <v>1973</v>
      </c>
      <c r="O741" s="15">
        <v>2</v>
      </c>
      <c r="P741" s="15" t="str" cm="1">
        <f t="array" ref="P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41" s="15" t="str" cm="1">
        <f t="array" ref="Q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canciones/hakuna/quiero_cenar_contigo.html</v>
      </c>
      <c r="S741" s="1"/>
      <c r="T741" s="1"/>
      <c r="U741" s="1"/>
      <c r="V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href="canciones/hakuna/quiero_cenar_contigo.html"&gt;Quiero cenar contigo&lt;/a&gt;&lt;/li&gt;</v>
      </c>
      <c r="W741" s="15" t="str">
        <f>_xlfn.TEXTBEFORE(_xlfn.TEXTAFTER(CantoralDB[[#This Row],[index.html]],"&gt;"),"&gt;")&amp;"&gt;"</f>
        <v>&lt;a href="canciones/hakuna/quiero_cenar_contigo.html"&gt;</v>
      </c>
    </row>
    <row r="742" spans="1:23" x14ac:dyDescent="0.3">
      <c r="A742" s="1">
        <f>ROW(CantoralDB[[#This Row],[Título]])-1</f>
        <v>741</v>
      </c>
      <c r="B742" s="1" t="s">
        <v>1969</v>
      </c>
      <c r="C742" s="1"/>
      <c r="H742" s="1" t="s">
        <v>1030</v>
      </c>
      <c r="I742" s="1" t="s">
        <v>2961</v>
      </c>
      <c r="J742" s="1" t="s">
        <v>608</v>
      </c>
      <c r="M742" s="15" t="s">
        <v>261</v>
      </c>
      <c r="N742" s="1" t="s">
        <v>1973</v>
      </c>
      <c r="O742" s="15">
        <v>3</v>
      </c>
      <c r="P742" s="15" t="str" cm="1">
        <f t="array" ref="P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42" s="15" t="str" cm="1">
        <f t="array" ref="Q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canciones/hakuna/un_paso_mas.html</v>
      </c>
      <c r="S742" s="1"/>
      <c r="T742" s="1"/>
      <c r="U742" s="1"/>
      <c r="V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href="canciones/hakuna/un_paso_mas.html"&gt;Un paso más&lt;/a&gt;&lt;/li&gt;</v>
      </c>
      <c r="W742" s="15" t="str">
        <f>_xlfn.TEXTBEFORE(_xlfn.TEXTAFTER(CantoralDB[[#This Row],[index.html]],"&gt;"),"&gt;")&amp;"&gt;"</f>
        <v>&lt;a href="canciones/hakuna/un_paso_mas.html"&gt;</v>
      </c>
    </row>
    <row r="743" spans="1:23" x14ac:dyDescent="0.3">
      <c r="A743" s="1">
        <f>ROW(CantoralDB[[#This Row],[Título]])-1</f>
        <v>742</v>
      </c>
      <c r="B743" s="1" t="s">
        <v>2007</v>
      </c>
      <c r="C743" s="1"/>
      <c r="H743" s="1" t="s">
        <v>1029</v>
      </c>
      <c r="I743" s="1" t="s">
        <v>2962</v>
      </c>
      <c r="J743" s="1" t="s">
        <v>608</v>
      </c>
      <c r="M743" s="15" t="s">
        <v>261</v>
      </c>
      <c r="N743" s="1" t="s">
        <v>1973</v>
      </c>
      <c r="O743" s="15">
        <v>4</v>
      </c>
      <c r="P743" s="15" t="str" cm="1">
        <f t="array" ref="P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43" s="15" t="str" cm="1">
        <f t="array" ref="Q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canciones/hakuna/cuatro_vientos.html</v>
      </c>
      <c r="S743" s="1"/>
      <c r="T743" s="1"/>
      <c r="U743" s="1"/>
      <c r="V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href="canciones/hakuna/cuatro_vientos.html"&gt;Cuatro vientos&lt;/a&gt;&lt;/li&gt;</v>
      </c>
      <c r="W743" s="15" t="str">
        <f>_xlfn.TEXTBEFORE(_xlfn.TEXTAFTER(CantoralDB[[#This Row],[index.html]],"&gt;"),"&gt;")&amp;"&gt;"</f>
        <v>&lt;a href="canciones/hakuna/cuatro_vientos.html"&gt;</v>
      </c>
    </row>
    <row r="744" spans="1:23" x14ac:dyDescent="0.3">
      <c r="A744" s="1">
        <f>ROW(CantoralDB[[#This Row],[Título]])-1</f>
        <v>743</v>
      </c>
      <c r="B744" s="1" t="s">
        <v>1970</v>
      </c>
      <c r="C744" s="1"/>
      <c r="H744" s="1" t="s">
        <v>531</v>
      </c>
      <c r="I744" s="1" t="s">
        <v>2959</v>
      </c>
      <c r="J744" s="1" t="s">
        <v>608</v>
      </c>
      <c r="M744" s="15" t="s">
        <v>261</v>
      </c>
      <c r="N744" s="1" t="s">
        <v>1973</v>
      </c>
      <c r="O744" s="15">
        <v>5</v>
      </c>
      <c r="P744" s="15" t="str" cm="1">
        <f t="array" ref="P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44" s="15" t="str" cm="1">
        <f t="array" ref="Q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canciones/hakuna/siempre_imagine.html</v>
      </c>
      <c r="S744" s="1"/>
      <c r="T744" s="1"/>
      <c r="U744" s="1"/>
      <c r="V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href="canciones/hakuna/siempre_imagine.html"&gt;Siempre imaginé&lt;/a&gt;&lt;/li&gt;</v>
      </c>
      <c r="W744" s="15" t="str">
        <f>_xlfn.TEXTBEFORE(_xlfn.TEXTAFTER(CantoralDB[[#This Row],[index.html]],"&gt;"),"&gt;")&amp;"&gt;"</f>
        <v>&lt;a href="canciones/hakuna/siempre_imagine.html"&gt;</v>
      </c>
    </row>
    <row r="745" spans="1:23" x14ac:dyDescent="0.3">
      <c r="A745" s="1">
        <f>ROW(CantoralDB[[#This Row],[Título]])-1</f>
        <v>744</v>
      </c>
      <c r="B745" s="1" t="s">
        <v>1967</v>
      </c>
      <c r="C745" s="1"/>
      <c r="H745" s="1" t="s">
        <v>531</v>
      </c>
      <c r="I745" s="1" t="s">
        <v>2963</v>
      </c>
      <c r="J745" s="1" t="s">
        <v>608</v>
      </c>
      <c r="M745" s="15" t="s">
        <v>261</v>
      </c>
      <c r="N745" s="1" t="s">
        <v>1973</v>
      </c>
      <c r="O745" s="15">
        <v>6</v>
      </c>
      <c r="P745" s="15" t="str" cm="1">
        <f t="array" ref="P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45" s="15" t="str" cm="1">
        <f t="array" ref="Q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canciones/hakuna/que_no_se_pierda_ninguno.html</v>
      </c>
      <c r="S745" s="1"/>
      <c r="T745" s="1"/>
      <c r="U745" s="1"/>
      <c r="V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href="canciones/hakuna/que_no_se_pierda_ninguno.html"&gt;Que no se pierda ninguno&lt;/a&gt;&lt;/li&gt;</v>
      </c>
      <c r="W745" s="15" t="str">
        <f>_xlfn.TEXTBEFORE(_xlfn.TEXTAFTER(CantoralDB[[#This Row],[index.html]],"&gt;"),"&gt;")&amp;"&gt;"</f>
        <v>&lt;a href="canciones/hakuna/que_no_se_pierda_ninguno.html"&gt;</v>
      </c>
    </row>
    <row r="746" spans="1:23" x14ac:dyDescent="0.3">
      <c r="A746" s="1">
        <f>ROW(CantoralDB[[#This Row],[Título]])-1</f>
        <v>745</v>
      </c>
      <c r="B746" s="1" t="s">
        <v>1971</v>
      </c>
      <c r="C746" s="1"/>
      <c r="H746" s="1" t="s">
        <v>531</v>
      </c>
      <c r="I746" s="1" t="s">
        <v>2961</v>
      </c>
      <c r="J746" s="1" t="s">
        <v>608</v>
      </c>
      <c r="M746" s="15" t="s">
        <v>261</v>
      </c>
      <c r="N746" s="1" t="s">
        <v>1973</v>
      </c>
      <c r="O746" s="15">
        <v>7</v>
      </c>
      <c r="P746" s="15" t="str" cm="1">
        <f t="array" ref="P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46" s="15" t="str" cm="1">
        <f t="array" ref="Q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canciones/hakuna/nombre_sobre_todo_nombre.html</v>
      </c>
      <c r="S746" s="1"/>
      <c r="T746" s="1"/>
      <c r="U746" s="1"/>
      <c r="V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href="canciones/hakuna/nombre_sobre_todo_nombre.html"&gt;Nombre sobre todo nombre&lt;/a&gt;&lt;/li&gt;</v>
      </c>
      <c r="W746" s="15" t="str">
        <f>_xlfn.TEXTBEFORE(_xlfn.TEXTAFTER(CantoralDB[[#This Row],[index.html]],"&gt;"),"&gt;")&amp;"&gt;"</f>
        <v>&lt;a href="canciones/hakuna/nombre_sobre_todo_nombre.html"&gt;</v>
      </c>
    </row>
    <row r="747" spans="1:23" x14ac:dyDescent="0.3">
      <c r="A747" s="1">
        <f>ROW(CantoralDB[[#This Row],[Título]])-1</f>
        <v>746</v>
      </c>
      <c r="B747" s="1" t="s">
        <v>1972</v>
      </c>
      <c r="C747" s="1"/>
      <c r="H747" s="1" t="s">
        <v>1030</v>
      </c>
      <c r="I747" s="1" t="s">
        <v>2962</v>
      </c>
      <c r="J747" s="1" t="s">
        <v>608</v>
      </c>
      <c r="M747" s="15" t="s">
        <v>261</v>
      </c>
      <c r="N747" s="1" t="s">
        <v>1973</v>
      </c>
      <c r="O747" s="15">
        <v>8</v>
      </c>
      <c r="P747" s="15" t="str" cm="1">
        <f t="array" ref="P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47" s="15" t="str" cm="1">
        <f t="array" ref="Q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canciones/hakuna/tu_rostro.html</v>
      </c>
      <c r="S747" s="1"/>
      <c r="T747" s="1"/>
      <c r="U747" s="1"/>
      <c r="V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href="canciones/hakuna/tu_rostro.html"&gt;Tu rostro&lt;/a&gt;&lt;/li&gt;</v>
      </c>
      <c r="W747" s="15" t="str">
        <f>_xlfn.TEXTBEFORE(_xlfn.TEXTAFTER(CantoralDB[[#This Row],[index.html]],"&gt;"),"&gt;")&amp;"&gt;"</f>
        <v>&lt;a href="canciones/hakuna/tu_rostro.html"&gt;</v>
      </c>
    </row>
    <row r="748" spans="1:23" x14ac:dyDescent="0.3">
      <c r="A748" s="1">
        <f>ROW(CantoralDB[[#This Row],[Título]])-1</f>
        <v>747</v>
      </c>
      <c r="B748" s="1" t="s">
        <v>1957</v>
      </c>
      <c r="C748" s="1"/>
      <c r="H748" s="1" t="s">
        <v>1029</v>
      </c>
      <c r="J748" s="1" t="s">
        <v>608</v>
      </c>
      <c r="M748" s="15" t="s">
        <v>261</v>
      </c>
      <c r="N748" s="1" t="s">
        <v>1973</v>
      </c>
      <c r="O748" s="15">
        <v>9</v>
      </c>
      <c r="P748" s="15" t="str" cm="1">
        <f t="array" ref="P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48" s="15" t="str" cm="1">
        <f t="array" ref="Q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canciones/hakuna/tonto.html</v>
      </c>
      <c r="S748" s="1"/>
      <c r="T748" s="1"/>
      <c r="U748" s="1"/>
      <c r="V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href="canciones/hakuna/tonto.html"&gt;Tonto&lt;/a&gt;&lt;/li&gt;</v>
      </c>
      <c r="W748" s="15" t="str">
        <f>_xlfn.TEXTBEFORE(_xlfn.TEXTAFTER(CantoralDB[[#This Row],[index.html]],"&gt;"),"&gt;")&amp;"&gt;"</f>
        <v>&lt;a href="canciones/hakuna/tonto.html"&gt;</v>
      </c>
    </row>
    <row r="749" spans="1:23" x14ac:dyDescent="0.3">
      <c r="A749" s="1">
        <f>ROW(CantoralDB[[#This Row],[Título]])-1</f>
        <v>748</v>
      </c>
      <c r="B749" s="1" t="s">
        <v>1973</v>
      </c>
      <c r="C749" s="1"/>
      <c r="H749" s="1" t="s">
        <v>531</v>
      </c>
      <c r="I749" s="1" t="s">
        <v>2960</v>
      </c>
      <c r="J749" s="1" t="s">
        <v>608</v>
      </c>
      <c r="M749" s="15" t="s">
        <v>261</v>
      </c>
      <c r="N749" s="1" t="s">
        <v>1973</v>
      </c>
      <c r="O749" s="15">
        <v>10</v>
      </c>
      <c r="P749" s="15" t="str" cm="1">
        <f t="array" ref="P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49" s="15" t="str" cm="1">
        <f t="array" ref="Q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canciones/hakuna/mi_pobre_loco.html</v>
      </c>
      <c r="S749" s="1"/>
      <c r="T749" s="1"/>
      <c r="U749" s="1"/>
      <c r="V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href="canciones/hakuna/mi_pobre_loco.html"&gt;Mi pobre loco&lt;/a&gt;&lt;/li&gt;</v>
      </c>
      <c r="W749" s="15" t="str">
        <f>_xlfn.TEXTBEFORE(_xlfn.TEXTAFTER(CantoralDB[[#This Row],[index.html]],"&gt;"),"&gt;")&amp;"&gt;"</f>
        <v>&lt;a href="canciones/hakuna/mi_pobre_loco.html"&gt;</v>
      </c>
    </row>
    <row r="750" spans="1:23" x14ac:dyDescent="0.3">
      <c r="A750" s="1">
        <f>ROW(CantoralDB[[#This Row],[Título]])-1</f>
        <v>749</v>
      </c>
      <c r="B750" s="1" t="s">
        <v>1954</v>
      </c>
      <c r="C750" s="1"/>
      <c r="H750" s="1" t="s">
        <v>473</v>
      </c>
      <c r="J750" s="1" t="s">
        <v>608</v>
      </c>
      <c r="M750" s="15" t="s">
        <v>261</v>
      </c>
      <c r="N750" s="1" t="s">
        <v>1973</v>
      </c>
      <c r="O750" s="15">
        <v>11</v>
      </c>
      <c r="P750" s="15" t="str" cm="1">
        <f t="array" ref="P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50" s="15" t="str" cm="1">
        <f t="array" ref="Q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canciones/hakuna/revolucion.html</v>
      </c>
      <c r="S750" s="1"/>
      <c r="T750" s="1"/>
      <c r="U750" s="1"/>
      <c r="V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href="canciones/hakuna/revolucion.html"&gt;Revolución&lt;/a&gt;&lt;/li&gt;</v>
      </c>
      <c r="W750" s="15" t="str">
        <f>_xlfn.TEXTBEFORE(_xlfn.TEXTAFTER(CantoralDB[[#This Row],[index.html]],"&gt;"),"&gt;")&amp;"&gt;"</f>
        <v>&lt;a href="canciones/hakuna/revolucion.html"&gt;</v>
      </c>
    </row>
    <row r="751" spans="1:23" x14ac:dyDescent="0.3">
      <c r="A751" s="1">
        <f>ROW(CantoralDB[[#This Row],[Título]])-1</f>
        <v>750</v>
      </c>
      <c r="B751" s="1" t="s">
        <v>1948</v>
      </c>
      <c r="C751" s="1"/>
      <c r="H751" s="1" t="s">
        <v>1029</v>
      </c>
      <c r="J751" s="1" t="s">
        <v>608</v>
      </c>
      <c r="M751" s="15" t="s">
        <v>261</v>
      </c>
      <c r="N751" s="1" t="s">
        <v>1973</v>
      </c>
      <c r="O751" s="15">
        <v>12</v>
      </c>
      <c r="P751" s="15" t="str" cm="1">
        <f t="array" ref="P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51" s="15" t="str" cm="1">
        <f t="array" ref="Q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canciones/hakuna/imprescindible.html</v>
      </c>
      <c r="S751" s="1"/>
      <c r="T751" s="1"/>
      <c r="U751" s="1"/>
      <c r="V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href="canciones/hakuna/imprescindible.html"&gt;Imprescindible&lt;/a&gt;&lt;/li&gt;</v>
      </c>
      <c r="W751" s="15" t="str">
        <f>_xlfn.TEXTBEFORE(_xlfn.TEXTAFTER(CantoralDB[[#This Row],[index.html]],"&gt;"),"&gt;")&amp;"&gt;"</f>
        <v>&lt;a href="canciones/hakuna/imprescindible.html"&gt;</v>
      </c>
    </row>
    <row r="752" spans="1:23" x14ac:dyDescent="0.3">
      <c r="A752" s="1">
        <f>ROW(CantoralDB[[#This Row],[Título]])-1</f>
        <v>751</v>
      </c>
      <c r="B752" s="1" t="s">
        <v>2008</v>
      </c>
      <c r="C752" s="1"/>
      <c r="H752" s="1" t="s">
        <v>531</v>
      </c>
      <c r="I752" s="1" t="s">
        <v>2960</v>
      </c>
      <c r="J752" s="1" t="s">
        <v>608</v>
      </c>
      <c r="M752" s="15" t="s">
        <v>261</v>
      </c>
      <c r="N752" s="1" t="s">
        <v>2866</v>
      </c>
      <c r="O752" s="15">
        <v>1</v>
      </c>
      <c r="P752" s="15" t="str" cm="1">
        <f t="array" ref="P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52" s="15" t="str" cm="1">
        <f t="array" ref="Q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canciones/hakuna/pasion_i_no_se_que_viste_en_mi.html</v>
      </c>
      <c r="S752" s="1"/>
      <c r="T752" s="1"/>
      <c r="U752" s="1"/>
      <c r="V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href="canciones/hakuna/pasion_i_no_se_que_viste_en_mi.html"&gt;Pasión I No sé qué viste en mí&lt;/a&gt;&lt;/li&gt;</v>
      </c>
      <c r="W752" s="15" t="str">
        <f>_xlfn.TEXTBEFORE(_xlfn.TEXTAFTER(CantoralDB[[#This Row],[index.html]],"&gt;"),"&gt;")&amp;"&gt;"</f>
        <v>&lt;a href="canciones/hakuna/pasion_i_no_se_que_viste_en_mi.html"&gt;</v>
      </c>
    </row>
    <row r="753" spans="1:23" x14ac:dyDescent="0.3">
      <c r="A753" s="1">
        <f>ROW(CantoralDB[[#This Row],[Título]])-1</f>
        <v>752</v>
      </c>
      <c r="B753" s="1" t="s">
        <v>2009</v>
      </c>
      <c r="C753" s="1"/>
      <c r="H753" s="1" t="s">
        <v>1030</v>
      </c>
      <c r="I753" s="1" t="s">
        <v>2959</v>
      </c>
      <c r="J753" s="1" t="s">
        <v>608</v>
      </c>
      <c r="M753" s="15" t="s">
        <v>261</v>
      </c>
      <c r="N753" s="1" t="s">
        <v>2866</v>
      </c>
      <c r="O753" s="15">
        <v>2</v>
      </c>
      <c r="P753" s="15" t="str" cm="1">
        <f t="array" ref="P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53" s="15" t="str" cm="1">
        <f t="array" ref="Q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canciones/hakuna/pasion_ii_mi_peso_en_tus_hombros.html</v>
      </c>
      <c r="S753" s="1"/>
      <c r="T753" s="1"/>
      <c r="U753" s="1"/>
      <c r="V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href="canciones/hakuna/pasion_ii_mi_peso_en_tus_hombros.html"&gt;Pasión II Mi peso en tus hombros&lt;/a&gt;&lt;/li&gt;</v>
      </c>
      <c r="W753" s="15" t="str">
        <f>_xlfn.TEXTBEFORE(_xlfn.TEXTAFTER(CantoralDB[[#This Row],[index.html]],"&gt;"),"&gt;")&amp;"&gt;"</f>
        <v>&lt;a href="canciones/hakuna/pasion_ii_mi_peso_en_tus_hombros.html"&gt;</v>
      </c>
    </row>
    <row r="754" spans="1:23" x14ac:dyDescent="0.3">
      <c r="A754" s="1">
        <f>ROW(CantoralDB[[#This Row],[Título]])-1</f>
        <v>753</v>
      </c>
      <c r="B754" s="1" t="s">
        <v>2010</v>
      </c>
      <c r="C754" s="1"/>
      <c r="H754" s="1" t="s">
        <v>1027</v>
      </c>
      <c r="J754" s="1" t="s">
        <v>608</v>
      </c>
      <c r="M754" s="15" t="s">
        <v>261</v>
      </c>
      <c r="N754" s="1" t="s">
        <v>2866</v>
      </c>
      <c r="O754" s="15">
        <v>3</v>
      </c>
      <c r="P754" s="15" t="str" cm="1">
        <f t="array" ref="P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54" s="15" t="str" cm="1">
        <f t="array" ref="Q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canciones/hakuna/pasion_iii_paraisos_sin_tu_rostro.html</v>
      </c>
      <c r="S754" s="1"/>
      <c r="T754" s="1"/>
      <c r="U754" s="1"/>
      <c r="V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href="canciones/hakuna/pasion_iii_paraisos_sin_tu_rostro.html"&gt;Pasión III Paraísos sin tu rostro&lt;/a&gt;&lt;/li&gt;</v>
      </c>
      <c r="W754" s="15" t="str">
        <f>_xlfn.TEXTBEFORE(_xlfn.TEXTAFTER(CantoralDB[[#This Row],[index.html]],"&gt;"),"&gt;")&amp;"&gt;"</f>
        <v>&lt;a href="canciones/hakuna/pasion_iii_paraisos_sin_tu_rostro.html"&gt;</v>
      </c>
    </row>
    <row r="755" spans="1:23" x14ac:dyDescent="0.3">
      <c r="A755" s="1">
        <f>ROW(CantoralDB[[#This Row],[Título]])-1</f>
        <v>754</v>
      </c>
      <c r="B755" s="1" t="s">
        <v>2011</v>
      </c>
      <c r="C755" s="1"/>
      <c r="H755" s="1" t="s">
        <v>531</v>
      </c>
      <c r="J755" s="1" t="s">
        <v>608</v>
      </c>
      <c r="M755" s="15" t="s">
        <v>261</v>
      </c>
      <c r="N755" s="1" t="s">
        <v>2866</v>
      </c>
      <c r="O755" s="15">
        <v>4</v>
      </c>
      <c r="P755" s="15" t="str" cm="1">
        <f t="array" ref="P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55" s="15" t="str" cm="1">
        <f t="array" ref="Q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canciones/hakuna/pasion_iv_un_dios_debil.html</v>
      </c>
      <c r="S755" s="1"/>
      <c r="T755" s="1"/>
      <c r="U755" s="1"/>
      <c r="V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href="canciones/hakuna/pasion_iv_un_dios_debil.html"&gt;Pasión IV Un dios débil&lt;/a&gt;&lt;/li&gt;</v>
      </c>
      <c r="W755" s="15" t="str">
        <f>_xlfn.TEXTBEFORE(_xlfn.TEXTAFTER(CantoralDB[[#This Row],[index.html]],"&gt;"),"&gt;")&amp;"&gt;"</f>
        <v>&lt;a href="canciones/hakuna/pasion_iv_un_dios_debil.html"&gt;</v>
      </c>
    </row>
    <row r="756" spans="1:23" x14ac:dyDescent="0.3">
      <c r="A756" s="1">
        <f>ROW(CantoralDB[[#This Row],[Título]])-1</f>
        <v>755</v>
      </c>
      <c r="B756" s="1" t="s">
        <v>2023</v>
      </c>
      <c r="C756" s="1"/>
      <c r="H756" s="1" t="s">
        <v>1030</v>
      </c>
      <c r="I756" s="1" t="s">
        <v>2963</v>
      </c>
      <c r="J756" s="1" t="s">
        <v>608</v>
      </c>
      <c r="M756" s="15" t="s">
        <v>261</v>
      </c>
      <c r="N756" s="1" t="s">
        <v>2866</v>
      </c>
      <c r="O756" s="15">
        <v>5</v>
      </c>
      <c r="P756" s="15" t="str" cm="1">
        <f t="array" ref="P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56" s="15" t="str" cm="1">
        <f t="array" ref="Q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canciones/hakuna/pasion_v_cirineo.html</v>
      </c>
      <c r="S756" s="1"/>
      <c r="T756" s="1"/>
      <c r="U756" s="1"/>
      <c r="V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href="canciones/hakuna/pasion_v_cirineo.html"&gt;Pasión V Cirineo&lt;/a&gt;&lt;/li&gt;</v>
      </c>
      <c r="W756" s="15" t="str">
        <f>_xlfn.TEXTBEFORE(_xlfn.TEXTAFTER(CantoralDB[[#This Row],[index.html]],"&gt;"),"&gt;")&amp;"&gt;"</f>
        <v>&lt;a href="canciones/hakuna/pasion_v_cirineo.html"&gt;</v>
      </c>
    </row>
    <row r="757" spans="1:23" x14ac:dyDescent="0.3">
      <c r="A757" s="1">
        <f>ROW(CantoralDB[[#This Row],[Título]])-1</f>
        <v>756</v>
      </c>
      <c r="B757" s="1" t="s">
        <v>2013</v>
      </c>
      <c r="C757" s="1"/>
      <c r="H757" s="1" t="s">
        <v>1029</v>
      </c>
      <c r="I757" s="1" t="s">
        <v>2959</v>
      </c>
      <c r="J757" s="1" t="s">
        <v>608</v>
      </c>
      <c r="M757" s="15" t="s">
        <v>261</v>
      </c>
      <c r="N757" s="1" t="s">
        <v>2866</v>
      </c>
      <c r="O757" s="15">
        <v>6</v>
      </c>
      <c r="P757" s="15" t="str" cm="1">
        <f t="array" ref="P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57" s="15" t="str" cm="1">
        <f t="array" ref="Q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canciones/hakuna/pasion_vi_veronica.html</v>
      </c>
      <c r="S757" s="1"/>
      <c r="T757" s="1"/>
      <c r="U757" s="1"/>
      <c r="V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href="canciones/hakuna/pasion_vi_veronica.html"&gt;Pasión VI Verónica&lt;/a&gt;&lt;/li&gt;</v>
      </c>
      <c r="W757" s="15" t="str">
        <f>_xlfn.TEXTBEFORE(_xlfn.TEXTAFTER(CantoralDB[[#This Row],[index.html]],"&gt;"),"&gt;")&amp;"&gt;"</f>
        <v>&lt;a href="canciones/hakuna/pasion_vi_veronica.html"&gt;</v>
      </c>
    </row>
    <row r="758" spans="1:23" x14ac:dyDescent="0.3">
      <c r="A758" s="1">
        <f>ROW(CantoralDB[[#This Row],[Título]])-1</f>
        <v>757</v>
      </c>
      <c r="B758" s="1" t="s">
        <v>2014</v>
      </c>
      <c r="C758" s="1"/>
      <c r="H758" s="1" t="s">
        <v>1027</v>
      </c>
      <c r="I758" s="1" t="s">
        <v>2962</v>
      </c>
      <c r="J758" s="1" t="s">
        <v>608</v>
      </c>
      <c r="M758" s="15" t="s">
        <v>261</v>
      </c>
      <c r="N758" s="1" t="s">
        <v>2866</v>
      </c>
      <c r="O758" s="15">
        <v>7</v>
      </c>
      <c r="P758" s="15" t="str" cm="1">
        <f t="array" ref="P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58" s="15" t="str" cm="1">
        <f t="array" ref="Q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canciones/hakuna/pasion_vii_y_te_caes.html</v>
      </c>
      <c r="S758" s="1"/>
      <c r="T758" s="1"/>
      <c r="U758" s="1"/>
      <c r="V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href="canciones/hakuna/pasion_vii_y_te_caes.html"&gt;Pasión VII Y te caes&lt;/a&gt;&lt;/li&gt;</v>
      </c>
      <c r="W758" s="15" t="str">
        <f>_xlfn.TEXTBEFORE(_xlfn.TEXTAFTER(CantoralDB[[#This Row],[index.html]],"&gt;"),"&gt;")&amp;"&gt;"</f>
        <v>&lt;a href="canciones/hakuna/pasion_vii_y_te_caes.html"&gt;</v>
      </c>
    </row>
    <row r="759" spans="1:23" x14ac:dyDescent="0.3">
      <c r="A759" s="1">
        <f>ROW(CantoralDB[[#This Row],[Título]])-1</f>
        <v>758</v>
      </c>
      <c r="B759" s="1" t="s">
        <v>2024</v>
      </c>
      <c r="C759" s="1"/>
      <c r="H759" s="1" t="s">
        <v>531</v>
      </c>
      <c r="I759" s="1" t="s">
        <v>2963</v>
      </c>
      <c r="J759" s="1" t="s">
        <v>608</v>
      </c>
      <c r="M759" s="15" t="s">
        <v>261</v>
      </c>
      <c r="N759" s="1" t="s">
        <v>2866</v>
      </c>
      <c r="O759" s="15">
        <v>8</v>
      </c>
      <c r="P759" s="15" t="str" cm="1">
        <f t="array" ref="P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59" s="15" t="str" cm="1">
        <f t="array" ref="Q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canciones/hakuna/pasion_viii_jerusalen.html</v>
      </c>
      <c r="S759" s="1"/>
      <c r="T759" s="1"/>
      <c r="U759" s="1"/>
      <c r="V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href="canciones/hakuna/pasion_viii_jerusalen.html"&gt;Pasión VIII Jerusalén&lt;/a&gt;&lt;/li&gt;</v>
      </c>
      <c r="W759" s="15" t="str">
        <f>_xlfn.TEXTBEFORE(_xlfn.TEXTAFTER(CantoralDB[[#This Row],[index.html]],"&gt;"),"&gt;")&amp;"&gt;"</f>
        <v>&lt;a href="canciones/hakuna/pasion_viii_jerusalen.html"&gt;</v>
      </c>
    </row>
    <row r="760" spans="1:23" x14ac:dyDescent="0.3">
      <c r="A760" s="1">
        <f>ROW(CantoralDB[[#This Row],[Título]])-1</f>
        <v>759</v>
      </c>
      <c r="B760" s="1" t="s">
        <v>2012</v>
      </c>
      <c r="C760" s="1"/>
      <c r="H760" s="1" t="s">
        <v>531</v>
      </c>
      <c r="I760" s="1" t="s">
        <v>2966</v>
      </c>
      <c r="J760" s="1" t="s">
        <v>608</v>
      </c>
      <c r="M760" s="15" t="s">
        <v>261</v>
      </c>
      <c r="N760" s="1" t="s">
        <v>2866</v>
      </c>
      <c r="O760" s="15">
        <v>9</v>
      </c>
      <c r="P760" s="15" t="str" cm="1">
        <f t="array" ref="P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60" s="15" t="str" cm="1">
        <f t="array" ref="Q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canciones/hakuna/pasion_ix_por_que.html</v>
      </c>
      <c r="S760" s="1"/>
      <c r="T760" s="1"/>
      <c r="U760" s="1"/>
      <c r="V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href="canciones/hakuna/pasion_ix_por_que.html"&gt;Pasión IX Por qué&lt;/a&gt;&lt;/li&gt;</v>
      </c>
      <c r="W760" s="15" t="str">
        <f>_xlfn.TEXTBEFORE(_xlfn.TEXTAFTER(CantoralDB[[#This Row],[index.html]],"&gt;"),"&gt;")&amp;"&gt;"</f>
        <v>&lt;a href="canciones/hakuna/pasion_ix_por_que.html"&gt;</v>
      </c>
    </row>
    <row r="761" spans="1:23" x14ac:dyDescent="0.3">
      <c r="A761" s="1">
        <f>ROW(CantoralDB[[#This Row],[Título]])-1</f>
        <v>760</v>
      </c>
      <c r="B761" s="1" t="s">
        <v>2015</v>
      </c>
      <c r="C761" s="1"/>
      <c r="H761" s="1" t="s">
        <v>1027</v>
      </c>
      <c r="J761" s="1" t="s">
        <v>608</v>
      </c>
      <c r="M761" s="15" t="s">
        <v>261</v>
      </c>
      <c r="N761" s="1" t="s">
        <v>2866</v>
      </c>
      <c r="O761" s="15">
        <v>10</v>
      </c>
      <c r="P761" s="15" t="str" cm="1">
        <f t="array" ref="P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61" s="15" t="str" cm="1">
        <f t="array" ref="Q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canciones/hakuna/pasion_x_despojado.html</v>
      </c>
      <c r="S761" s="1"/>
      <c r="T761" s="1"/>
      <c r="U761" s="1"/>
      <c r="V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href="canciones/hakuna/pasion_x_despojado.html"&gt;Pasión X Despojado&lt;/a&gt;&lt;/li&gt;</v>
      </c>
      <c r="W761" s="15" t="str">
        <f>_xlfn.TEXTBEFORE(_xlfn.TEXTAFTER(CantoralDB[[#This Row],[index.html]],"&gt;"),"&gt;")&amp;"&gt;"</f>
        <v>&lt;a href="canciones/hakuna/pasion_x_despojado.html"&gt;</v>
      </c>
    </row>
    <row r="762" spans="1:23" x14ac:dyDescent="0.3">
      <c r="A762" s="1">
        <f>ROW(CantoralDB[[#This Row],[Título]])-1</f>
        <v>761</v>
      </c>
      <c r="B762" s="1" t="s">
        <v>2016</v>
      </c>
      <c r="C762" s="1"/>
      <c r="H762" s="1" t="s">
        <v>1028</v>
      </c>
      <c r="J762" s="1" t="s">
        <v>608</v>
      </c>
      <c r="M762" s="15" t="s">
        <v>261</v>
      </c>
      <c r="N762" s="1" t="s">
        <v>2866</v>
      </c>
      <c r="O762" s="15">
        <v>11</v>
      </c>
      <c r="P762" s="15" t="str" cm="1">
        <f t="array" ref="P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62" s="15" t="str" cm="1">
        <f t="array" ref="Q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canciones/hakuna/pasion_xi_la_medida_del_amor.html</v>
      </c>
      <c r="S762" s="1"/>
      <c r="T762" s="1"/>
      <c r="U762" s="1"/>
      <c r="V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href="canciones/hakuna/pasion_xi_la_medida_del_amor.html"&gt;Pasión XI La medida del amor&lt;/a&gt;&lt;/li&gt;</v>
      </c>
      <c r="W762" s="15" t="str">
        <f>_xlfn.TEXTBEFORE(_xlfn.TEXTAFTER(CantoralDB[[#This Row],[index.html]],"&gt;"),"&gt;")&amp;"&gt;"</f>
        <v>&lt;a href="canciones/hakuna/pasion_xi_la_medida_del_amor.html"&gt;</v>
      </c>
    </row>
    <row r="763" spans="1:23" x14ac:dyDescent="0.3">
      <c r="A763" s="1">
        <f>ROW(CantoralDB[[#This Row],[Título]])-1</f>
        <v>762</v>
      </c>
      <c r="B763" s="1" t="s">
        <v>2017</v>
      </c>
      <c r="C763" s="1"/>
      <c r="H763" s="1" t="s">
        <v>531</v>
      </c>
      <c r="J763" s="1" t="s">
        <v>608</v>
      </c>
      <c r="M763" s="15" t="s">
        <v>261</v>
      </c>
      <c r="N763" s="1" t="s">
        <v>2866</v>
      </c>
      <c r="O763" s="15">
        <v>13</v>
      </c>
      <c r="P763" s="15" t="str" cm="1">
        <f t="array" ref="P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63" s="15" t="str" cm="1">
        <f t="array" ref="Q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canciones/hakuna/pasion_xiii_madre.html</v>
      </c>
      <c r="S763" s="1"/>
      <c r="T763" s="1"/>
      <c r="U763" s="1"/>
      <c r="V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href="canciones/hakuna/pasion_xiii_madre.html"&gt;Pasión XIII Madre&lt;/a&gt;&lt;/li&gt;</v>
      </c>
      <c r="W763" s="15" t="str">
        <f>_xlfn.TEXTBEFORE(_xlfn.TEXTAFTER(CantoralDB[[#This Row],[index.html]],"&gt;"),"&gt;")&amp;"&gt;"</f>
        <v>&lt;a href="canciones/hakuna/pasion_xiii_madre.html"&gt;</v>
      </c>
    </row>
    <row r="764" spans="1:23" x14ac:dyDescent="0.3">
      <c r="A764" s="1">
        <f>ROW(CantoralDB[[#This Row],[Título]])-1</f>
        <v>763</v>
      </c>
      <c r="B764" s="1" t="s">
        <v>2018</v>
      </c>
      <c r="C764" s="1"/>
      <c r="H764" s="1" t="s">
        <v>531</v>
      </c>
      <c r="J764" s="1" t="s">
        <v>608</v>
      </c>
      <c r="M764" s="15" t="s">
        <v>261</v>
      </c>
      <c r="N764" s="1" t="s">
        <v>2866</v>
      </c>
      <c r="O764" s="15">
        <v>14</v>
      </c>
      <c r="P764" s="15" t="str" cm="1">
        <f t="array" ref="P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64" s="15" t="str" cm="1">
        <f t="array" ref="Q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canciones/hakuna/pasion_xiv_donde_estas_tu.html</v>
      </c>
      <c r="S764" s="1"/>
      <c r="T764" s="1"/>
      <c r="U764" s="1"/>
      <c r="V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href="canciones/hakuna/pasion_xiv_donde_estas_tu.html"&gt;Pasión XIV Donde estás tú&lt;/a&gt;&lt;/li&gt;</v>
      </c>
      <c r="W764" s="15" t="str">
        <f>_xlfn.TEXTBEFORE(_xlfn.TEXTAFTER(CantoralDB[[#This Row],[index.html]],"&gt;"),"&gt;")&amp;"&gt;"</f>
        <v>&lt;a href="canciones/hakuna/pasion_xiv_donde_estas_tu.html"&gt;</v>
      </c>
    </row>
    <row r="765" spans="1:23" x14ac:dyDescent="0.3">
      <c r="A765" s="1">
        <f>ROW(CantoralDB[[#This Row],[Título]])-1</f>
        <v>764</v>
      </c>
      <c r="B765" s="1" t="s">
        <v>2019</v>
      </c>
      <c r="C765" s="1"/>
      <c r="H765" s="1" t="s">
        <v>473</v>
      </c>
      <c r="J765" s="1" t="s">
        <v>608</v>
      </c>
      <c r="M765" s="15" t="s">
        <v>261</v>
      </c>
      <c r="N765" s="1" t="s">
        <v>2866</v>
      </c>
      <c r="O765" s="15">
        <v>15</v>
      </c>
      <c r="P765" s="15" t="str" cm="1">
        <f t="array" ref="P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65" s="15" t="str" cm="1">
        <f t="array" ref="Q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canciones/hakuna/pasion_xv_soy_libre.html</v>
      </c>
      <c r="S765" s="1"/>
      <c r="T765" s="1"/>
      <c r="U765" s="1"/>
      <c r="V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href="canciones/hakuna/pasion_xv_soy_libre.html"&gt;Pasión XV Soy libre&lt;/a&gt;&lt;/li&gt;</v>
      </c>
      <c r="W765" s="15" t="str">
        <f>_xlfn.TEXTBEFORE(_xlfn.TEXTAFTER(CantoralDB[[#This Row],[index.html]],"&gt;"),"&gt;")&amp;"&gt;"</f>
        <v>&lt;a href="canciones/hakuna/pasion_xv_soy_libre.html"&gt;</v>
      </c>
    </row>
    <row r="766" spans="1:23" x14ac:dyDescent="0.3">
      <c r="A766" s="1">
        <f>ROW(CantoralDB[[#This Row],[Título]])-1</f>
        <v>765</v>
      </c>
      <c r="B766" s="1" t="s">
        <v>2020</v>
      </c>
      <c r="C766" s="1"/>
      <c r="H766" s="1" t="s">
        <v>1030</v>
      </c>
      <c r="I766" s="1" t="s">
        <v>2962</v>
      </c>
      <c r="J766" s="1" t="s">
        <v>608</v>
      </c>
      <c r="M766" s="15" t="s">
        <v>261</v>
      </c>
      <c r="N766" s="1" t="s">
        <v>2866</v>
      </c>
      <c r="O766" s="15">
        <v>16</v>
      </c>
      <c r="P766" s="15" t="str" cm="1">
        <f t="array" ref="P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66" s="15" t="str" cm="1">
        <f t="array" ref="Q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canciones/hakuna/pasion_xvi_por_mi_por_ti.html</v>
      </c>
      <c r="S766" s="1"/>
      <c r="T766" s="1"/>
      <c r="U766" s="1"/>
      <c r="V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href="canciones/hakuna/pasion_xvi_por_mi_por_ti.html"&gt;Pasión XVI Por mí, por ti&lt;/a&gt;&lt;/li&gt;</v>
      </c>
      <c r="W766" s="15" t="str">
        <f>_xlfn.TEXTBEFORE(_xlfn.TEXTAFTER(CantoralDB[[#This Row],[index.html]],"&gt;"),"&gt;")&amp;"&gt;"</f>
        <v>&lt;a href="canciones/hakuna/pasion_xvi_por_mi_por_ti.html"&gt;</v>
      </c>
    </row>
    <row r="767" spans="1:23" x14ac:dyDescent="0.3">
      <c r="A767" s="1">
        <f>ROW(CantoralDB[[#This Row],[Título]])-1</f>
        <v>766</v>
      </c>
      <c r="B767" s="1" t="s">
        <v>1983</v>
      </c>
      <c r="C767" s="1"/>
      <c r="H767" s="1" t="s">
        <v>1030</v>
      </c>
      <c r="I767" s="1" t="s">
        <v>2966</v>
      </c>
      <c r="J767" s="1" t="s">
        <v>608</v>
      </c>
      <c r="M767" s="15" t="s">
        <v>261</v>
      </c>
      <c r="N767" s="1" t="s">
        <v>2867</v>
      </c>
      <c r="O767" s="15">
        <v>1</v>
      </c>
      <c r="P767" s="15" t="str" cm="1">
        <f t="array" ref="P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67" s="15" t="str" cm="1">
        <f t="array" ref="Q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canciones/hakuna/me_sobrepasa.html</v>
      </c>
      <c r="S767" s="1"/>
      <c r="T767" s="1"/>
      <c r="U767" s="1"/>
      <c r="V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href="canciones/hakuna/me_sobrepasa.html"&gt;Me sobrepasa&lt;/a&gt;&lt;/li&gt;</v>
      </c>
      <c r="W767" s="15" t="str">
        <f>_xlfn.TEXTBEFORE(_xlfn.TEXTAFTER(CantoralDB[[#This Row],[index.html]],"&gt;"),"&gt;")&amp;"&gt;"</f>
        <v>&lt;a href="canciones/hakuna/me_sobrepasa.html"&gt;</v>
      </c>
    </row>
    <row r="768" spans="1:23" x14ac:dyDescent="0.3">
      <c r="A768" s="1">
        <f>ROW(CantoralDB[[#This Row],[Título]])-1</f>
        <v>767</v>
      </c>
      <c r="B768" s="1" t="s">
        <v>1945</v>
      </c>
      <c r="C768" s="1"/>
      <c r="H768" s="1" t="s">
        <v>473</v>
      </c>
      <c r="I768" s="1" t="s">
        <v>2962</v>
      </c>
      <c r="J768" s="1" t="s">
        <v>608</v>
      </c>
      <c r="M768" s="15" t="s">
        <v>261</v>
      </c>
      <c r="N768" s="1" t="s">
        <v>2867</v>
      </c>
      <c r="O768" s="15">
        <v>2</v>
      </c>
      <c r="P768" s="15" t="str" cm="1">
        <f t="array" ref="P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68" s="15" t="str" cm="1">
        <f t="array" ref="Q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canciones/hakuna/descalzos.html</v>
      </c>
      <c r="S768" s="1"/>
      <c r="T768" s="1"/>
      <c r="U768" s="1"/>
      <c r="V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href="canciones/hakuna/descalzos.html"&gt;Descalzos&lt;/a&gt;&lt;/li&gt;</v>
      </c>
      <c r="W768" s="15" t="str">
        <f>_xlfn.TEXTBEFORE(_xlfn.TEXTAFTER(CantoralDB[[#This Row],[index.html]],"&gt;"),"&gt;")&amp;"&gt;"</f>
        <v>&lt;a href="canciones/hakuna/descalzos.html"&gt;</v>
      </c>
    </row>
    <row r="769" spans="1:23" x14ac:dyDescent="0.3">
      <c r="A769" s="1">
        <f>ROW(CantoralDB[[#This Row],[Título]])-1</f>
        <v>768</v>
      </c>
      <c r="B769" s="1" t="s">
        <v>1982</v>
      </c>
      <c r="C769" s="1"/>
      <c r="H769" s="1" t="s">
        <v>1030</v>
      </c>
      <c r="I769" s="1" t="s">
        <v>2961</v>
      </c>
      <c r="J769" s="1" t="s">
        <v>608</v>
      </c>
      <c r="M769" s="15" t="s">
        <v>261</v>
      </c>
      <c r="N769" s="1" t="s">
        <v>2867</v>
      </c>
      <c r="O769" s="15">
        <v>3</v>
      </c>
      <c r="P769" s="15" t="str" cm="1">
        <f t="array" ref="P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69" s="15" t="str" cm="1">
        <f t="array" ref="Q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canciones/hakuna/un_segundo.html</v>
      </c>
      <c r="S769" s="1"/>
      <c r="T769" s="1"/>
      <c r="U769" s="1"/>
      <c r="V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href="canciones/hakuna/un_segundo.html"&gt;Un segundo&lt;/a&gt;&lt;/li&gt;</v>
      </c>
      <c r="W769" s="15" t="str">
        <f>_xlfn.TEXTBEFORE(_xlfn.TEXTAFTER(CantoralDB[[#This Row],[index.html]],"&gt;"),"&gt;")&amp;"&gt;"</f>
        <v>&lt;a href="canciones/hakuna/un_segundo.html"&gt;</v>
      </c>
    </row>
    <row r="770" spans="1:23" x14ac:dyDescent="0.3">
      <c r="A770" s="1">
        <f>ROW(CantoralDB[[#This Row],[Título]])-1</f>
        <v>769</v>
      </c>
      <c r="B770" s="1" t="s">
        <v>1956</v>
      </c>
      <c r="C770" s="1"/>
      <c r="H770" s="1" t="s">
        <v>1030</v>
      </c>
      <c r="I770" s="1" t="s">
        <v>2962</v>
      </c>
      <c r="J770" s="1" t="s">
        <v>608</v>
      </c>
      <c r="M770" s="15" t="s">
        <v>261</v>
      </c>
      <c r="N770" s="1" t="s">
        <v>2867</v>
      </c>
      <c r="O770" s="15">
        <v>4</v>
      </c>
      <c r="P770" s="15" t="str" cm="1">
        <f t="array" ref="P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70" s="15" t="str" cm="1">
        <f t="array" ref="Q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canciones/hakuna/todo.html</v>
      </c>
      <c r="S770" s="1"/>
      <c r="T770" s="1"/>
      <c r="U770" s="1"/>
      <c r="V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href="canciones/hakuna/todo.html"&gt;Todo&lt;/a&gt;&lt;/li&gt;</v>
      </c>
      <c r="W770" s="15" t="str">
        <f>_xlfn.TEXTBEFORE(_xlfn.TEXTAFTER(CantoralDB[[#This Row],[index.html]],"&gt;"),"&gt;")&amp;"&gt;"</f>
        <v>&lt;a href="canciones/hakuna/todo.html"&gt;</v>
      </c>
    </row>
    <row r="771" spans="1:23" x14ac:dyDescent="0.3">
      <c r="A771" s="1">
        <f>ROW(CantoralDB[[#This Row],[Título]])-1</f>
        <v>770</v>
      </c>
      <c r="B771" s="1" t="s">
        <v>1985</v>
      </c>
      <c r="C771" s="1"/>
      <c r="H771" s="1" t="s">
        <v>473</v>
      </c>
      <c r="I771" s="1" t="s">
        <v>2959</v>
      </c>
      <c r="J771" s="1" t="s">
        <v>608</v>
      </c>
      <c r="M771" s="15" t="s">
        <v>261</v>
      </c>
      <c r="N771" s="1" t="s">
        <v>2867</v>
      </c>
      <c r="O771" s="15">
        <v>5</v>
      </c>
      <c r="P771" s="15" t="str" cm="1">
        <f t="array" ref="P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71" s="15" t="str" cm="1">
        <f t="array" ref="Q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canciones/hakuna/el_cielo_aguarda.html</v>
      </c>
      <c r="S771" s="1"/>
      <c r="T771" s="1"/>
      <c r="U771" s="1"/>
      <c r="V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href="canciones/hakuna/el_cielo_aguarda.html"&gt;El cielo aguarda&lt;/a&gt;&lt;/li&gt;</v>
      </c>
      <c r="W771" s="15" t="str">
        <f>_xlfn.TEXTBEFORE(_xlfn.TEXTAFTER(CantoralDB[[#This Row],[index.html]],"&gt;"),"&gt;")&amp;"&gt;"</f>
        <v>&lt;a href="canciones/hakuna/el_cielo_aguarda.html"&gt;</v>
      </c>
    </row>
    <row r="772" spans="1:23" x14ac:dyDescent="0.3">
      <c r="A772" s="1">
        <f>ROW(CantoralDB[[#This Row],[Título]])-1</f>
        <v>771</v>
      </c>
      <c r="B772" s="1" t="s">
        <v>645</v>
      </c>
      <c r="C772" s="1" t="s">
        <v>993</v>
      </c>
      <c r="D772" s="1" t="s">
        <v>712</v>
      </c>
      <c r="G772" s="1" t="s">
        <v>261</v>
      </c>
      <c r="H772" s="1" t="s">
        <v>531</v>
      </c>
      <c r="J772" s="1" t="s">
        <v>608</v>
      </c>
      <c r="M772" s="15" t="s">
        <v>261</v>
      </c>
      <c r="N772" s="1" t="s">
        <v>2867</v>
      </c>
      <c r="O772" s="15">
        <v>6</v>
      </c>
      <c r="P772" s="15" t="str" cm="1">
        <f t="array" ref="P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72" s="15" t="str" cm="1">
        <f t="array" ref="Q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canciones/hakuna/huracan.html</v>
      </c>
      <c r="S772" s="1"/>
      <c r="T772" s="1"/>
      <c r="U772" s="1"/>
      <c r="V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 data-momento="Comunión" data-nnew="K39"&gt;&lt;a href="canciones/hakuna/huracan.html"&gt;Huracán&lt;/a&gt;&lt;/li&gt;</v>
      </c>
      <c r="W772" s="15" t="str">
        <f>_xlfn.TEXTBEFORE(_xlfn.TEXTAFTER(CantoralDB[[#This Row],[index.html]],"&gt;"),"&gt;")&amp;"&gt;"</f>
        <v>&lt;a href="canciones/hakuna/huracan.html"&gt;</v>
      </c>
    </row>
    <row r="773" spans="1:23" x14ac:dyDescent="0.3">
      <c r="A773" s="1">
        <f>ROW(CantoralDB[[#This Row],[Título]])-1</f>
        <v>772</v>
      </c>
      <c r="B773" s="1" t="s">
        <v>1950</v>
      </c>
      <c r="C773" s="1"/>
      <c r="H773" s="1" t="s">
        <v>1030</v>
      </c>
      <c r="I773" s="1" t="s">
        <v>2960</v>
      </c>
      <c r="J773" s="1" t="s">
        <v>608</v>
      </c>
      <c r="M773" s="15" t="s">
        <v>261</v>
      </c>
      <c r="N773" s="1" t="s">
        <v>2867</v>
      </c>
      <c r="O773" s="15">
        <v>7</v>
      </c>
      <c r="P773" s="15" t="str" cm="1">
        <f t="array" ref="P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73" s="15" t="str" cm="1">
        <f t="array" ref="Q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canciones/hakuna/mirada.html</v>
      </c>
      <c r="S773" s="1"/>
      <c r="T773" s="1"/>
      <c r="U773" s="1"/>
      <c r="V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href="canciones/hakuna/mirada.html"&gt;Mirada&lt;/a&gt;&lt;/li&gt;</v>
      </c>
      <c r="W773" s="15" t="str">
        <f>_xlfn.TEXTBEFORE(_xlfn.TEXTAFTER(CantoralDB[[#This Row],[index.html]],"&gt;"),"&gt;")&amp;"&gt;"</f>
        <v>&lt;a href="canciones/hakuna/mirada.html"&gt;</v>
      </c>
    </row>
    <row r="774" spans="1:23" x14ac:dyDescent="0.3">
      <c r="A774" s="1">
        <f>ROW(CantoralDB[[#This Row],[Título]])-1</f>
        <v>773</v>
      </c>
      <c r="B774" s="1" t="s">
        <v>1953</v>
      </c>
      <c r="C774" s="1"/>
      <c r="H774" s="1" t="s">
        <v>531</v>
      </c>
      <c r="I774" s="1" t="s">
        <v>2964</v>
      </c>
      <c r="J774" s="1" t="s">
        <v>608</v>
      </c>
      <c r="M774" s="15" t="s">
        <v>261</v>
      </c>
      <c r="N774" s="1" t="s">
        <v>2867</v>
      </c>
      <c r="O774" s="15">
        <v>8</v>
      </c>
      <c r="P774" s="15" t="str" cm="1">
        <f t="array" ref="P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74" s="15" t="str" cm="1">
        <f t="array" ref="Q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canciones/hakuna/pringados.html</v>
      </c>
      <c r="S774" s="1"/>
      <c r="T774" s="1"/>
      <c r="U774" s="1"/>
      <c r="V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href="canciones/hakuna/pringados.html"&gt;Pringados&lt;/a&gt;&lt;/li&gt;</v>
      </c>
      <c r="W774" s="15" t="str">
        <f>_xlfn.TEXTBEFORE(_xlfn.TEXTAFTER(CantoralDB[[#This Row],[index.html]],"&gt;"),"&gt;")&amp;"&gt;"</f>
        <v>&lt;a href="canciones/hakuna/pringados.html"&gt;</v>
      </c>
    </row>
    <row r="775" spans="1:23" x14ac:dyDescent="0.3">
      <c r="A775" s="1">
        <f>ROW(CantoralDB[[#This Row],[Título]])-1</f>
        <v>774</v>
      </c>
      <c r="B775" s="1" t="s">
        <v>1951</v>
      </c>
      <c r="C775" s="1"/>
      <c r="H775" s="1" t="s">
        <v>1029</v>
      </c>
      <c r="I775" s="1" t="s">
        <v>2959</v>
      </c>
      <c r="J775" s="1" t="s">
        <v>608</v>
      </c>
      <c r="M775" s="15" t="s">
        <v>261</v>
      </c>
      <c r="N775" s="1" t="s">
        <v>2867</v>
      </c>
      <c r="O775" s="15">
        <v>9</v>
      </c>
      <c r="P775" s="15" t="str" cm="1">
        <f t="array" ref="P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75" s="15" t="str" cm="1">
        <f t="array" ref="Q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canciones/hakuna/noche.html</v>
      </c>
      <c r="S775" s="1"/>
      <c r="T775" s="1"/>
      <c r="U775" s="1"/>
      <c r="V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href="canciones/hakuna/noche.html"&gt;Noche&lt;/a&gt;&lt;/li&gt;</v>
      </c>
      <c r="W775" s="15" t="str">
        <f>_xlfn.TEXTBEFORE(_xlfn.TEXTAFTER(CantoralDB[[#This Row],[index.html]],"&gt;"),"&gt;")&amp;"&gt;"</f>
        <v>&lt;a href="canciones/hakuna/noche.html"&gt;</v>
      </c>
    </row>
    <row r="776" spans="1:23" x14ac:dyDescent="0.3">
      <c r="A776" s="1">
        <f>ROW(CantoralDB[[#This Row],[Título]])-1</f>
        <v>775</v>
      </c>
      <c r="B776" s="1" t="s">
        <v>1984</v>
      </c>
      <c r="C776" s="1"/>
      <c r="H776" s="1" t="s">
        <v>531</v>
      </c>
      <c r="I776" s="1" t="s">
        <v>2966</v>
      </c>
      <c r="J776" s="1" t="s">
        <v>608</v>
      </c>
      <c r="M776" s="15" t="s">
        <v>261</v>
      </c>
      <c r="N776" s="1" t="s">
        <v>2867</v>
      </c>
      <c r="O776" s="15">
        <v>10</v>
      </c>
      <c r="P776" s="15" t="str" cm="1">
        <f t="array" ref="P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76" s="15" t="str" cm="1">
        <f t="array" ref="Q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canciones/hakuna/comunion_espiritual.html</v>
      </c>
      <c r="S776" s="1"/>
      <c r="T776" s="1"/>
      <c r="U776" s="1"/>
      <c r="V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href="canciones/hakuna/comunion_espiritual.html"&gt;Comunión espiritual&lt;/a&gt;&lt;/li&gt;</v>
      </c>
      <c r="W776" s="15" t="str">
        <f>_xlfn.TEXTBEFORE(_xlfn.TEXTAFTER(CantoralDB[[#This Row],[index.html]],"&gt;"),"&gt;")&amp;"&gt;"</f>
        <v>&lt;a href="canciones/hakuna/comunion_espiritual.html"&gt;</v>
      </c>
    </row>
    <row r="777" spans="1:23" x14ac:dyDescent="0.3">
      <c r="A777" s="1">
        <f>ROW(CantoralDB[[#This Row],[Título]])-1</f>
        <v>776</v>
      </c>
      <c r="B777" s="1" t="s">
        <v>1955</v>
      </c>
      <c r="C777" s="1"/>
      <c r="H777" s="1" t="s">
        <v>1030</v>
      </c>
      <c r="I777" s="1" t="s">
        <v>2959</v>
      </c>
      <c r="J777" s="1" t="s">
        <v>608</v>
      </c>
      <c r="M777" s="15" t="s">
        <v>261</v>
      </c>
      <c r="N777" s="1" t="s">
        <v>1955</v>
      </c>
      <c r="O777" s="15">
        <v>1</v>
      </c>
      <c r="P777" s="15" t="str" cm="1">
        <f t="array" ref="P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77" s="15" t="str" cm="1">
        <f t="array" ref="Q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canciones/hakuna/sencillamente.html</v>
      </c>
      <c r="S777" s="1"/>
      <c r="T777" s="1"/>
      <c r="U777" s="1"/>
      <c r="V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href="canciones/hakuna/sencillamente.html"&gt;Sencillamente&lt;/a&gt;&lt;/li&gt;</v>
      </c>
      <c r="W777" s="15" t="str">
        <f>_xlfn.TEXTBEFORE(_xlfn.TEXTAFTER(CantoralDB[[#This Row],[index.html]],"&gt;"),"&gt;")&amp;"&gt;"</f>
        <v>&lt;a href="canciones/hakuna/sencillamente.html"&gt;</v>
      </c>
    </row>
    <row r="778" spans="1:23" x14ac:dyDescent="0.3">
      <c r="A778" s="1">
        <f>ROW(CantoralDB[[#This Row],[Título]])-1</f>
        <v>777</v>
      </c>
      <c r="B778" s="1" t="s">
        <v>1974</v>
      </c>
      <c r="C778" s="1"/>
      <c r="H778" s="1" t="s">
        <v>531</v>
      </c>
      <c r="I778" s="1" t="s">
        <v>2959</v>
      </c>
      <c r="J778" s="1" t="s">
        <v>608</v>
      </c>
      <c r="M778" s="15" t="s">
        <v>261</v>
      </c>
      <c r="N778" s="1" t="s">
        <v>1955</v>
      </c>
      <c r="O778" s="15">
        <v>2</v>
      </c>
      <c r="P778" s="15" t="str" cm="1">
        <f t="array" ref="P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78" s="15" t="str" cm="1">
        <f t="array" ref="Q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canciones/hakuna/ocupate_tu_de_todo.html</v>
      </c>
      <c r="S778" s="1"/>
      <c r="T778" s="1"/>
      <c r="U778" s="1"/>
      <c r="V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href="canciones/hakuna/ocupate_tu_de_todo.html"&gt;Ocúpate Tú de todo&lt;/a&gt;&lt;/li&gt;</v>
      </c>
      <c r="W778" s="15" t="str">
        <f>_xlfn.TEXTBEFORE(_xlfn.TEXTAFTER(CantoralDB[[#This Row],[index.html]],"&gt;"),"&gt;")&amp;"&gt;"</f>
        <v>&lt;a href="canciones/hakuna/ocupate_tu_de_todo.html"&gt;</v>
      </c>
    </row>
    <row r="779" spans="1:23" x14ac:dyDescent="0.3">
      <c r="A779" s="1">
        <f>ROW(CantoralDB[[#This Row],[Título]])-1</f>
        <v>778</v>
      </c>
      <c r="B779" s="1" t="s">
        <v>1976</v>
      </c>
      <c r="C779" s="1"/>
      <c r="H779" s="1" t="s">
        <v>1027</v>
      </c>
      <c r="I779" s="1" t="s">
        <v>2960</v>
      </c>
      <c r="J779" s="1" t="s">
        <v>608</v>
      </c>
      <c r="M779" s="15" t="s">
        <v>261</v>
      </c>
      <c r="N779" s="1" t="s">
        <v>1955</v>
      </c>
      <c r="O779" s="15">
        <v>3</v>
      </c>
      <c r="P779" s="15" t="str" cm="1">
        <f t="array" ref="P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79" s="15" t="str" cm="1">
        <f t="array" ref="Q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canciones/hakuna/la_piel_por_ti.html</v>
      </c>
      <c r="S779" s="1"/>
      <c r="T779" s="1"/>
      <c r="U779" s="1"/>
      <c r="V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href="canciones/hakuna/la_piel_por_ti.html"&gt;La piel por Ti&lt;/a&gt;&lt;/li&gt;</v>
      </c>
      <c r="W779" s="15" t="str">
        <f>_xlfn.TEXTBEFORE(_xlfn.TEXTAFTER(CantoralDB[[#This Row],[index.html]],"&gt;"),"&gt;")&amp;"&gt;"</f>
        <v>&lt;a href="canciones/hakuna/la_piel_por_ti.html"&gt;</v>
      </c>
    </row>
    <row r="780" spans="1:23" x14ac:dyDescent="0.3">
      <c r="A780" s="1">
        <f>ROW(CantoralDB[[#This Row],[Título]])-1</f>
        <v>779</v>
      </c>
      <c r="B780" s="1" t="s">
        <v>1975</v>
      </c>
      <c r="C780" s="1"/>
      <c r="H780" s="1" t="s">
        <v>1029</v>
      </c>
      <c r="I780" s="1" t="s">
        <v>2962</v>
      </c>
      <c r="J780" s="1" t="s">
        <v>608</v>
      </c>
      <c r="M780" s="15" t="s">
        <v>261</v>
      </c>
      <c r="N780" s="1" t="s">
        <v>1955</v>
      </c>
      <c r="O780" s="15">
        <v>4</v>
      </c>
      <c r="P780" s="15" t="str" cm="1">
        <f t="array" ref="P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80" s="15" t="str" cm="1">
        <f t="array" ref="Q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canciones/hakuna/el_abrazo.html</v>
      </c>
      <c r="S780" s="1"/>
      <c r="T780" s="1"/>
      <c r="U780" s="1"/>
      <c r="V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href="canciones/hakuna/el_abrazo.html"&gt;El abrazo&lt;/a&gt;&lt;/li&gt;</v>
      </c>
      <c r="W780" s="15" t="str">
        <f>_xlfn.TEXTBEFORE(_xlfn.TEXTAFTER(CantoralDB[[#This Row],[index.html]],"&gt;"),"&gt;")&amp;"&gt;"</f>
        <v>&lt;a href="canciones/hakuna/el_abrazo.html"&gt;</v>
      </c>
    </row>
    <row r="781" spans="1:23" x14ac:dyDescent="0.3">
      <c r="A781" s="1">
        <f>ROW(CantoralDB[[#This Row],[Título]])-1</f>
        <v>780</v>
      </c>
      <c r="B781" s="1" t="s">
        <v>1978</v>
      </c>
      <c r="C781" s="1"/>
      <c r="H781" s="1" t="s">
        <v>1027</v>
      </c>
      <c r="I781" s="1" t="s">
        <v>2961</v>
      </c>
      <c r="J781" s="1" t="s">
        <v>608</v>
      </c>
      <c r="M781" s="15" t="s">
        <v>261</v>
      </c>
      <c r="N781" s="1" t="s">
        <v>1955</v>
      </c>
      <c r="O781" s="15">
        <v>5</v>
      </c>
      <c r="P781" s="15" t="str" cm="1">
        <f t="array" ref="P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81" s="15" t="str" cm="1">
        <f t="array" ref="Q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canciones/hakuna/en_lo_hondo.html</v>
      </c>
      <c r="S781" s="1"/>
      <c r="T781" s="1"/>
      <c r="U781" s="1"/>
      <c r="V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href="canciones/hakuna/en_lo_hondo.html"&gt;En lo hondo&lt;/a&gt;&lt;/li&gt;</v>
      </c>
      <c r="W781" s="15" t="str">
        <f>_xlfn.TEXTBEFORE(_xlfn.TEXTAFTER(CantoralDB[[#This Row],[index.html]],"&gt;"),"&gt;")&amp;"&gt;"</f>
        <v>&lt;a href="canciones/hakuna/en_lo_hondo.html"&gt;</v>
      </c>
    </row>
    <row r="782" spans="1:23" x14ac:dyDescent="0.3">
      <c r="A782" s="1">
        <f>ROW(CantoralDB[[#This Row],[Título]])-1</f>
        <v>781</v>
      </c>
      <c r="B782" s="1" t="s">
        <v>1943</v>
      </c>
      <c r="C782" s="1"/>
      <c r="H782" s="1" t="s">
        <v>531</v>
      </c>
      <c r="I782" s="1" t="s">
        <v>2961</v>
      </c>
      <c r="J782" s="1" t="s">
        <v>608</v>
      </c>
      <c r="M782" s="15" t="s">
        <v>261</v>
      </c>
      <c r="N782" s="1" t="s">
        <v>1955</v>
      </c>
      <c r="O782" s="15">
        <v>6</v>
      </c>
      <c r="P782" s="15" t="str" cm="1">
        <f t="array" ref="P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82" s="15" t="str" cm="1">
        <f t="array" ref="Q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canciones/hakuna/colombia.html</v>
      </c>
      <c r="S782" s="1"/>
      <c r="T782" s="1"/>
      <c r="U782" s="1"/>
      <c r="V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href="canciones/hakuna/colombia.html"&gt;Colombia&lt;/a&gt;&lt;/li&gt;</v>
      </c>
      <c r="W782" s="15" t="str">
        <f>_xlfn.TEXTBEFORE(_xlfn.TEXTAFTER(CantoralDB[[#This Row],[index.html]],"&gt;"),"&gt;")&amp;"&gt;"</f>
        <v>&lt;a href="canciones/hakuna/colombia.html"&gt;</v>
      </c>
    </row>
    <row r="783" spans="1:23" x14ac:dyDescent="0.3">
      <c r="A783" s="1">
        <f>ROW(CantoralDB[[#This Row],[Título]])-1</f>
        <v>782</v>
      </c>
      <c r="B783" s="1" t="s">
        <v>1958</v>
      </c>
      <c r="C783" s="1"/>
      <c r="H783" s="1" t="s">
        <v>531</v>
      </c>
      <c r="I783" s="1" t="s">
        <v>2962</v>
      </c>
      <c r="J783" s="1" t="s">
        <v>608</v>
      </c>
      <c r="M783" s="15" t="s">
        <v>261</v>
      </c>
      <c r="N783" s="1" t="s">
        <v>1955</v>
      </c>
      <c r="O783" s="15">
        <v>7</v>
      </c>
      <c r="P783" s="15" t="str" cm="1">
        <f t="array" ref="P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83" s="15" t="str" cm="1">
        <f t="array" ref="Q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canciones/hakuna/vertigo.html</v>
      </c>
      <c r="S783" s="1"/>
      <c r="T783" s="1"/>
      <c r="U783" s="1"/>
      <c r="V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href="canciones/hakuna/vertigo.html"&gt;Vértigo&lt;/a&gt;&lt;/li&gt;</v>
      </c>
      <c r="W783" s="15" t="str">
        <f>_xlfn.TEXTBEFORE(_xlfn.TEXTAFTER(CantoralDB[[#This Row],[index.html]],"&gt;"),"&gt;")&amp;"&gt;"</f>
        <v>&lt;a href="canciones/hakuna/vertigo.html"&gt;</v>
      </c>
    </row>
    <row r="784" spans="1:23" x14ac:dyDescent="0.3">
      <c r="A784" s="1">
        <f>ROW(CantoralDB[[#This Row],[Título]])-1</f>
        <v>783</v>
      </c>
      <c r="B784" s="1" t="s">
        <v>1944</v>
      </c>
      <c r="C784" s="1"/>
      <c r="H784" s="1" t="s">
        <v>1030</v>
      </c>
      <c r="I784" s="1" t="s">
        <v>2966</v>
      </c>
      <c r="J784" s="1" t="s">
        <v>608</v>
      </c>
      <c r="M784" s="15" t="s">
        <v>261</v>
      </c>
      <c r="N784" s="1" t="s">
        <v>1955</v>
      </c>
      <c r="O784" s="15">
        <v>8</v>
      </c>
      <c r="P784" s="15" t="str" cm="1">
        <f t="array" ref="P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84" s="15" t="str" cm="1">
        <f t="array" ref="Q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canciones/hakuna/concienciame.html</v>
      </c>
      <c r="S784" s="1"/>
      <c r="T784" s="1"/>
      <c r="U784" s="1"/>
      <c r="V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href="canciones/hakuna/concienciame.html"&gt;Conciénciame&lt;/a&gt;&lt;/li&gt;</v>
      </c>
      <c r="W784" s="15" t="str">
        <f>_xlfn.TEXTBEFORE(_xlfn.TEXTAFTER(CantoralDB[[#This Row],[index.html]],"&gt;"),"&gt;")&amp;"&gt;"</f>
        <v>&lt;a href="canciones/hakuna/concienciame.html"&gt;</v>
      </c>
    </row>
    <row r="785" spans="1:23" x14ac:dyDescent="0.3">
      <c r="A785" s="1">
        <f>ROW(CantoralDB[[#This Row],[Título]])-1</f>
        <v>784</v>
      </c>
      <c r="B785" s="1" t="s">
        <v>1941</v>
      </c>
      <c r="C785" s="1"/>
      <c r="H785" s="1" t="s">
        <v>1030</v>
      </c>
      <c r="I785" s="1" t="s">
        <v>2966</v>
      </c>
      <c r="J785" s="1" t="s">
        <v>608</v>
      </c>
      <c r="M785" s="15" t="s">
        <v>261</v>
      </c>
      <c r="N785" s="1" t="s">
        <v>1955</v>
      </c>
      <c r="O785" s="15">
        <v>9</v>
      </c>
      <c r="P785" s="15" t="str" cm="1">
        <f t="array" ref="P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85" s="15" t="str" cm="1">
        <f t="array" ref="Q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canciones/hakuna/bendito.html</v>
      </c>
      <c r="S785" s="1"/>
      <c r="T785" s="1"/>
      <c r="U785" s="1"/>
      <c r="V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href="canciones/hakuna/bendito.html"&gt;Bendito&lt;/a&gt;&lt;/li&gt;</v>
      </c>
      <c r="W785" s="15" t="str">
        <f>_xlfn.TEXTBEFORE(_xlfn.TEXTAFTER(CantoralDB[[#This Row],[index.html]],"&gt;"),"&gt;")&amp;"&gt;"</f>
        <v>&lt;a href="canciones/hakuna/bendito.html"&gt;</v>
      </c>
    </row>
    <row r="786" spans="1:23" x14ac:dyDescent="0.3">
      <c r="A786" s="1">
        <f>ROW(CantoralDB[[#This Row],[Título]])-1</f>
        <v>785</v>
      </c>
      <c r="B786" s="1" t="s">
        <v>1979</v>
      </c>
      <c r="C786" s="1"/>
      <c r="H786" s="1" t="s">
        <v>1030</v>
      </c>
      <c r="I786" s="1" t="s">
        <v>2961</v>
      </c>
      <c r="J786" s="1" t="s">
        <v>608</v>
      </c>
      <c r="M786" s="15" t="s">
        <v>261</v>
      </c>
      <c r="N786" s="1" t="s">
        <v>1955</v>
      </c>
      <c r="O786" s="15">
        <v>10</v>
      </c>
      <c r="P786" s="15" t="str" cm="1">
        <f t="array" ref="P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86" s="15" t="str" cm="1">
        <f t="array" ref="Q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canciones/hakuna/arde_(san_jose).html</v>
      </c>
      <c r="S786" s="1"/>
      <c r="T786" s="1"/>
      <c r="U786" s="1"/>
      <c r="V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href="canciones/hakuna/arde_(san_jose).html"&gt;Arde (San José)&lt;/a&gt;&lt;/li&gt;</v>
      </c>
      <c r="W786" s="15" t="str">
        <f>_xlfn.TEXTBEFORE(_xlfn.TEXTAFTER(CantoralDB[[#This Row],[index.html]],"&gt;"),"&gt;")&amp;"&gt;"</f>
        <v>&lt;a href="canciones/hakuna/arde_(san_jose).html"&gt;</v>
      </c>
    </row>
    <row r="787" spans="1:23" x14ac:dyDescent="0.3">
      <c r="A787" s="1">
        <f>ROW(CantoralDB[[#This Row],[Título]])-1</f>
        <v>786</v>
      </c>
      <c r="B787" s="1" t="s">
        <v>1980</v>
      </c>
      <c r="C787" s="1"/>
      <c r="H787" s="1" t="s">
        <v>531</v>
      </c>
      <c r="I787" s="1" t="s">
        <v>2961</v>
      </c>
      <c r="J787" s="1" t="s">
        <v>608</v>
      </c>
      <c r="M787" s="15" t="s">
        <v>261</v>
      </c>
      <c r="N787" s="1" t="s">
        <v>1955</v>
      </c>
      <c r="O787" s="15">
        <v>11</v>
      </c>
      <c r="P787" s="15" t="str" cm="1">
        <f t="array" ref="P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87" s="15" t="str" cm="1">
        <f t="array" ref="Q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canciones/hakuna/todos_por_todos.html</v>
      </c>
      <c r="S787" s="1"/>
      <c r="T787" s="1"/>
      <c r="U787" s="1"/>
      <c r="V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href="canciones/hakuna/todos_por_todos.html"&gt;Todos por todos&lt;/a&gt;&lt;/li&gt;</v>
      </c>
      <c r="W787" s="15" t="str">
        <f>_xlfn.TEXTBEFORE(_xlfn.TEXTAFTER(CantoralDB[[#This Row],[index.html]],"&gt;"),"&gt;")&amp;"&gt;"</f>
        <v>&lt;a href="canciones/hakuna/todos_por_todos.html"&gt;</v>
      </c>
    </row>
    <row r="788" spans="1:23" x14ac:dyDescent="0.3">
      <c r="A788" s="1">
        <f>ROW(CantoralDB[[#This Row],[Título]])-1</f>
        <v>787</v>
      </c>
      <c r="B788" s="1" t="s">
        <v>1947</v>
      </c>
      <c r="C788" s="1"/>
      <c r="H788" s="1" t="s">
        <v>1030</v>
      </c>
      <c r="I788" s="1" t="s">
        <v>2966</v>
      </c>
      <c r="J788" s="1" t="s">
        <v>608</v>
      </c>
      <c r="M788" s="15" t="s">
        <v>261</v>
      </c>
      <c r="N788" s="1" t="s">
        <v>1955</v>
      </c>
      <c r="O788" s="15">
        <v>12</v>
      </c>
      <c r="P788" s="15" t="str" cm="1">
        <f t="array" ref="P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88" s="15" t="str" cm="1">
        <f t="array" ref="Q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canciones/hakuna/forofos.html</v>
      </c>
      <c r="S788" s="1"/>
      <c r="T788" s="1"/>
      <c r="U788" s="1"/>
      <c r="V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href="canciones/hakuna/forofos.html"&gt;Forofos&lt;/a&gt;&lt;/li&gt;</v>
      </c>
      <c r="W788" s="15" t="str">
        <f>_xlfn.TEXTBEFORE(_xlfn.TEXTAFTER(CantoralDB[[#This Row],[index.html]],"&gt;"),"&gt;")&amp;"&gt;"</f>
        <v>&lt;a href="canciones/hakuna/forofos.html"&gt;</v>
      </c>
    </row>
    <row r="789" spans="1:23" x14ac:dyDescent="0.3">
      <c r="A789" s="1">
        <f>ROW(CantoralDB[[#This Row],[Título]])-1</f>
        <v>788</v>
      </c>
      <c r="B789" s="1" t="s">
        <v>1977</v>
      </c>
      <c r="C789" s="1"/>
      <c r="J789" s="1"/>
      <c r="M789" s="15" t="s">
        <v>261</v>
      </c>
      <c r="N789" s="1" t="s">
        <v>1955</v>
      </c>
      <c r="O789" s="15"/>
      <c r="P789" s="15" t="str" cm="1">
        <f t="array" ref="P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89" s="15" t="str" cm="1">
        <f t="array" ref="Q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canciones/hakuna/madre_de_hakuna.html</v>
      </c>
      <c r="S789" s="1"/>
      <c r="T789" s="1"/>
      <c r="U789" s="1"/>
      <c r="V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href="canciones/hakuna/madre_de_hakuna.html"&gt;Madre de Hakuna&lt;/a&gt;&lt;/li&gt;</v>
      </c>
      <c r="W789" s="15" t="str">
        <f>_xlfn.TEXTBEFORE(_xlfn.TEXTAFTER(CantoralDB[[#This Row],[index.html]],"&gt;"),"&gt;")&amp;"&gt;"</f>
        <v>&lt;a href="canciones/hakuna/madre_de_hakuna.html"&gt;</v>
      </c>
    </row>
    <row r="790" spans="1:23" x14ac:dyDescent="0.3">
      <c r="A790" s="1">
        <f>ROW(CantoralDB[[#This Row],[Título]])-1</f>
        <v>789</v>
      </c>
      <c r="B790" s="1" t="s">
        <v>2005</v>
      </c>
      <c r="C790" s="1"/>
      <c r="H790" s="1" t="s">
        <v>531</v>
      </c>
      <c r="I790" s="1" t="s">
        <v>2961</v>
      </c>
      <c r="J790" s="1" t="s">
        <v>608</v>
      </c>
      <c r="M790" s="15" t="s">
        <v>261</v>
      </c>
      <c r="N790" s="1" t="s">
        <v>2868</v>
      </c>
      <c r="O790" s="15">
        <v>1</v>
      </c>
      <c r="P790" s="15" t="str" cm="1">
        <f t="array" ref="P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90" s="15" t="str" cm="1">
        <f t="array" ref="Q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canciones/hakuna/a_ti_te_alabo.html</v>
      </c>
      <c r="S790" s="1"/>
      <c r="T790" s="1"/>
      <c r="U790" s="1"/>
      <c r="V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href="canciones/hakuna/a_ti_te_alabo.html"&gt;A ti te alabo&lt;/a&gt;&lt;/li&gt;</v>
      </c>
      <c r="W790" s="15" t="str">
        <f>_xlfn.TEXTBEFORE(_xlfn.TEXTAFTER(CantoralDB[[#This Row],[index.html]],"&gt;"),"&gt;")&amp;"&gt;"</f>
        <v>&lt;a href="canciones/hakuna/a_ti_te_alabo.html"&gt;</v>
      </c>
    </row>
    <row r="791" spans="1:23" x14ac:dyDescent="0.3">
      <c r="A791" s="1">
        <f>ROW(CantoralDB[[#This Row],[Título]])-1</f>
        <v>790</v>
      </c>
      <c r="B791" s="1" t="s">
        <v>2870</v>
      </c>
      <c r="C791" s="1"/>
      <c r="H791" s="1" t="s">
        <v>531</v>
      </c>
      <c r="J791" s="1" t="s">
        <v>608</v>
      </c>
      <c r="M791" s="15" t="s">
        <v>261</v>
      </c>
      <c r="N791" s="1" t="s">
        <v>2868</v>
      </c>
      <c r="O791" s="15">
        <v>2</v>
      </c>
      <c r="P791" s="15" t="str" cm="1">
        <f t="array" ref="P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91" s="15" t="str" cm="1">
        <f t="array" ref="Q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canciones/hakuna/los_coros_del_universo.html</v>
      </c>
      <c r="S791" s="1"/>
      <c r="T791" s="1"/>
      <c r="U791" s="1"/>
      <c r="V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href="canciones/hakuna/los_coros_del_universo.html"&gt;Los coros del universo&lt;/a&gt;&lt;/li&gt;</v>
      </c>
      <c r="W791" s="15" t="str">
        <f>_xlfn.TEXTBEFORE(_xlfn.TEXTAFTER(CantoralDB[[#This Row],[index.html]],"&gt;"),"&gt;")&amp;"&gt;"</f>
        <v>&lt;a href="canciones/hakuna/los_coros_del_universo.html"&gt;</v>
      </c>
    </row>
    <row r="792" spans="1:23" x14ac:dyDescent="0.3">
      <c r="A792" s="1">
        <f>ROW(CantoralDB[[#This Row],[Título]])-1</f>
        <v>791</v>
      </c>
      <c r="B792" s="1" t="s">
        <v>2006</v>
      </c>
      <c r="C792" s="1"/>
      <c r="H792" s="1" t="s">
        <v>1030</v>
      </c>
      <c r="I792" s="1" t="s">
        <v>2963</v>
      </c>
      <c r="J792" s="1" t="s">
        <v>608</v>
      </c>
      <c r="M792" s="15" t="s">
        <v>261</v>
      </c>
      <c r="N792" s="1" t="s">
        <v>2868</v>
      </c>
      <c r="O792" s="15">
        <v>3</v>
      </c>
      <c r="P792" s="15" t="str" cm="1">
        <f t="array" ref="P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92" s="15" t="str" cm="1">
        <f t="array" ref="Q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canciones/hakuna/en_medio_del_fuego.html</v>
      </c>
      <c r="S792" s="1"/>
      <c r="T792" s="1"/>
      <c r="U792" s="1"/>
      <c r="V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href="canciones/hakuna/en_medio_del_fuego.html"&gt;En medio del fuego&lt;/a&gt;&lt;/li&gt;</v>
      </c>
      <c r="W792" s="15" t="str">
        <f>_xlfn.TEXTBEFORE(_xlfn.TEXTAFTER(CantoralDB[[#This Row],[index.html]],"&gt;"),"&gt;")&amp;"&gt;"</f>
        <v>&lt;a href="canciones/hakuna/en_medio_del_fuego.html"&gt;</v>
      </c>
    </row>
    <row r="793" spans="1:23" x14ac:dyDescent="0.3">
      <c r="A793" s="1">
        <f>ROW(CantoralDB[[#This Row],[Título]])-1</f>
        <v>792</v>
      </c>
      <c r="B793" s="1" t="s">
        <v>194</v>
      </c>
      <c r="C793" s="1"/>
      <c r="H793" s="1" t="s">
        <v>1030</v>
      </c>
      <c r="J793" s="1" t="s">
        <v>608</v>
      </c>
      <c r="M793" s="15" t="s">
        <v>261</v>
      </c>
      <c r="N793" s="1" t="s">
        <v>2868</v>
      </c>
      <c r="O793" s="15">
        <v>4</v>
      </c>
      <c r="P793" s="15" t="str" cm="1">
        <f t="array" ref="P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93" s="15" t="str" cm="1">
        <f t="array" ref="Q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canciones/hakuna/aleluya.html</v>
      </c>
      <c r="S793" s="1"/>
      <c r="T793" s="1"/>
      <c r="U793" s="1"/>
      <c r="V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href="canciones/hakuna/aleluya.html"&gt;Aleluya&lt;/a&gt;&lt;/li&gt;</v>
      </c>
      <c r="W793" s="15" t="str">
        <f>_xlfn.TEXTBEFORE(_xlfn.TEXTAFTER(CantoralDB[[#This Row],[index.html]],"&gt;"),"&gt;")&amp;"&gt;"</f>
        <v>&lt;a href="canciones/hakuna/aleluya.html"&gt;</v>
      </c>
    </row>
    <row r="794" spans="1:23" x14ac:dyDescent="0.3">
      <c r="A794" s="1">
        <f>ROW(CantoralDB[[#This Row],[Título]])-1</f>
        <v>793</v>
      </c>
      <c r="B794" s="1" t="s">
        <v>1758</v>
      </c>
      <c r="C794" s="1"/>
      <c r="H794" s="1" t="s">
        <v>1030</v>
      </c>
      <c r="J794" s="1" t="s">
        <v>608</v>
      </c>
      <c r="M794" s="15" t="s">
        <v>261</v>
      </c>
      <c r="N794" s="1" t="s">
        <v>2868</v>
      </c>
      <c r="O794" s="15">
        <v>5</v>
      </c>
      <c r="P794" s="15" t="str" cm="1">
        <f t="array" ref="P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94" s="15" t="str" cm="1">
        <f t="array" ref="Q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canciones/hakuna/ruah.html</v>
      </c>
      <c r="S794" s="1"/>
      <c r="T794" s="1"/>
      <c r="U794" s="1"/>
      <c r="V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href="canciones/hakuna/ruah.html"&gt;Ruah&lt;/a&gt;&lt;/li&gt;</v>
      </c>
      <c r="W794" s="15" t="str">
        <f>_xlfn.TEXTBEFORE(_xlfn.TEXTAFTER(CantoralDB[[#This Row],[index.html]],"&gt;"),"&gt;")&amp;"&gt;"</f>
        <v>&lt;a href="canciones/hakuna/ruah.html"&gt;</v>
      </c>
    </row>
    <row r="795" spans="1:23" x14ac:dyDescent="0.3">
      <c r="A795" s="1">
        <f>ROW(CantoralDB[[#This Row],[Título]])-1</f>
        <v>794</v>
      </c>
      <c r="B795" s="1" t="s">
        <v>1717</v>
      </c>
      <c r="C795" s="1"/>
      <c r="H795" s="1" t="s">
        <v>1027</v>
      </c>
      <c r="J795" s="1" t="s">
        <v>608</v>
      </c>
      <c r="M795" s="15" t="s">
        <v>261</v>
      </c>
      <c r="N795" s="1" t="s">
        <v>2868</v>
      </c>
      <c r="O795" s="15">
        <v>6</v>
      </c>
      <c r="P795" s="15" t="str" cm="1">
        <f t="array" ref="P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95" s="15" t="str" cm="1">
        <f t="array" ref="Q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canciones/hakuna/padre.html</v>
      </c>
      <c r="S795" s="1"/>
      <c r="T795" s="1"/>
      <c r="U795" s="1"/>
      <c r="V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href="canciones/hakuna/padre.html"&gt;Padre&lt;/a&gt;&lt;/li&gt;</v>
      </c>
      <c r="W795" s="15" t="str">
        <f>_xlfn.TEXTBEFORE(_xlfn.TEXTAFTER(CantoralDB[[#This Row],[index.html]],"&gt;"),"&gt;")&amp;"&gt;"</f>
        <v>&lt;a href="canciones/hakuna/padre.html"&gt;</v>
      </c>
    </row>
    <row r="796" spans="1:23" x14ac:dyDescent="0.3">
      <c r="A796" s="1">
        <f>ROW(CantoralDB[[#This Row],[Título]])-1</f>
        <v>795</v>
      </c>
      <c r="B796" s="1" t="s">
        <v>2871</v>
      </c>
      <c r="C796" s="1"/>
      <c r="H796" s="1" t="s">
        <v>1030</v>
      </c>
      <c r="I796" s="1" t="s">
        <v>2962</v>
      </c>
      <c r="J796" s="1" t="s">
        <v>608</v>
      </c>
      <c r="M796" s="15" t="s">
        <v>261</v>
      </c>
      <c r="N796" s="1" t="s">
        <v>2868</v>
      </c>
      <c r="O796" s="15">
        <v>7</v>
      </c>
      <c r="P796" s="15" t="str" cm="1">
        <f t="array" ref="P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96" s="15" t="str" cm="1">
        <f t="array" ref="Q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canciones/hakuna/te_alabare.html</v>
      </c>
      <c r="S796" s="1"/>
      <c r="T796" s="1"/>
      <c r="U796" s="1"/>
      <c r="V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href="canciones/hakuna/te_alabare.html"&gt;Te alabaré&lt;/a&gt;&lt;/li&gt;</v>
      </c>
      <c r="W796" s="15" t="str">
        <f>_xlfn.TEXTBEFORE(_xlfn.TEXTAFTER(CantoralDB[[#This Row],[index.html]],"&gt;"),"&gt;")&amp;"&gt;"</f>
        <v>&lt;a href="canciones/hakuna/te_alabare.html"&gt;</v>
      </c>
    </row>
    <row r="797" spans="1:23" x14ac:dyDescent="0.3">
      <c r="A797" s="1">
        <f>ROW(CantoralDB[[#This Row],[Título]])-1</f>
        <v>796</v>
      </c>
      <c r="B797" s="1" t="s">
        <v>2872</v>
      </c>
      <c r="C797" s="1"/>
      <c r="H797" s="1" t="s">
        <v>1027</v>
      </c>
      <c r="J797" s="1" t="s">
        <v>608</v>
      </c>
      <c r="M797" s="15" t="s">
        <v>261</v>
      </c>
      <c r="N797" s="1" t="s">
        <v>2868</v>
      </c>
      <c r="O797" s="15">
        <v>8</v>
      </c>
      <c r="P797" s="15" t="str" cm="1">
        <f t="array" ref="P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97" s="15" t="str" cm="1">
        <f t="array" ref="Q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canciones/hakuna/sanas.html</v>
      </c>
      <c r="S797" s="1"/>
      <c r="T797" s="1"/>
      <c r="U797" s="1"/>
      <c r="V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href="canciones/hakuna/sanas.html"&gt;Sanas&lt;/a&gt;&lt;/li&gt;</v>
      </c>
      <c r="W797" s="15" t="str">
        <f>_xlfn.TEXTBEFORE(_xlfn.TEXTAFTER(CantoralDB[[#This Row],[index.html]],"&gt;"),"&gt;")&amp;"&gt;"</f>
        <v>&lt;a href="canciones/hakuna/sanas.html"&gt;</v>
      </c>
    </row>
    <row r="798" spans="1:23" x14ac:dyDescent="0.3">
      <c r="A798" s="1">
        <f>ROW(CantoralDB[[#This Row],[Título]])-1</f>
        <v>797</v>
      </c>
      <c r="B798" s="1" t="s">
        <v>1802</v>
      </c>
      <c r="C798" s="1"/>
      <c r="H798" s="1" t="s">
        <v>1030</v>
      </c>
      <c r="J798" s="1" t="s">
        <v>608</v>
      </c>
      <c r="M798" s="15" t="s">
        <v>261</v>
      </c>
      <c r="N798" s="1" t="s">
        <v>2868</v>
      </c>
      <c r="O798" s="15">
        <v>9</v>
      </c>
      <c r="P798" s="15" t="str" cm="1">
        <f t="array" ref="P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98" s="15" t="str" cm="1">
        <f t="array" ref="Q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canciones/hakuna/solo_tu.html</v>
      </c>
      <c r="S798" s="1"/>
      <c r="T798" s="1"/>
      <c r="U798" s="1"/>
      <c r="V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href="canciones/hakuna/solo_tu.html"&gt;Sólo Tú&lt;/a&gt;&lt;/li&gt;</v>
      </c>
      <c r="W798" s="15" t="str">
        <f>_xlfn.TEXTBEFORE(_xlfn.TEXTAFTER(CantoralDB[[#This Row],[index.html]],"&gt;"),"&gt;")&amp;"&gt;"</f>
        <v>&lt;a href="canciones/hakuna/solo_tu.html"&gt;</v>
      </c>
    </row>
    <row r="799" spans="1:23" x14ac:dyDescent="0.3">
      <c r="A799" s="1">
        <f>ROW(CantoralDB[[#This Row],[Título]])-1</f>
        <v>798</v>
      </c>
      <c r="B799" s="1" t="s">
        <v>2021</v>
      </c>
      <c r="C799" s="1"/>
      <c r="H799" s="1" t="s">
        <v>1030</v>
      </c>
      <c r="I799" s="1" t="s">
        <v>2961</v>
      </c>
      <c r="J799" s="1" t="s">
        <v>608</v>
      </c>
      <c r="M799" s="15" t="s">
        <v>261</v>
      </c>
      <c r="N799" s="1" t="s">
        <v>2868</v>
      </c>
      <c r="O799" s="15">
        <v>10</v>
      </c>
      <c r="P799" s="15" t="str" cm="1">
        <f t="array" ref="P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799" s="15" t="str" cm="1">
        <f t="array" ref="Q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7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canciones/hakuna/el_unico_rey.html</v>
      </c>
      <c r="S799" s="1"/>
      <c r="T799" s="1"/>
      <c r="U799" s="1"/>
      <c r="V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href="canciones/hakuna/el_unico_rey.html"&gt;El único rey&lt;/a&gt;&lt;/li&gt;</v>
      </c>
      <c r="W799" s="15" t="str">
        <f>_xlfn.TEXTBEFORE(_xlfn.TEXTAFTER(CantoralDB[[#This Row],[index.html]],"&gt;"),"&gt;")&amp;"&gt;"</f>
        <v>&lt;a href="canciones/hakuna/el_unico_rey.html"&gt;</v>
      </c>
    </row>
    <row r="800" spans="1:23" x14ac:dyDescent="0.3">
      <c r="A800" s="1">
        <f>ROW(CantoralDB[[#This Row],[Título]])-1</f>
        <v>799</v>
      </c>
      <c r="B800" s="1" t="s">
        <v>1981</v>
      </c>
      <c r="C800" s="1"/>
      <c r="H800" s="1" t="s">
        <v>1027</v>
      </c>
      <c r="I800" s="1" t="s">
        <v>2959</v>
      </c>
      <c r="J800" s="1" t="s">
        <v>608</v>
      </c>
      <c r="M800" s="15" t="s">
        <v>261</v>
      </c>
      <c r="N800" s="1" t="s">
        <v>2139</v>
      </c>
      <c r="O800" s="15">
        <v>1</v>
      </c>
      <c r="P800" s="15" t="str" cm="1">
        <f t="array" ref="P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800" s="15" t="str" cm="1">
        <f t="array" ref="Q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8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canciones/hakuna/hoy_en_belen.html</v>
      </c>
      <c r="S800" s="1"/>
      <c r="T800" s="1"/>
      <c r="U800" s="1"/>
      <c r="V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href="canciones/hakuna/hoy_en_belen.html"&gt;Hoy en Belén&lt;/a&gt;&lt;/li&gt;</v>
      </c>
      <c r="W800" s="15" t="str">
        <f>_xlfn.TEXTBEFORE(_xlfn.TEXTAFTER(CantoralDB[[#This Row],[index.html]],"&gt;"),"&gt;")&amp;"&gt;"</f>
        <v>&lt;a href="canciones/hakuna/hoy_en_belen.html"&gt;</v>
      </c>
    </row>
    <row r="801" spans="1:23" x14ac:dyDescent="0.3">
      <c r="A801" s="1">
        <f>ROW(CantoralDB[[#This Row],[Título]])-1</f>
        <v>800</v>
      </c>
      <c r="B801" s="1" t="s">
        <v>1986</v>
      </c>
      <c r="C801" s="1"/>
      <c r="H801" s="1" t="s">
        <v>1030</v>
      </c>
      <c r="I801" s="1" t="s">
        <v>2961</v>
      </c>
      <c r="J801" s="1" t="s">
        <v>608</v>
      </c>
      <c r="M801" s="15" t="s">
        <v>261</v>
      </c>
      <c r="N801" s="1" t="s">
        <v>2139</v>
      </c>
      <c r="O801" s="15">
        <v>2</v>
      </c>
      <c r="P801" s="15" t="str" cm="1">
        <f t="array" ref="P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801" s="15" t="str" cm="1">
        <f t="array" ref="Q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8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canciones/hakuna/lo_imposible.html</v>
      </c>
      <c r="S801" s="1"/>
      <c r="T801" s="1"/>
      <c r="U801" s="1"/>
      <c r="V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href="canciones/hakuna/lo_imposible.html"&gt;Lo imposible&lt;/a&gt;&lt;/li&gt;</v>
      </c>
      <c r="W801" s="15" t="str">
        <f>_xlfn.TEXTBEFORE(_xlfn.TEXTAFTER(CantoralDB[[#This Row],[index.html]],"&gt;"),"&gt;")&amp;"&gt;"</f>
        <v>&lt;a href="canciones/hakuna/lo_imposible.html"&gt;</v>
      </c>
    </row>
    <row r="802" spans="1:23" x14ac:dyDescent="0.3">
      <c r="A802" s="1">
        <f>ROW(CantoralDB[[#This Row],[Título]])-1</f>
        <v>801</v>
      </c>
      <c r="B802" s="1" t="s">
        <v>1991</v>
      </c>
      <c r="C802" s="1"/>
      <c r="H802" s="1" t="s">
        <v>531</v>
      </c>
      <c r="I802" s="1" t="s">
        <v>2961</v>
      </c>
      <c r="J802" s="1" t="s">
        <v>608</v>
      </c>
      <c r="M802" s="15" t="s">
        <v>261</v>
      </c>
      <c r="N802" s="1" t="s">
        <v>2139</v>
      </c>
      <c r="O802" s="15">
        <v>3</v>
      </c>
      <c r="P802" s="15" t="str" cm="1">
        <f t="array" ref="P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802" s="15" t="str" cm="1">
        <f t="array" ref="Q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8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canciones/hakuna/del_cielo.html</v>
      </c>
      <c r="S802" s="1"/>
      <c r="T802" s="1"/>
      <c r="U802" s="1"/>
      <c r="V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href="canciones/hakuna/del_cielo.html"&gt;Del cielo&lt;/a&gt;&lt;/li&gt;</v>
      </c>
      <c r="W802" s="15" t="str">
        <f>_xlfn.TEXTBEFORE(_xlfn.TEXTAFTER(CantoralDB[[#This Row],[index.html]],"&gt;"),"&gt;")&amp;"&gt;"</f>
        <v>&lt;a href="canciones/hakuna/del_cielo.html"&gt;</v>
      </c>
    </row>
    <row r="803" spans="1:23" x14ac:dyDescent="0.3">
      <c r="A803" s="1">
        <f>ROW(CantoralDB[[#This Row],[Título]])-1</f>
        <v>802</v>
      </c>
      <c r="B803" s="1" t="s">
        <v>2002</v>
      </c>
      <c r="C803" s="1"/>
      <c r="H803" s="1" t="s">
        <v>531</v>
      </c>
      <c r="I803" s="1" t="s">
        <v>2961</v>
      </c>
      <c r="J803" s="1" t="s">
        <v>608</v>
      </c>
      <c r="M803" s="15" t="s">
        <v>261</v>
      </c>
      <c r="N803" s="1" t="s">
        <v>2139</v>
      </c>
      <c r="O803" s="15">
        <v>4</v>
      </c>
      <c r="P803" s="15" t="str" cm="1">
        <f t="array" ref="P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Q803" s="15" t="str" cm="1">
        <f t="array" ref="Q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R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canciones/hakuna/juntos.html</v>
      </c>
      <c r="S803" s="1"/>
      <c r="T803" s="1"/>
      <c r="U803" s="1"/>
      <c r="V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data-author="Hakuna"&gt;&lt;a href="canciones/hakuna/juntos.html"&gt;Juntos&lt;/a&gt;&lt;/li&gt;</v>
      </c>
      <c r="W803" s="15" t="str">
        <f>_xlfn.TEXTBEFORE(_xlfn.TEXTAFTER(CantoralDB[[#This Row],[index.html]],"&gt;"),"&gt;")&amp;"&gt;"</f>
        <v>&lt;a href="canciones/hakuna/juntos.html"&gt;</v>
      </c>
    </row>
    <row r="804" spans="1:23" x14ac:dyDescent="0.3">
      <c r="A804" s="1">
        <f>ROW(CantoralDB[[#This Row],[Título]])-1</f>
        <v>803</v>
      </c>
      <c r="B804" s="1" t="s">
        <v>2739</v>
      </c>
      <c r="C804" s="1"/>
      <c r="F804" s="1">
        <v>355</v>
      </c>
      <c r="J804" s="1"/>
      <c r="M804" s="15" t="s">
        <v>2741</v>
      </c>
      <c r="N804" s="15"/>
      <c r="O804" s="15"/>
      <c r="P804" s="15" t="str" cm="1">
        <f t="array" ref="P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04" s="15" t="str" cm="1">
        <f t="array" ref="Q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canciones/nuevas/no_puedo_parar.html</v>
      </c>
      <c r="S804" s="1"/>
      <c r="T804" s="1"/>
      <c r="U804" s="1"/>
      <c r="V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data-author="Héctor Hermosillo"&gt;&lt;a href="canciones/nuevas/no_puedo_parar.html"&gt;No puedo parar&lt;/a&gt;&lt;/li&gt;</v>
      </c>
      <c r="W804" s="15" t="str">
        <f>_xlfn.TEXTBEFORE(_xlfn.TEXTAFTER(CantoralDB[[#This Row],[index.html]],"&gt;"),"&gt;")&amp;"&gt;"</f>
        <v>&lt;a href="canciones/nuevas/no_puedo_parar.html"&gt;</v>
      </c>
    </row>
    <row r="805" spans="1:23" x14ac:dyDescent="0.3">
      <c r="A805" s="1">
        <f>ROW(CantoralDB[[#This Row],[Título]])-1</f>
        <v>804</v>
      </c>
      <c r="B805" s="1" t="s">
        <v>2599</v>
      </c>
      <c r="C805" s="1"/>
      <c r="F805" s="1">
        <v>201</v>
      </c>
      <c r="J805" s="1"/>
      <c r="M805" s="15" t="s">
        <v>2600</v>
      </c>
      <c r="N805" s="15"/>
      <c r="O805" s="15"/>
      <c r="P805" s="15" t="str" cm="1">
        <f t="array" ref="P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05" s="15" t="str" cm="1">
        <f t="array" ref="Q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canciones/nuevas/quiero_agradecer.html</v>
      </c>
      <c r="S805" s="1"/>
      <c r="T805" s="1"/>
      <c r="U805" s="1"/>
      <c r="V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data-author="Henry Smith"&gt;&lt;a href="canciones/nuevas/quiero_agradecer.html"&gt;Quiero agradecer&lt;/a&gt;&lt;/li&gt;</v>
      </c>
      <c r="W805" s="15" t="str">
        <f>_xlfn.TEXTBEFORE(_xlfn.TEXTAFTER(CantoralDB[[#This Row],[index.html]],"&gt;"),"&gt;")&amp;"&gt;"</f>
        <v>&lt;a href="canciones/nuevas/quiero_agradecer.html"&gt;</v>
      </c>
    </row>
    <row r="806" spans="1:23" x14ac:dyDescent="0.3">
      <c r="A806" s="1">
        <f>ROW(CantoralDB[[#This Row],[Título]])-1</f>
        <v>805</v>
      </c>
      <c r="B806" s="1" t="s">
        <v>53</v>
      </c>
      <c r="C806" s="1"/>
      <c r="H806" s="1" t="s">
        <v>1027</v>
      </c>
      <c r="J806" s="1" t="s">
        <v>608</v>
      </c>
      <c r="M806" s="15" t="s">
        <v>2229</v>
      </c>
      <c r="N806" s="15" t="s">
        <v>53</v>
      </c>
      <c r="O806" s="15">
        <v>1</v>
      </c>
      <c r="P806" s="15" t="str" cm="1">
        <f t="array" ref="P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806" s="15" t="str" cm="1">
        <f t="array" ref="Q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R8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canciones/hermana_glenda/el_señor_es_mi_pastor.html</v>
      </c>
      <c r="S806" s="1" t="s">
        <v>2306</v>
      </c>
      <c r="T806" s="1"/>
      <c r="U806" s="1"/>
      <c r="V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href="canciones/hermana_glenda/el_señor_es_mi_pastor.html"&gt;El Señor es mi pastor&lt;/a&gt;&lt;/li&gt;</v>
      </c>
      <c r="W806" s="15" t="str">
        <f>_xlfn.TEXTBEFORE(_xlfn.TEXTAFTER(CantoralDB[[#This Row],[index.html]],"&gt;"),"&gt;")&amp;"&gt;"</f>
        <v>&lt;a href="canciones/hermana_glenda/el_señor_es_mi_pastor.html"&gt;</v>
      </c>
    </row>
    <row r="807" spans="1:23" x14ac:dyDescent="0.3">
      <c r="A807" s="1">
        <f>ROW(CantoralDB[[#This Row],[Título]])-1</f>
        <v>806</v>
      </c>
      <c r="B807" s="1" t="s">
        <v>2275</v>
      </c>
      <c r="C807" s="1"/>
      <c r="H807" s="1" t="s">
        <v>531</v>
      </c>
      <c r="J807" s="1" t="s">
        <v>608</v>
      </c>
      <c r="M807" s="15" t="s">
        <v>2229</v>
      </c>
      <c r="N807" s="15" t="s">
        <v>2259</v>
      </c>
      <c r="O807" s="15">
        <v>1</v>
      </c>
      <c r="P807" s="15" t="str" cm="1">
        <f t="array" ref="P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807" s="15" t="str" cm="1">
        <f t="array" ref="Q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R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canciones/hermana_glenda/ahi_tienes_a_tu_madre.html</v>
      </c>
      <c r="S807" s="1" t="s">
        <v>2361</v>
      </c>
      <c r="T807" s="1"/>
      <c r="U807" s="1"/>
      <c r="V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href="canciones/hermana_glenda/ahi_tienes_a_tu_madre.html"&gt;Ahí tienes a tu madre&lt;/a&gt;&lt;/li&gt;</v>
      </c>
      <c r="W807" s="15" t="str">
        <f>_xlfn.TEXTBEFORE(_xlfn.TEXTAFTER(CantoralDB[[#This Row],[index.html]],"&gt;"),"&gt;")&amp;"&gt;"</f>
        <v>&lt;a href="canciones/hermana_glenda/ahi_tienes_a_tu_madre.html"&gt;</v>
      </c>
    </row>
    <row r="808" spans="1:23" x14ac:dyDescent="0.3">
      <c r="A808" s="1">
        <f>ROW(CantoralDB[[#This Row],[Título]])-1</f>
        <v>807</v>
      </c>
      <c r="B808" s="1" t="s">
        <v>1214</v>
      </c>
      <c r="C808" s="1"/>
      <c r="F808" s="1">
        <v>249</v>
      </c>
      <c r="J808" s="1"/>
      <c r="M808" s="15" t="s">
        <v>2229</v>
      </c>
      <c r="N808" s="15"/>
      <c r="O808" s="15"/>
      <c r="P808" s="15" t="str" cm="1">
        <f t="array" ref="P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808" s="15" t="str" cm="1">
        <f t="array" ref="Q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canciones/hermana_glenda/el_auxilio_me_viene_del_señor.html</v>
      </c>
      <c r="S808" s="1" t="s">
        <v>2307</v>
      </c>
      <c r="T808" s="1"/>
      <c r="U808" s="1"/>
      <c r="V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href="canciones/hermana_glenda/el_auxilio_me_viene_del_señor.html"&gt;El auxilio me viene del Señor&lt;/a&gt;&lt;/li&gt;</v>
      </c>
      <c r="W808" s="15" t="str">
        <f>_xlfn.TEXTBEFORE(_xlfn.TEXTAFTER(CantoralDB[[#This Row],[index.html]],"&gt;"),"&gt;")&amp;"&gt;"</f>
        <v>&lt;a href="canciones/hermana_glenda/el_auxilio_me_viene_del_señor.html"&gt;</v>
      </c>
    </row>
    <row r="809" spans="1:23" x14ac:dyDescent="0.3">
      <c r="A809" s="1">
        <f>ROW(CantoralDB[[#This Row],[Título]])-1</f>
        <v>808</v>
      </c>
      <c r="B809" s="1" t="s">
        <v>2286</v>
      </c>
      <c r="C809" s="1"/>
      <c r="F809" s="1">
        <v>226</v>
      </c>
      <c r="J809" s="1"/>
      <c r="M809" s="15" t="s">
        <v>2229</v>
      </c>
      <c r="N809" s="15"/>
      <c r="O809" s="15"/>
      <c r="P809" s="15" t="str" cm="1">
        <f t="array" ref="P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809" s="15" t="str" cm="1">
        <f t="array" ref="Q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canciones/hermana_glenda/las_aguas_no_podran_apagar_el_amor.html</v>
      </c>
      <c r="S809" s="1"/>
      <c r="T809" s="1"/>
      <c r="U809" s="1"/>
      <c r="V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href="canciones/hermana_glenda/las_aguas_no_podran_apagar_el_amor.html"&gt;Las aguas no podrán apagar el amor&lt;/a&gt;&lt;/li&gt;</v>
      </c>
      <c r="W809" s="15" t="str">
        <f>_xlfn.TEXTBEFORE(_xlfn.TEXTAFTER(CantoralDB[[#This Row],[index.html]],"&gt;"),"&gt;")&amp;"&gt;"</f>
        <v>&lt;a href="canciones/hermana_glenda/las_aguas_no_podran_apagar_el_amor.html"&gt;</v>
      </c>
    </row>
    <row r="810" spans="1:23" x14ac:dyDescent="0.3">
      <c r="A810" s="1">
        <f>ROW(CantoralDB[[#This Row],[Título]])-1</f>
        <v>809</v>
      </c>
      <c r="B810" s="1" t="s">
        <v>2243</v>
      </c>
      <c r="C810" s="1"/>
      <c r="F810" s="1">
        <v>220</v>
      </c>
      <c r="J810" s="1"/>
      <c r="M810" s="15" t="s">
        <v>2229</v>
      </c>
      <c r="N810" s="15"/>
      <c r="O810" s="15"/>
      <c r="P810" s="15" t="str" cm="1">
        <f t="array" ref="P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810" s="15" t="str" cm="1">
        <f t="array" ref="Q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canciones/hermana_glenda/nada_es_imposible.html</v>
      </c>
      <c r="S810" s="1"/>
      <c r="T810" s="1"/>
      <c r="U810" s="1"/>
      <c r="V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href="canciones/hermana_glenda/nada_es_imposible.html"&gt;Nada es imposible&lt;/a&gt;&lt;/li&gt;</v>
      </c>
      <c r="W810" s="15" t="str">
        <f>_xlfn.TEXTBEFORE(_xlfn.TEXTAFTER(CantoralDB[[#This Row],[index.html]],"&gt;"),"&gt;")&amp;"&gt;"</f>
        <v>&lt;a href="canciones/hermana_glenda/nada_es_imposible.html"&gt;</v>
      </c>
    </row>
    <row r="811" spans="1:23" x14ac:dyDescent="0.3">
      <c r="A811" s="1">
        <f>ROW(CantoralDB[[#This Row],[Título]])-1</f>
        <v>810</v>
      </c>
      <c r="B811" s="1" t="s">
        <v>2295</v>
      </c>
      <c r="C811" s="1"/>
      <c r="F811" s="1">
        <v>214</v>
      </c>
      <c r="J811" s="1"/>
      <c r="M811" s="15" t="s">
        <v>2229</v>
      </c>
      <c r="N811" s="15"/>
      <c r="O811" s="15"/>
      <c r="P811" s="15" t="str" cm="1">
        <f t="array" ref="P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811" s="15" t="str" cm="1">
        <f t="array" ref="Q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canciones/hermana_glenda/no_juzgues.html</v>
      </c>
      <c r="S811" s="1"/>
      <c r="T811" s="1"/>
      <c r="U811" s="1"/>
      <c r="V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href="canciones/hermana_glenda/no_juzgues.html"&gt;No juzgues&lt;/a&gt;&lt;/li&gt;</v>
      </c>
      <c r="W811" s="15" t="str">
        <f>_xlfn.TEXTBEFORE(_xlfn.TEXTAFTER(CantoralDB[[#This Row],[index.html]],"&gt;"),"&gt;")&amp;"&gt;"</f>
        <v>&lt;a href="canciones/hermana_glenda/no_juzgues.html"&gt;</v>
      </c>
    </row>
    <row r="812" spans="1:23" x14ac:dyDescent="0.3">
      <c r="A812" s="1">
        <f>ROW(CantoralDB[[#This Row],[Título]])-1</f>
        <v>811</v>
      </c>
      <c r="B812" s="1" t="s">
        <v>2238</v>
      </c>
      <c r="C812" s="1"/>
      <c r="F812" s="1">
        <v>280</v>
      </c>
      <c r="J812" s="1"/>
      <c r="M812" s="15" t="s">
        <v>2229</v>
      </c>
      <c r="N812" s="15"/>
      <c r="O812" s="15"/>
      <c r="P812" s="15" t="str" cm="1">
        <f t="array" ref="P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812" s="15" t="str" cm="1">
        <f t="array" ref="Q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canciones/hermana_glenda/no_soy_digno.html</v>
      </c>
      <c r="S812" s="1"/>
      <c r="T812" s="1"/>
      <c r="U812" s="1"/>
      <c r="V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href="canciones/hermana_glenda/no_soy_digno.html"&gt;No soy digno&lt;/a&gt;&lt;/li&gt;</v>
      </c>
      <c r="W812" s="15" t="str">
        <f>_xlfn.TEXTBEFORE(_xlfn.TEXTAFTER(CantoralDB[[#This Row],[index.html]],"&gt;"),"&gt;")&amp;"&gt;"</f>
        <v>&lt;a href="canciones/hermana_glenda/no_soy_digno.html"&gt;</v>
      </c>
    </row>
    <row r="813" spans="1:23" x14ac:dyDescent="0.3">
      <c r="A813" s="1">
        <f>ROW(CantoralDB[[#This Row],[Título]])-1</f>
        <v>812</v>
      </c>
      <c r="B813" s="1" t="s">
        <v>2591</v>
      </c>
      <c r="C813" s="1"/>
      <c r="F813" s="1">
        <v>192</v>
      </c>
      <c r="J813" s="1"/>
      <c r="M813" s="15" t="s">
        <v>2229</v>
      </c>
      <c r="N813" s="15"/>
      <c r="O813" s="15"/>
      <c r="P813" s="15" t="str" cm="1">
        <f t="array" ref="P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813" s="15" t="str" cm="1">
        <f t="array" ref="Q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canciones/hermana_glenda/para_ti_toda_mi_musica_señor.html</v>
      </c>
      <c r="S813" s="1"/>
      <c r="T813" s="1"/>
      <c r="U813" s="1"/>
      <c r="V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href="canciones/hermana_glenda/para_ti_toda_mi_musica_señor.html"&gt;Para ti toda mi música, Señor&lt;/a&gt;&lt;/li&gt;</v>
      </c>
      <c r="W813" s="15" t="str">
        <f>_xlfn.TEXTBEFORE(_xlfn.TEXTAFTER(CantoralDB[[#This Row],[index.html]],"&gt;"),"&gt;")&amp;"&gt;"</f>
        <v>&lt;a href="canciones/hermana_glenda/para_ti_toda_mi_musica_señor.html"&gt;</v>
      </c>
    </row>
    <row r="814" spans="1:23" x14ac:dyDescent="0.3">
      <c r="A814" s="1">
        <f>ROW(CantoralDB[[#This Row],[Título]])-1</f>
        <v>813</v>
      </c>
      <c r="B814" s="1" t="s">
        <v>2296</v>
      </c>
      <c r="C814" s="1"/>
      <c r="F814" s="1">
        <v>202</v>
      </c>
      <c r="J814" s="1"/>
      <c r="M814" s="15" t="s">
        <v>2229</v>
      </c>
      <c r="N814" s="15"/>
      <c r="O814" s="15"/>
      <c r="P814" s="15" t="str" cm="1">
        <f t="array" ref="P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814" s="15" t="str" cm="1">
        <f t="array" ref="Q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canciones/hermana_glenda/quien_ha_encontrado_un_amigo.html</v>
      </c>
      <c r="S814" s="1"/>
      <c r="T814" s="1"/>
      <c r="U814" s="1"/>
      <c r="V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href="canciones/hermana_glenda/quien_ha_encontrado_un_amigo.html"&gt;Quien ha encontrado un amigo&lt;/a&gt;&lt;/li&gt;</v>
      </c>
      <c r="W814" s="15" t="str">
        <f>_xlfn.TEXTBEFORE(_xlfn.TEXTAFTER(CantoralDB[[#This Row],[index.html]],"&gt;"),"&gt;")&amp;"&gt;"</f>
        <v>&lt;a href="canciones/hermana_glenda/quien_ha_encontrado_un_amigo.html"&gt;</v>
      </c>
    </row>
    <row r="815" spans="1:23" x14ac:dyDescent="0.3">
      <c r="A815" s="1">
        <f>ROW(CantoralDB[[#This Row],[Título]])-1</f>
        <v>814</v>
      </c>
      <c r="B815" s="1" t="s">
        <v>2292</v>
      </c>
      <c r="C815" s="1"/>
      <c r="F815" s="1">
        <v>218</v>
      </c>
      <c r="J815" s="1"/>
      <c r="M815" s="15" t="s">
        <v>2229</v>
      </c>
      <c r="N815" s="15"/>
      <c r="O815" s="15"/>
      <c r="P815" s="15" t="str" cm="1">
        <f t="array" ref="P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815" s="15" t="str" cm="1">
        <f t="array" ref="Q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canciones/hermana_glenda/quien_pierde_su_vida_la_encuentra.html</v>
      </c>
      <c r="S815" s="1"/>
      <c r="T815" s="1"/>
      <c r="U815" s="1"/>
      <c r="V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href="canciones/hermana_glenda/quien_pierde_su_vida_la_encuentra.html"&gt;Quien pierde su vida la encuentra&lt;/a&gt;&lt;/li&gt;</v>
      </c>
      <c r="W815" s="15" t="str">
        <f>_xlfn.TEXTBEFORE(_xlfn.TEXTAFTER(CantoralDB[[#This Row],[index.html]],"&gt;"),"&gt;")&amp;"&gt;"</f>
        <v>&lt;a href="canciones/hermana_glenda/quien_pierde_su_vida_la_encuentra.html"&gt;</v>
      </c>
    </row>
    <row r="816" spans="1:23" x14ac:dyDescent="0.3">
      <c r="A816" s="1">
        <f>ROW(CantoralDB[[#This Row],[Título]])-1</f>
        <v>815</v>
      </c>
      <c r="B816" s="1" t="s">
        <v>1538</v>
      </c>
      <c r="C816" s="1"/>
      <c r="F816" s="1">
        <v>237</v>
      </c>
      <c r="J816" s="1"/>
      <c r="M816" s="15" t="s">
        <v>2229</v>
      </c>
      <c r="N816" s="15"/>
      <c r="O816" s="15"/>
      <c r="P816" s="15" t="str" cm="1">
        <f t="array" ref="P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816" s="15" t="str" cm="1">
        <f t="array" ref="Q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canciones/hermana_glenda/ven_señor_jesus.html</v>
      </c>
      <c r="S816" s="1"/>
      <c r="T816" s="1"/>
      <c r="U816" s="1"/>
      <c r="V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href="canciones/hermana_glenda/ven_señor_jesus.html"&gt;Ven, Señor Jesús&lt;/a&gt;&lt;/li&gt;</v>
      </c>
      <c r="W816" s="15" t="str">
        <f>_xlfn.TEXTBEFORE(_xlfn.TEXTAFTER(CantoralDB[[#This Row],[index.html]],"&gt;"),"&gt;")&amp;"&gt;"</f>
        <v>&lt;a href="canciones/hermana_glenda/ven_señor_jesus.html"&gt;</v>
      </c>
    </row>
    <row r="817" spans="1:23" x14ac:dyDescent="0.3">
      <c r="A817" s="1">
        <f>ROW(CantoralDB[[#This Row],[Título]])-1</f>
        <v>816</v>
      </c>
      <c r="B817" s="1" t="s">
        <v>2299</v>
      </c>
      <c r="C817" s="1"/>
      <c r="F817" s="1">
        <v>198</v>
      </c>
      <c r="J817" s="1"/>
      <c r="M817" s="15" t="s">
        <v>2229</v>
      </c>
      <c r="N817" s="15"/>
      <c r="O817" s="15"/>
      <c r="P817" s="15" t="str" cm="1">
        <f t="array" ref="P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Q817" s="15" t="str" cm="1">
        <f t="array" ref="Q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canciones/hermana_glenda/yo_creo_en_tu_resurreccion.html</v>
      </c>
      <c r="S817" s="1"/>
      <c r="T817" s="1"/>
      <c r="U817" s="1"/>
      <c r="V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data-author="Hermana Glenda"&gt;&lt;a href="canciones/hermana_glenda/yo_creo_en_tu_resurreccion.html"&gt;Yo creo en tu resurrección&lt;/a&gt;&lt;/li&gt;</v>
      </c>
      <c r="W817" s="15" t="str">
        <f>_xlfn.TEXTBEFORE(_xlfn.TEXTAFTER(CantoralDB[[#This Row],[index.html]],"&gt;"),"&gt;")&amp;"&gt;"</f>
        <v>&lt;a href="canciones/hermana_glenda/yo_creo_en_tu_resurreccion.html"&gt;</v>
      </c>
    </row>
    <row r="818" spans="1:23" x14ac:dyDescent="0.3">
      <c r="A818" s="1">
        <f>ROW(CantoralDB[[#This Row],[Título]])-1</f>
        <v>817</v>
      </c>
      <c r="B818" s="1" t="s">
        <v>210</v>
      </c>
      <c r="C818" s="1" t="s">
        <v>211</v>
      </c>
      <c r="D818" s="1" t="s">
        <v>1397</v>
      </c>
      <c r="F818" s="1">
        <v>195</v>
      </c>
      <c r="G818" s="1" t="s">
        <v>209</v>
      </c>
      <c r="H818" s="1" t="s">
        <v>1027</v>
      </c>
      <c r="J818" s="1" t="s">
        <v>608</v>
      </c>
      <c r="M818" s="15" t="s">
        <v>2593</v>
      </c>
      <c r="N818" s="15"/>
      <c r="O818" s="15"/>
      <c r="P818" s="15" t="str" cm="1">
        <f t="array" ref="P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818" s="15" t="str" cm="1">
        <f t="array" ref="Q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canciones/nsb/cantemos_al_amor_de_los_amores.html</v>
      </c>
      <c r="S818" s="1"/>
      <c r="T818" s="1"/>
      <c r="U818" s="1"/>
      <c r="V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data-author="Ignacio Busca de Sagastizábal" data-momento="Especiales" data-nnew="P01"&gt;&lt;a href="canciones/nsb/cantemos_al_amor_de_los_amores.html"&gt;Cantemos al amor de los amores&lt;/a&gt;&lt;/li&gt;</v>
      </c>
      <c r="W818" s="15" t="str">
        <f>_xlfn.TEXTBEFORE(_xlfn.TEXTAFTER(CantoralDB[[#This Row],[index.html]],"&gt;"),"&gt;")&amp;"&gt;"</f>
        <v>&lt;a href="canciones/nsb/cantemos_al_amor_de_los_amores.html"&gt;</v>
      </c>
    </row>
    <row r="819" spans="1:23" x14ac:dyDescent="0.3">
      <c r="A819" s="1">
        <f>ROW(CantoralDB[[#This Row],[Título]])-1</f>
        <v>818</v>
      </c>
      <c r="B819" s="1" t="s">
        <v>2437</v>
      </c>
      <c r="C819" s="1"/>
      <c r="F819" s="1">
        <v>49</v>
      </c>
      <c r="J819" s="1"/>
      <c r="M819" s="15" t="s">
        <v>2435</v>
      </c>
      <c r="N819" s="15"/>
      <c r="O819" s="15"/>
      <c r="P819" s="15" t="str" cm="1">
        <f t="array" ref="P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19" s="15" t="str" cm="1">
        <f t="array" ref="Q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canciones/nuevas/maria_madre_conducenos.html</v>
      </c>
      <c r="S819" s="1"/>
      <c r="T819" s="1"/>
      <c r="U819" s="1"/>
      <c r="V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data-author="Inmaculada Estévez"&gt;&lt;a href="canciones/nuevas/maria_madre_conducenos.html"&gt;María, Madre, condúcenos&lt;/a&gt;&lt;/li&gt;</v>
      </c>
      <c r="W819" s="15" t="str">
        <f>_xlfn.TEXTBEFORE(_xlfn.TEXTAFTER(CantoralDB[[#This Row],[index.html]],"&gt;"),"&gt;")&amp;"&gt;"</f>
        <v>&lt;a href="canciones/nuevas/maria_madre_conducenos.html"&gt;</v>
      </c>
    </row>
    <row r="820" spans="1:23" x14ac:dyDescent="0.3">
      <c r="A820" s="1">
        <f>ROW(CantoralDB[[#This Row],[Título]])-1</f>
        <v>819</v>
      </c>
      <c r="B820" s="1" t="s">
        <v>1336</v>
      </c>
      <c r="C820" s="1"/>
      <c r="E820" s="1">
        <v>267</v>
      </c>
      <c r="J820" s="1"/>
      <c r="M820" s="15" t="s">
        <v>2081</v>
      </c>
      <c r="N820" s="15"/>
      <c r="O820" s="15"/>
      <c r="P820" s="15" t="str" cm="1">
        <f t="array" ref="P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820" s="15" t="str" cm="1">
        <f t="array" ref="Q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canciones/nsb/todos_esperamos.html</v>
      </c>
      <c r="S820" s="1"/>
      <c r="T820" s="1"/>
      <c r="U820" s="1"/>
      <c r="V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data-author="IS Pastoral" data-nold="267"&gt;&lt;a href="canciones/nsb/todos_esperamos.html"&gt;Todos esperamos&lt;/a&gt;&lt;/li&gt;</v>
      </c>
      <c r="W820" s="15" t="str">
        <f>_xlfn.TEXTBEFORE(_xlfn.TEXTAFTER(CantoralDB[[#This Row],[index.html]],"&gt;"),"&gt;")&amp;"&gt;"</f>
        <v>&lt;a href="canciones/nsb/todos_esperamos.html"&gt;</v>
      </c>
    </row>
    <row r="821" spans="1:23" x14ac:dyDescent="0.3">
      <c r="A821" s="1">
        <f>ROW(CantoralDB[[#This Row],[Título]])-1</f>
        <v>820</v>
      </c>
      <c r="B821" s="1" t="s">
        <v>564</v>
      </c>
      <c r="C821" s="1" t="s">
        <v>195</v>
      </c>
      <c r="D821" s="1" t="s">
        <v>769</v>
      </c>
      <c r="G821" s="1" t="s">
        <v>553</v>
      </c>
      <c r="H821" s="1" t="s">
        <v>531</v>
      </c>
      <c r="J821" s="1" t="s">
        <v>608</v>
      </c>
      <c r="M821" s="15" t="s">
        <v>521</v>
      </c>
      <c r="N821" s="15"/>
      <c r="O821" s="15"/>
      <c r="P821" s="15" t="str" cm="1">
        <f t="array" ref="P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821" s="15" t="str" cm="1">
        <f t="array" ref="Q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canciones/nsb/sigue_habiendo.html</v>
      </c>
      <c r="S821" s="1" t="s">
        <v>859</v>
      </c>
      <c r="T821" s="1"/>
      <c r="U821" s="1"/>
      <c r="V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data-momento="Ofertorio" data-nnew="F14"&gt;&lt;a href="canciones/nsb/sigue_habiendo.html"&gt;Sigue habiendo&lt;/a&gt;&lt;/li&gt;</v>
      </c>
      <c r="W821" s="15" t="str">
        <f>_xlfn.TEXTBEFORE(_xlfn.TEXTAFTER(CantoralDB[[#This Row],[index.html]],"&gt;"),"&gt;")&amp;"&gt;"</f>
        <v>&lt;a href="canciones/nsb/sigue_habiendo.html"&gt;</v>
      </c>
    </row>
    <row r="822" spans="1:23" x14ac:dyDescent="0.3">
      <c r="A822" s="1">
        <f>ROW(CantoralDB[[#This Row],[Título]])-1</f>
        <v>821</v>
      </c>
      <c r="B822" s="1" t="s">
        <v>611</v>
      </c>
      <c r="C822" s="1" t="s">
        <v>201</v>
      </c>
      <c r="D822" s="1" t="s">
        <v>1393</v>
      </c>
      <c r="G822" s="1" t="s">
        <v>553</v>
      </c>
      <c r="H822" s="1" t="s">
        <v>1030</v>
      </c>
      <c r="J822" s="1" t="s">
        <v>608</v>
      </c>
      <c r="M822" s="15" t="s">
        <v>521</v>
      </c>
      <c r="N822" s="15"/>
      <c r="O822" s="15"/>
      <c r="P822" s="15" t="str" cm="1">
        <f t="array" ref="P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822" s="15" t="str" cm="1">
        <f t="array" ref="Q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canciones/nsb/caminare_hoy_en_tu_presencia.html</v>
      </c>
      <c r="S822" s="1" t="s">
        <v>811</v>
      </c>
      <c r="T822" s="1"/>
      <c r="U822" s="1"/>
      <c r="V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data-nnew="D06"&gt;&lt;a href="canciones/nsb/caminare_hoy_en_tu_presencia.html"&gt;Caminaré hoy en tu presencia&lt;/a&gt;&lt;/li&gt;</v>
      </c>
      <c r="W822" s="15" t="str">
        <f>_xlfn.TEXTBEFORE(_xlfn.TEXTAFTER(CantoralDB[[#This Row],[index.html]],"&gt;"),"&gt;")&amp;"&gt;"</f>
        <v>&lt;a href="canciones/nsb/caminare_hoy_en_tu_presencia.html"&gt;</v>
      </c>
    </row>
    <row r="823" spans="1:23" x14ac:dyDescent="0.3">
      <c r="A823" s="1">
        <f>ROW(CantoralDB[[#This Row],[Título]])-1</f>
        <v>822</v>
      </c>
      <c r="B823" s="1" t="s">
        <v>636</v>
      </c>
      <c r="C823" s="1" t="s">
        <v>201</v>
      </c>
      <c r="D823" s="1" t="s">
        <v>1399</v>
      </c>
      <c r="G823" s="1" t="s">
        <v>637</v>
      </c>
      <c r="H823" s="1" t="s">
        <v>1030</v>
      </c>
      <c r="J823" s="1" t="s">
        <v>608</v>
      </c>
      <c r="M823" s="15" t="s">
        <v>521</v>
      </c>
      <c r="N823" s="15"/>
      <c r="O823" s="15"/>
      <c r="P823" s="15" t="str" cm="1">
        <f t="array" ref="P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823" s="15" t="str" cm="1">
        <f t="array" ref="Q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canciones/nsb/como_sal_como_luz.html</v>
      </c>
      <c r="S823" s="1" t="s">
        <v>815</v>
      </c>
      <c r="T823" s="1"/>
      <c r="U823" s="1"/>
      <c r="V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data-nnew="D09"&gt;&lt;a href="canciones/nsb/como_sal_como_luz.html"&gt;Como sal, como luz&lt;/a&gt;&lt;/li&gt;</v>
      </c>
      <c r="W823" s="15" t="str">
        <f>_xlfn.TEXTBEFORE(_xlfn.TEXTAFTER(CantoralDB[[#This Row],[index.html]],"&gt;"),"&gt;")&amp;"&gt;"</f>
        <v>&lt;a href="canciones/nsb/como_sal_como_luz.html"&gt;</v>
      </c>
    </row>
    <row r="824" spans="1:23" x14ac:dyDescent="0.3">
      <c r="A824" s="1">
        <f>ROW(CantoralDB[[#This Row],[Título]])-1</f>
        <v>823</v>
      </c>
      <c r="B824" s="1" t="s">
        <v>184</v>
      </c>
      <c r="C824" s="1" t="s">
        <v>201</v>
      </c>
      <c r="D824" s="1" t="s">
        <v>662</v>
      </c>
      <c r="G824" s="1" t="s">
        <v>209</v>
      </c>
      <c r="H824" s="1" t="s">
        <v>1030</v>
      </c>
      <c r="J824" s="1" t="s">
        <v>608</v>
      </c>
      <c r="M824" s="15" t="s">
        <v>521</v>
      </c>
      <c r="N824" s="15"/>
      <c r="O824" s="15"/>
      <c r="P824" s="15" t="str" cm="1">
        <f t="array" ref="P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824" s="15" t="str" cm="1">
        <f t="array" ref="Q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canciones/nsb/mueveme_mi_dios.html</v>
      </c>
      <c r="S824" s="1"/>
      <c r="T824" s="1"/>
      <c r="U824" s="1"/>
      <c r="V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data-author="Ixcís" data-momento="Antífonas" data-nnew="D24"&gt;&lt;a href="canciones/nsb/mueveme_mi_dios.html"&gt;Muéveme mi Dios&lt;/a&gt;&lt;/li&gt;</v>
      </c>
      <c r="W824" s="15" t="str">
        <f>_xlfn.TEXTBEFORE(_xlfn.TEXTAFTER(CantoralDB[[#This Row],[index.html]],"&gt;"),"&gt;")&amp;"&gt;"</f>
        <v>&lt;a href="canciones/nsb/mueveme_mi_dios.html"&gt;</v>
      </c>
    </row>
    <row r="825" spans="1:23" x14ac:dyDescent="0.3">
      <c r="A825" s="1">
        <f>ROW(CantoralDB[[#This Row],[Título]])-1</f>
        <v>824</v>
      </c>
      <c r="B825" s="1" t="s">
        <v>2521</v>
      </c>
      <c r="C825" s="1"/>
      <c r="F825" s="1">
        <v>126</v>
      </c>
      <c r="J825" s="1"/>
      <c r="M825" s="15" t="s">
        <v>2520</v>
      </c>
      <c r="N825" s="15"/>
      <c r="O825" s="15"/>
      <c r="P825" s="15" t="str" cm="1">
        <f t="array" ref="P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25" s="15" t="str" cm="1">
        <f t="array" ref="Q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canciones/nuevas/madre.html</v>
      </c>
      <c r="S825" s="1"/>
      <c r="T825" s="1"/>
      <c r="U825" s="1"/>
      <c r="V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 F Martínez"&gt;&lt;a href="canciones/nuevas/madre.html"&gt;Madre&lt;/a&gt;&lt;/li&gt;</v>
      </c>
      <c r="W825" s="15" t="str">
        <f>_xlfn.TEXTBEFORE(_xlfn.TEXTAFTER(CantoralDB[[#This Row],[index.html]],"&gt;"),"&gt;")&amp;"&gt;"</f>
        <v>&lt;a href="canciones/nuevas/madre.html"&gt;</v>
      </c>
    </row>
    <row r="826" spans="1:23" x14ac:dyDescent="0.3">
      <c r="A826" s="1">
        <f>ROW(CantoralDB[[#This Row],[Título]])-1</f>
        <v>825</v>
      </c>
      <c r="B826" s="1" t="s">
        <v>2611</v>
      </c>
      <c r="C826" s="1"/>
      <c r="F826" s="1">
        <v>219</v>
      </c>
      <c r="J826" s="1"/>
      <c r="M826" s="15" t="s">
        <v>2612</v>
      </c>
      <c r="N826" s="15"/>
      <c r="O826" s="15"/>
      <c r="P826" s="15" t="str" cm="1">
        <f t="array" ref="P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26" s="15" t="str" cm="1">
        <f t="array" ref="Q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canciones/nuevas/majestad.html</v>
      </c>
      <c r="S826" s="1"/>
      <c r="T826" s="1"/>
      <c r="U826" s="1"/>
      <c r="V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data-author="Jack Hayford"&gt;&lt;a href="canciones/nuevas/majestad.html"&gt;Majestad&lt;/a&gt;&lt;/li&gt;</v>
      </c>
      <c r="W826" s="15" t="str">
        <f>_xlfn.TEXTBEFORE(_xlfn.TEXTAFTER(CantoralDB[[#This Row],[index.html]],"&gt;"),"&gt;")&amp;"&gt;"</f>
        <v>&lt;a href="canciones/nuevas/majestad.html"&gt;</v>
      </c>
    </row>
    <row r="827" spans="1:23" x14ac:dyDescent="0.3">
      <c r="A827" s="1">
        <f>ROW(CantoralDB[[#This Row],[Título]])-1</f>
        <v>826</v>
      </c>
      <c r="B827" s="1" t="s">
        <v>16</v>
      </c>
      <c r="C827" s="1" t="s">
        <v>194</v>
      </c>
      <c r="D827" s="1" t="s">
        <v>1376</v>
      </c>
      <c r="E827" s="1">
        <v>406</v>
      </c>
      <c r="G827" s="1" t="s">
        <v>209</v>
      </c>
      <c r="H827" s="1" t="s">
        <v>531</v>
      </c>
      <c r="J827" s="1" t="s">
        <v>608</v>
      </c>
      <c r="M827" s="15" t="s">
        <v>514</v>
      </c>
      <c r="N827" s="15"/>
      <c r="O827" s="15"/>
      <c r="P827" s="15" t="str" cm="1">
        <f t="array" ref="P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827" s="15" t="str" cm="1">
        <f t="array" ref="Q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canciones/nsb/aleluya_por_esa_gente.html</v>
      </c>
      <c r="S827" s="1"/>
      <c r="T827" s="1"/>
      <c r="U827" s="1"/>
      <c r="V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Espino" data-momento="Aleluya" data-nnew="E05" data-nold="406"&gt;&lt;a href="canciones/nsb/aleluya_por_esa_gente.html"&gt;Aleluya por esa gente&lt;/a&gt;&lt;/li&gt;</v>
      </c>
      <c r="W827" s="15" t="str">
        <f>_xlfn.TEXTBEFORE(_xlfn.TEXTAFTER(CantoralDB[[#This Row],[index.html]],"&gt;"),"&gt;")&amp;"&gt;"</f>
        <v>&lt;a href="canciones/nsb/aleluya_por_esa_gente.html"&gt;</v>
      </c>
    </row>
    <row r="828" spans="1:23" x14ac:dyDescent="0.3">
      <c r="A828" s="1">
        <f>ROW(CantoralDB[[#This Row],[Título]])-1</f>
        <v>827</v>
      </c>
      <c r="B828" s="1" t="s">
        <v>530</v>
      </c>
      <c r="C828" s="1" t="s">
        <v>196</v>
      </c>
      <c r="D828" s="1" t="s">
        <v>1463</v>
      </c>
      <c r="G828" s="1" t="s">
        <v>254</v>
      </c>
      <c r="H828" s="1" t="s">
        <v>473</v>
      </c>
      <c r="J828" s="1" t="s">
        <v>608</v>
      </c>
      <c r="M828" s="15" t="s">
        <v>523</v>
      </c>
      <c r="N828" s="15"/>
      <c r="O828" s="15"/>
      <c r="P828" s="15" t="str" cm="1">
        <f t="array" ref="P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828" s="15" t="str" cm="1">
        <f t="array" ref="Q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canciones/nsb/santo_(olguin).html</v>
      </c>
      <c r="S828" s="1"/>
      <c r="T828" s="1"/>
      <c r="U828" s="1"/>
      <c r="V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Olguín" data-momento="Santo" data-nnew="G07"&gt;&lt;a href="canciones/nsb/santo_(olguin).html"&gt;Santo (Olguín)&lt;/a&gt;&lt;/li&gt;</v>
      </c>
      <c r="W828" s="15" t="str">
        <f>_xlfn.TEXTBEFORE(_xlfn.TEXTAFTER(CantoralDB[[#This Row],[index.html]],"&gt;"),"&gt;")&amp;"&gt;"</f>
        <v>&lt;a href="canciones/nsb/santo_(olguin).html"&gt;</v>
      </c>
    </row>
    <row r="829" spans="1:23" x14ac:dyDescent="0.3">
      <c r="A829" s="1">
        <f>ROW(CantoralDB[[#This Row],[Título]])-1</f>
        <v>828</v>
      </c>
      <c r="B829" s="1" t="s">
        <v>215</v>
      </c>
      <c r="C829" s="1" t="s">
        <v>993</v>
      </c>
      <c r="D829" s="1" t="s">
        <v>724</v>
      </c>
      <c r="G829" s="1" t="s">
        <v>216</v>
      </c>
      <c r="H829" s="1" t="s">
        <v>1029</v>
      </c>
      <c r="I829" s="1" t="s">
        <v>2959</v>
      </c>
      <c r="J829" s="1" t="s">
        <v>608</v>
      </c>
      <c r="M829" s="15" t="s">
        <v>523</v>
      </c>
      <c r="N829" s="15"/>
      <c r="O829" s="15"/>
      <c r="P829" s="15" t="str" cm="1">
        <f t="array" ref="P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829" s="15" t="str" cm="1">
        <f t="array" ref="Q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canciones/nsb/no_temas.html</v>
      </c>
      <c r="S829" s="1"/>
      <c r="T829" s="1"/>
      <c r="U829" s="1"/>
      <c r="V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data-author="Jaime Olguín" data-momento="Comunión" data-nnew="K51"&gt;&lt;a href="canciones/nsb/no_temas.html"&gt;No temas&lt;/a&gt;&lt;/li&gt;</v>
      </c>
      <c r="W829" s="15" t="str">
        <f>_xlfn.TEXTBEFORE(_xlfn.TEXTAFTER(CantoralDB[[#This Row],[index.html]],"&gt;"),"&gt;")&amp;"&gt;"</f>
        <v>&lt;a href="canciones/nsb/no_temas.html"&gt;</v>
      </c>
    </row>
    <row r="830" spans="1:23" x14ac:dyDescent="0.3">
      <c r="A830" s="1">
        <f>ROW(CantoralDB[[#This Row],[Título]])-1</f>
        <v>829</v>
      </c>
      <c r="B830" s="1" t="s">
        <v>2826</v>
      </c>
      <c r="C830" s="1"/>
      <c r="F830" s="1">
        <v>426</v>
      </c>
      <c r="J830" s="1"/>
      <c r="M830" s="15" t="s">
        <v>2828</v>
      </c>
      <c r="N830" s="15"/>
      <c r="O830" s="15"/>
      <c r="P830" s="15" t="str" cm="1">
        <f t="array" ref="P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30" s="15" t="str" cm="1">
        <f t="array" ref="Q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canciones/nuevas/esto_es_mi_cuerpo.html</v>
      </c>
      <c r="S830" s="1"/>
      <c r="T830" s="1"/>
      <c r="U830" s="1"/>
      <c r="V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data-author="Janet Lunt"&gt;&lt;a href="canciones/nuevas/esto_es_mi_cuerpo.html"&gt;Esto es mi cuerpo&lt;/a&gt;&lt;/li&gt;</v>
      </c>
      <c r="W830" s="15" t="str">
        <f>_xlfn.TEXTBEFORE(_xlfn.TEXTAFTER(CantoralDB[[#This Row],[index.html]],"&gt;"),"&gt;")&amp;"&gt;"</f>
        <v>&lt;a href="canciones/nuevas/esto_es_mi_cuerpo.html"&gt;</v>
      </c>
    </row>
    <row r="831" spans="1:23" x14ac:dyDescent="0.3">
      <c r="A831" s="1">
        <f>ROW(CantoralDB[[#This Row],[Título]])-1</f>
        <v>830</v>
      </c>
      <c r="B831" s="1" t="s">
        <v>45</v>
      </c>
      <c r="C831" s="1" t="s">
        <v>191</v>
      </c>
      <c r="D831" s="1" t="s">
        <v>733</v>
      </c>
      <c r="E831" s="1">
        <v>417</v>
      </c>
      <c r="F831" s="1">
        <v>338</v>
      </c>
      <c r="G831" s="1" t="s">
        <v>209</v>
      </c>
      <c r="H831" s="1" t="s">
        <v>531</v>
      </c>
      <c r="J831" s="1" t="s">
        <v>608</v>
      </c>
      <c r="M831" s="15" t="s">
        <v>502</v>
      </c>
      <c r="N831" s="15"/>
      <c r="O831" s="15"/>
      <c r="P831" s="15" t="str" cm="1">
        <f t="array" ref="P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831" s="15" t="str" cm="1">
        <f t="array" ref="Q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canciones/nsb/dios_esta_aqui.html</v>
      </c>
      <c r="S831" s="1"/>
      <c r="T831" s="1"/>
      <c r="U831" s="1"/>
      <c r="V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data-author="Javier Gacías" data-momento="Entrada" data-nnew="A13" data-nold="417"&gt;&lt;a href="canciones/nsb/dios_esta_aqui.html"&gt;Dios está aquí&lt;/a&gt;&lt;/li&gt;</v>
      </c>
      <c r="W831" s="15" t="str">
        <f>_xlfn.TEXTBEFORE(_xlfn.TEXTAFTER(CantoralDB[[#This Row],[index.html]],"&gt;"),"&gt;")&amp;"&gt;"</f>
        <v>&lt;a href="canciones/nsb/dios_esta_aqui.html"&gt;</v>
      </c>
    </row>
    <row r="832" spans="1:23" x14ac:dyDescent="0.3">
      <c r="A832" s="1">
        <f>ROW(CantoralDB[[#This Row],[Título]])-1</f>
        <v>831</v>
      </c>
      <c r="B832" s="1" t="s">
        <v>2653</v>
      </c>
      <c r="C832" s="1"/>
      <c r="F832" s="1">
        <v>267</v>
      </c>
      <c r="J832" s="1"/>
      <c r="M832" s="15" t="s">
        <v>2652</v>
      </c>
      <c r="N832" s="15"/>
      <c r="O832" s="15"/>
      <c r="P832" s="15" t="str" cm="1">
        <f t="array" ref="P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32" s="15" t="str" cm="1">
        <f t="array" ref="Q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canciones/nuevas/nadie_te_quiere_como_el.html</v>
      </c>
      <c r="S832" s="1"/>
      <c r="T832" s="1"/>
      <c r="U832" s="1"/>
      <c r="V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data-author="Javier Rodríguez"&gt;&lt;a href="canciones/nuevas/nadie_te_quiere_como_el.html"&gt;Nadie te quiere como él&lt;/a&gt;&lt;/li&gt;</v>
      </c>
      <c r="W832" s="15" t="str">
        <f>_xlfn.TEXTBEFORE(_xlfn.TEXTAFTER(CantoralDB[[#This Row],[index.html]],"&gt;"),"&gt;")&amp;"&gt;"</f>
        <v>&lt;a href="canciones/nuevas/nadie_te_quiere_como_el.html"&gt;</v>
      </c>
    </row>
    <row r="833" spans="1:23" x14ac:dyDescent="0.3">
      <c r="A833" s="1">
        <f>ROW(CantoralDB[[#This Row],[Título]])-1</f>
        <v>832</v>
      </c>
      <c r="B833" s="1" t="s">
        <v>1195</v>
      </c>
      <c r="C833" s="1"/>
      <c r="E833" s="1">
        <v>69</v>
      </c>
      <c r="J833" s="1"/>
      <c r="M833" s="15" t="s">
        <v>2088</v>
      </c>
      <c r="N833" s="15"/>
      <c r="O833" s="15"/>
      <c r="P833" s="15" t="str" cm="1">
        <f t="array" ref="P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833" s="15" t="str" cm="1">
        <f t="array" ref="Q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canciones/nsb/cuando_el_pan_que_esta_en_mi_vida.html</v>
      </c>
      <c r="S833" s="1"/>
      <c r="T833" s="1"/>
      <c r="U833" s="1"/>
      <c r="V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data-author="JEC" data-nold="69"&gt;&lt;a href="canciones/nsb/cuando_el_pan_que_esta_en_mi_vida.html"&gt;Cuando el pan que está en mi vida&lt;/a&gt;&lt;/li&gt;</v>
      </c>
      <c r="W833" s="15" t="str">
        <f>_xlfn.TEXTBEFORE(_xlfn.TEXTAFTER(CantoralDB[[#This Row],[index.html]],"&gt;"),"&gt;")&amp;"&gt;"</f>
        <v>&lt;a href="canciones/nsb/cuando_el_pan_que_esta_en_mi_vida.html"&gt;</v>
      </c>
    </row>
    <row r="834" spans="1:23" x14ac:dyDescent="0.3">
      <c r="A834" s="1">
        <f>ROW(CantoralDB[[#This Row],[Título]])-1</f>
        <v>833</v>
      </c>
      <c r="B834" s="1" t="s">
        <v>84</v>
      </c>
      <c r="C834" s="1" t="s">
        <v>195</v>
      </c>
      <c r="D834" s="1" t="s">
        <v>766</v>
      </c>
      <c r="E834" s="1">
        <v>431</v>
      </c>
      <c r="G834" s="1" t="s">
        <v>209</v>
      </c>
      <c r="H834" s="1" t="s">
        <v>531</v>
      </c>
      <c r="J834" s="1" t="s">
        <v>608</v>
      </c>
      <c r="M834" s="15" t="s">
        <v>520</v>
      </c>
      <c r="N834" s="15"/>
      <c r="O834" s="15"/>
      <c r="P834" s="15" t="str" cm="1">
        <f t="array" ref="P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834" s="15" t="str" cm="1">
        <f t="array" ref="Q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canciones/nsb/la_cena_del_señor.html</v>
      </c>
      <c r="S834" s="1"/>
      <c r="T834" s="1"/>
      <c r="U834" s="1"/>
      <c r="V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data-author="Jesucristo Superstar" data-momento="Ofertorio" data-nnew="F11" data-nold="431"&gt;&lt;a href="canciones/nsb/la_cena_del_señor.html"&gt;La cena del Señor&lt;/a&gt;&lt;/li&gt;</v>
      </c>
      <c r="W834" s="15" t="str">
        <f>_xlfn.TEXTBEFORE(_xlfn.TEXTAFTER(CantoralDB[[#This Row],[index.html]],"&gt;"),"&gt;")&amp;"&gt;"</f>
        <v>&lt;a href="canciones/nsb/la_cena_del_señor.html"&gt;</v>
      </c>
    </row>
    <row r="835" spans="1:23" x14ac:dyDescent="0.3">
      <c r="A835" s="1">
        <f>ROW(CantoralDB[[#This Row],[Título]])-1</f>
        <v>834</v>
      </c>
      <c r="B835" s="1" t="s">
        <v>2837</v>
      </c>
      <c r="C835" s="1"/>
      <c r="F835" s="1">
        <v>435</v>
      </c>
      <c r="J835" s="1"/>
      <c r="M835" s="15" t="s">
        <v>2179</v>
      </c>
      <c r="N835" s="15"/>
      <c r="O835" s="15"/>
      <c r="P835" s="15" t="str" cm="1">
        <f t="array" ref="P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35" s="15" t="str" cm="1">
        <f t="array" ref="Q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canciones/nuevas/cansado_del_camino.html</v>
      </c>
      <c r="S835" s="1"/>
      <c r="T835" s="1"/>
      <c r="U835" s="1"/>
      <c r="V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href="canciones/nuevas/cansado_del_camino.html"&gt;Cansado del camino&lt;/a&gt;&lt;/li&gt;</v>
      </c>
      <c r="W835" s="15" t="str">
        <f>_xlfn.TEXTBEFORE(_xlfn.TEXTAFTER(CantoralDB[[#This Row],[index.html]],"&gt;"),"&gt;")&amp;"&gt;"</f>
        <v>&lt;a href="canciones/nuevas/cansado_del_camino.html"&gt;</v>
      </c>
    </row>
    <row r="836" spans="1:23" x14ac:dyDescent="0.3">
      <c r="A836" s="1">
        <f>ROW(CantoralDB[[#This Row],[Título]])-1</f>
        <v>835</v>
      </c>
      <c r="B836" s="1" t="s">
        <v>2839</v>
      </c>
      <c r="C836" s="1"/>
      <c r="F836" s="1">
        <v>437</v>
      </c>
      <c r="J836" s="1"/>
      <c r="M836" s="15" t="s">
        <v>2179</v>
      </c>
      <c r="N836" s="15"/>
      <c r="O836" s="15"/>
      <c r="P836" s="15" t="str" cm="1">
        <f t="array" ref="P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36" s="15" t="str" cm="1">
        <f t="array" ref="Q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canciones/nuevas/que_seria_de_mi.html</v>
      </c>
      <c r="S836" s="1"/>
      <c r="T836" s="1"/>
      <c r="U836" s="1"/>
      <c r="V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href="canciones/nuevas/que_seria_de_mi.html"&gt;Qué sería de mí&lt;/a&gt;&lt;/li&gt;</v>
      </c>
      <c r="W836" s="15" t="str">
        <f>_xlfn.TEXTBEFORE(_xlfn.TEXTAFTER(CantoralDB[[#This Row],[index.html]],"&gt;"),"&gt;")&amp;"&gt;"</f>
        <v>&lt;a href="canciones/nuevas/que_seria_de_mi.html"&gt;</v>
      </c>
    </row>
    <row r="837" spans="1:23" x14ac:dyDescent="0.3">
      <c r="A837" s="1">
        <f>ROW(CantoralDB[[#This Row],[Título]])-1</f>
        <v>836</v>
      </c>
      <c r="B837" s="1" t="s">
        <v>2163</v>
      </c>
      <c r="C837" s="15"/>
      <c r="H837" s="1" t="s">
        <v>1027</v>
      </c>
      <c r="J837" s="1" t="s">
        <v>608</v>
      </c>
      <c r="M837" s="15" t="s">
        <v>2179</v>
      </c>
      <c r="N837" s="15"/>
      <c r="O837" s="15"/>
      <c r="P837" s="15" t="str" cm="1">
        <f t="array" ref="P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37" s="15" t="str" cm="1">
        <f t="array" ref="Q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canciones/nuevas/enamorame_de_ti.html</v>
      </c>
      <c r="S837" s="1"/>
      <c r="T837" s="1"/>
      <c r="U837" s="14" t="s">
        <v>3007</v>
      </c>
      <c r="V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Adrián Romero"&gt;&lt;a href="canciones/nuevas/enamorame_de_ti.html"&gt;Enamórame de ti&lt;/a&gt;&lt;/li&gt;</v>
      </c>
      <c r="W837" s="15" t="str">
        <f>_xlfn.TEXTBEFORE(_xlfn.TEXTAFTER(CantoralDB[[#This Row],[index.html]],"&gt;"),"&gt;")&amp;"&gt;"</f>
        <v>&lt;a href="canciones/nuevas/enamorame_de_ti.html"&gt;</v>
      </c>
    </row>
    <row r="838" spans="1:23" x14ac:dyDescent="0.3">
      <c r="A838" s="1">
        <f>ROW(CantoralDB[[#This Row],[Título]])-1</f>
        <v>837</v>
      </c>
      <c r="B838" s="1" t="s">
        <v>129</v>
      </c>
      <c r="C838" s="1" t="s">
        <v>196</v>
      </c>
      <c r="D838" s="1" t="s">
        <v>1458</v>
      </c>
      <c r="E838" s="1">
        <v>455</v>
      </c>
      <c r="F838" s="1">
        <v>45</v>
      </c>
      <c r="G838" s="1" t="s">
        <v>209</v>
      </c>
      <c r="H838" s="1" t="s">
        <v>1028</v>
      </c>
      <c r="J838" s="1" t="s">
        <v>608</v>
      </c>
      <c r="M838" s="15" t="s">
        <v>522</v>
      </c>
      <c r="N838" s="15"/>
      <c r="O838" s="15"/>
      <c r="P838" s="15" t="str" cm="1">
        <f t="array" ref="P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838" s="15" t="str" cm="1">
        <f t="array" ref="Q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canciones/nsb/santo_(cielo_y_tierra_pasaran).html</v>
      </c>
      <c r="S838" s="1"/>
      <c r="T838" s="1"/>
      <c r="U838" s="1"/>
      <c r="V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data-author="Jesús Cardeñoso" data-momento="Santo" data-nnew="G01" data-nold="455"&gt;&lt;a href="canciones/nsb/santo_(cielo_y_tierra_pasaran).html"&gt;Santo (Cielo y tierra pasarán)&lt;/a&gt;&lt;/li&gt;</v>
      </c>
      <c r="W838" s="15" t="str">
        <f>_xlfn.TEXTBEFORE(_xlfn.TEXTAFTER(CantoralDB[[#This Row],[index.html]],"&gt;"),"&gt;")&amp;"&gt;"</f>
        <v>&lt;a href="canciones/nsb/santo_(cielo_y_tierra_pasaran).html"&gt;</v>
      </c>
    </row>
    <row r="839" spans="1:23" x14ac:dyDescent="0.3">
      <c r="A839" s="1">
        <f>ROW(CantoralDB[[#This Row],[Título]])-1</f>
        <v>838</v>
      </c>
      <c r="B839" s="1" t="s">
        <v>1544</v>
      </c>
      <c r="C839" s="1"/>
      <c r="F839" s="1">
        <v>235</v>
      </c>
      <c r="J839" s="1"/>
      <c r="M839" s="15" t="s">
        <v>2625</v>
      </c>
      <c r="N839" s="15"/>
      <c r="O839" s="15"/>
      <c r="P839" s="15" t="str" cm="1">
        <f t="array" ref="P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39" s="15" t="str" cm="1">
        <f t="array" ref="Q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canciones/nuevas/magnificat.html</v>
      </c>
      <c r="S839" s="1"/>
      <c r="T839" s="1"/>
      <c r="U839" s="1"/>
      <c r="V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data-author="Joanne Boyce"&gt;&lt;a href="canciones/nuevas/magnificat.html"&gt;Magnificat&lt;/a&gt;&lt;/li&gt;</v>
      </c>
      <c r="W839" s="15" t="str">
        <f>_xlfn.TEXTBEFORE(_xlfn.TEXTAFTER(CantoralDB[[#This Row],[index.html]],"&gt;"),"&gt;")&amp;"&gt;"</f>
        <v>&lt;a href="canciones/nuevas/magnificat.html"&gt;</v>
      </c>
    </row>
    <row r="840" spans="1:23" x14ac:dyDescent="0.3">
      <c r="A840" s="1">
        <f>ROW(CantoralDB[[#This Row],[Título]])-1</f>
        <v>839</v>
      </c>
      <c r="B840" s="1" t="s">
        <v>10</v>
      </c>
      <c r="C840" s="1" t="s">
        <v>993</v>
      </c>
      <c r="D840" s="1" t="s">
        <v>1036</v>
      </c>
      <c r="E840" s="1">
        <v>12</v>
      </c>
      <c r="G840" s="1" t="s">
        <v>209</v>
      </c>
      <c r="H840" s="1" t="s">
        <v>531</v>
      </c>
      <c r="J840" s="1" t="s">
        <v>608</v>
      </c>
      <c r="M840" s="15" t="s">
        <v>485</v>
      </c>
      <c r="N840" s="15"/>
      <c r="O840" s="15"/>
      <c r="P840" s="15" t="str" cm="1">
        <f t="array" ref="P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840" s="15" t="str" cm="1">
        <f t="array" ref="Q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canciones/joaquin_madurga/al_ver_jesus.html</v>
      </c>
      <c r="S840" s="1" t="s">
        <v>800</v>
      </c>
      <c r="T840" s="1"/>
      <c r="U840" s="1"/>
      <c r="V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data-momento="Comunión" data-nnew="K05" data-nold="12"&gt;&lt;a href="canciones/joaquin_madurga/al_ver_jesus.html"&gt;Al ver Jesús&lt;/a&gt;&lt;/li&gt;</v>
      </c>
      <c r="W840" s="15" t="str">
        <f>_xlfn.TEXTBEFORE(_xlfn.TEXTAFTER(CantoralDB[[#This Row],[index.html]],"&gt;"),"&gt;")&amp;"&gt;"</f>
        <v>&lt;a href="canciones/joaquin_madurga/al_ver_jesus.html"&gt;</v>
      </c>
    </row>
    <row r="841" spans="1:23" x14ac:dyDescent="0.3">
      <c r="A841" s="1">
        <f>ROW(CantoralDB[[#This Row],[Título]])-1</f>
        <v>840</v>
      </c>
      <c r="B841" s="1" t="s">
        <v>25</v>
      </c>
      <c r="C841" s="1" t="s">
        <v>195</v>
      </c>
      <c r="D841" s="1" t="s">
        <v>1383</v>
      </c>
      <c r="E841" s="1">
        <v>26</v>
      </c>
      <c r="G841" s="1" t="s">
        <v>209</v>
      </c>
      <c r="H841" s="1" t="s">
        <v>531</v>
      </c>
      <c r="I841" s="1" t="s">
        <v>2962</v>
      </c>
      <c r="J841" s="1" t="s">
        <v>608</v>
      </c>
      <c r="M841" s="15" t="s">
        <v>485</v>
      </c>
      <c r="N841" s="15"/>
      <c r="O841" s="15"/>
      <c r="P841" s="15" t="str" cm="1">
        <f t="array" ref="P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841" s="15" t="str" cm="1">
        <f t="array" ref="Q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canciones/joaquin_madurga/andando_por_el_camino.html</v>
      </c>
      <c r="S841" s="1" t="s">
        <v>805</v>
      </c>
      <c r="T841" s="1"/>
      <c r="U841" s="1"/>
      <c r="V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data-momento="Ofertorio" data-nnew="F02" data-nold="26"&gt;&lt;a href="canciones/joaquin_madurga/andando_por_el_camino.html"&gt;Andando por el camino&lt;/a&gt;&lt;/li&gt;</v>
      </c>
      <c r="W841" s="15" t="str">
        <f>_xlfn.TEXTBEFORE(_xlfn.TEXTAFTER(CantoralDB[[#This Row],[index.html]],"&gt;"),"&gt;")&amp;"&gt;"</f>
        <v>&lt;a href="canciones/joaquin_madurga/andando_por_el_camino.html"&gt;</v>
      </c>
    </row>
    <row r="842" spans="1:23" x14ac:dyDescent="0.3">
      <c r="A842" s="1">
        <f>ROW(CantoralDB[[#This Row],[Título]])-1</f>
        <v>841</v>
      </c>
      <c r="B842" s="1" t="s">
        <v>1179</v>
      </c>
      <c r="C842" s="1"/>
      <c r="E842" s="1">
        <v>48</v>
      </c>
      <c r="H842" s="1" t="s">
        <v>1030</v>
      </c>
      <c r="J842" s="1" t="s">
        <v>608</v>
      </c>
      <c r="M842" s="15" t="s">
        <v>485</v>
      </c>
      <c r="N842" s="15"/>
      <c r="O842" s="15"/>
      <c r="P842" s="15" t="str" cm="1">
        <f t="array" ref="P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842" s="15" t="str" cm="1">
        <f t="array" ref="Q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canciones/joaquin_madurga/comiendo_del_mismo_pan.html</v>
      </c>
      <c r="S842" s="1"/>
      <c r="T842" s="1"/>
      <c r="U842" s="1"/>
      <c r="V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data-nold="48"&gt;&lt;a href="canciones/joaquin_madurga/comiendo_del_mismo_pan.html"&gt;Comiendo del mismo pan&lt;/a&gt;&lt;/li&gt;</v>
      </c>
      <c r="W842" s="15" t="str">
        <f>_xlfn.TEXTBEFORE(_xlfn.TEXTAFTER(CantoralDB[[#This Row],[index.html]],"&gt;"),"&gt;")&amp;"&gt;"</f>
        <v>&lt;a href="canciones/joaquin_madurga/comiendo_del_mismo_pan.html"&gt;</v>
      </c>
    </row>
    <row r="843" spans="1:23" x14ac:dyDescent="0.3">
      <c r="A843" s="1">
        <f>ROW(CantoralDB[[#This Row],[Título]])-1</f>
        <v>842</v>
      </c>
      <c r="B843" s="1" t="s">
        <v>47</v>
      </c>
      <c r="C843" s="1" t="s">
        <v>195</v>
      </c>
      <c r="D843" s="1" t="s">
        <v>1410</v>
      </c>
      <c r="E843" s="1">
        <v>84</v>
      </c>
      <c r="G843" s="1" t="s">
        <v>209</v>
      </c>
      <c r="H843" s="1" t="s">
        <v>531</v>
      </c>
      <c r="I843" s="1" t="s">
        <v>2961</v>
      </c>
      <c r="J843" s="1" t="s">
        <v>608</v>
      </c>
      <c r="M843" s="15" t="s">
        <v>485</v>
      </c>
      <c r="N843" s="15"/>
      <c r="O843" s="15"/>
      <c r="P843" s="15" t="str" cm="1">
        <f t="array" ref="P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843" s="15" t="str" cm="1">
        <f t="array" ref="Q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canciones/joaquin_madurga/donde_hay_caridad_y_amor.html</v>
      </c>
      <c r="S843" s="1"/>
      <c r="T843" s="1"/>
      <c r="U843" s="1"/>
      <c r="V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data-momento="Ofertorio" data-nnew="F06" data-nold="84"&gt;&lt;a href="canciones/joaquin_madurga/donde_hay_caridad_y_amor.html"&gt;Donde hay caridad y amor&lt;/a&gt;&lt;/li&gt;</v>
      </c>
      <c r="W843" s="15" t="str">
        <f>_xlfn.TEXTBEFORE(_xlfn.TEXTAFTER(CantoralDB[[#This Row],[index.html]],"&gt;"),"&gt;")&amp;"&gt;"</f>
        <v>&lt;a href="canciones/joaquin_madurga/donde_hay_caridad_y_amor.html"&gt;</v>
      </c>
    </row>
    <row r="844" spans="1:23" x14ac:dyDescent="0.3">
      <c r="A844" s="1">
        <f>ROW(CantoralDB[[#This Row],[Título]])-1</f>
        <v>843</v>
      </c>
      <c r="B844" s="1" t="s">
        <v>65</v>
      </c>
      <c r="C844" s="1" t="s">
        <v>191</v>
      </c>
      <c r="D844" s="1" t="s">
        <v>740</v>
      </c>
      <c r="E844" s="1">
        <v>122</v>
      </c>
      <c r="G844" s="1" t="s">
        <v>209</v>
      </c>
      <c r="H844" s="1" t="s">
        <v>531</v>
      </c>
      <c r="J844" s="1" t="s">
        <v>608</v>
      </c>
      <c r="M844" s="15" t="s">
        <v>485</v>
      </c>
      <c r="N844" s="15"/>
      <c r="O844" s="15"/>
      <c r="P844" s="15" t="str" cm="1">
        <f t="array" ref="P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844" s="15" t="str" cm="1">
        <f t="array" ref="Q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canciones/joaquin_madurga/esta_es_tu_fiesta.html</v>
      </c>
      <c r="S844" s="1"/>
      <c r="T844" s="1"/>
      <c r="U844" s="1"/>
      <c r="V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data-nnew="A20" data-nold="122"&gt;&lt;a href="canciones/joaquin_madurga/esta_es_tu_fiesta.html"&gt;Esta es tu fiesta&lt;/a&gt;&lt;/li&gt;</v>
      </c>
      <c r="W844" s="15" t="str">
        <f>_xlfn.TEXTBEFORE(_xlfn.TEXTAFTER(CantoralDB[[#This Row],[index.html]],"&gt;"),"&gt;")&amp;"&gt;"</f>
        <v>&lt;a href="canciones/joaquin_madurga/esta_es_tu_fiesta.html"&gt;</v>
      </c>
    </row>
    <row r="845" spans="1:23" x14ac:dyDescent="0.3">
      <c r="A845" s="1">
        <f>ROW(CantoralDB[[#This Row],[Título]])-1</f>
        <v>844</v>
      </c>
      <c r="B845" s="1" t="s">
        <v>155</v>
      </c>
      <c r="C845" s="1" t="s">
        <v>191</v>
      </c>
      <c r="D845" s="1" t="s">
        <v>755</v>
      </c>
      <c r="E845" s="1">
        <v>275</v>
      </c>
      <c r="G845" s="1" t="s">
        <v>209</v>
      </c>
      <c r="H845" s="1" t="s">
        <v>1030</v>
      </c>
      <c r="I845" s="1" t="s">
        <v>2962</v>
      </c>
      <c r="J845" s="1" t="s">
        <v>608</v>
      </c>
      <c r="M845" s="15" t="s">
        <v>485</v>
      </c>
      <c r="N845" s="15"/>
      <c r="O845" s="15"/>
      <c r="P845" s="15" t="str" cm="1">
        <f t="array" ref="P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845" s="15" t="str" cm="1">
        <f t="array" ref="Q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canciones/joaquin_madurga/unidos_en_la_fiesta.html</v>
      </c>
      <c r="S845" s="1"/>
      <c r="T845" s="1"/>
      <c r="U845" s="1"/>
      <c r="V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data-nnew="A35" data-nold="275"&gt;&lt;a href="canciones/joaquin_madurga/unidos_en_la_fiesta.html"&gt;Unidos en la fiesta&lt;/a&gt;&lt;/li&gt;</v>
      </c>
      <c r="W845" s="15" t="str">
        <f>_xlfn.TEXTBEFORE(_xlfn.TEXTAFTER(CantoralDB[[#This Row],[index.html]],"&gt;"),"&gt;")&amp;"&gt;"</f>
        <v>&lt;a href="canciones/joaquin_madurga/unidos_en_la_fiesta.html"&gt;</v>
      </c>
    </row>
    <row r="846" spans="1:23" x14ac:dyDescent="0.3">
      <c r="A846" s="1">
        <f>ROW(CantoralDB[[#This Row],[Título]])-1</f>
        <v>845</v>
      </c>
      <c r="B846" s="1" t="s">
        <v>1344</v>
      </c>
      <c r="C846" s="1"/>
      <c r="E846" s="1">
        <v>287</v>
      </c>
      <c r="H846" s="1" t="s">
        <v>1028</v>
      </c>
      <c r="J846" s="1" t="s">
        <v>608</v>
      </c>
      <c r="M846" s="15" t="s">
        <v>485</v>
      </c>
      <c r="N846" s="15"/>
      <c r="O846" s="15"/>
      <c r="P846" s="15" t="str" cm="1">
        <f t="array" ref="P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846" s="15" t="str" cm="1">
        <f t="array" ref="Q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canciones/joaquin_madurga/vamos_buscando_la_verdad.html</v>
      </c>
      <c r="S846" s="1"/>
      <c r="T846" s="1"/>
      <c r="U846" s="1"/>
      <c r="V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data-nold="287"&gt;&lt;a href="canciones/joaquin_madurga/vamos_buscando_la_verdad.html"&gt;Vamos buscando la verdad&lt;/a&gt;&lt;/li&gt;</v>
      </c>
      <c r="W846" s="15" t="str">
        <f>_xlfn.TEXTBEFORE(_xlfn.TEXTAFTER(CantoralDB[[#This Row],[index.html]],"&gt;"),"&gt;")&amp;"&gt;"</f>
        <v>&lt;a href="canciones/joaquin_madurga/vamos_buscando_la_verdad.html"&gt;</v>
      </c>
    </row>
    <row r="847" spans="1:23" x14ac:dyDescent="0.3">
      <c r="A847" s="1">
        <f>ROW(CantoralDB[[#This Row],[Título]])-1</f>
        <v>846</v>
      </c>
      <c r="B847" s="1" t="s">
        <v>224</v>
      </c>
      <c r="C847" s="1" t="s">
        <v>191</v>
      </c>
      <c r="D847" s="1" t="s">
        <v>736</v>
      </c>
      <c r="G847" s="1" t="s">
        <v>216</v>
      </c>
      <c r="H847" s="1" t="s">
        <v>1028</v>
      </c>
      <c r="J847" s="1" t="s">
        <v>608</v>
      </c>
      <c r="M847" s="15" t="s">
        <v>485</v>
      </c>
      <c r="N847" s="15"/>
      <c r="O847" s="15"/>
      <c r="P847" s="15" t="str" cm="1">
        <f t="array" ref="P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847" s="15" t="str" cm="1">
        <f t="array" ref="Q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canciones/joaquin_madurga/el_señor_resucito.html</v>
      </c>
      <c r="S847" s="1"/>
      <c r="T847" s="1"/>
      <c r="U847" s="1"/>
      <c r="V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data-momento="Entrada" data-nnew="A16"&gt;&lt;a href="canciones/joaquin_madurga/el_señor_resucito.html"&gt;El Señor resucitó&lt;/a&gt;&lt;/li&gt;</v>
      </c>
      <c r="W847" s="15" t="str">
        <f>_xlfn.TEXTBEFORE(_xlfn.TEXTAFTER(CantoralDB[[#This Row],[index.html]],"&gt;"),"&gt;")&amp;"&gt;"</f>
        <v>&lt;a href="canciones/joaquin_madurga/el_señor_resucito.html"&gt;</v>
      </c>
    </row>
    <row r="848" spans="1:23" x14ac:dyDescent="0.3">
      <c r="A848" s="1">
        <f>ROW(CantoralDB[[#This Row],[Título]])-1</f>
        <v>847</v>
      </c>
      <c r="B848" s="1" t="s">
        <v>231</v>
      </c>
      <c r="C848" s="1" t="s">
        <v>194</v>
      </c>
      <c r="D848" s="1" t="s">
        <v>647</v>
      </c>
      <c r="G848" s="1" t="s">
        <v>209</v>
      </c>
      <c r="H848" s="1" t="s">
        <v>1029</v>
      </c>
      <c r="J848" s="1" t="s">
        <v>608</v>
      </c>
      <c r="M848" s="15" t="s">
        <v>485</v>
      </c>
      <c r="N848" s="15"/>
      <c r="O848" s="15"/>
      <c r="P848" s="15" t="str" cm="1">
        <f t="array" ref="P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Q848" s="15" t="str" cm="1">
        <f t="array" ref="Q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canciones/joaquin_madurga/aleluya_ha_nacido_el_salvador.html</v>
      </c>
      <c r="S848" s="1"/>
      <c r="T848" s="1"/>
      <c r="U848" s="1"/>
      <c r="V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Madurga" data-momento="Aleluya" data-nnew="E10"&gt;&lt;a href="canciones/joaquin_madurga/aleluya_ha_nacido_el_salvador.html"&gt;Aleluya, ha nacido el salvador&lt;/a&gt;&lt;/li&gt;</v>
      </c>
      <c r="W848" s="15" t="str">
        <f>_xlfn.TEXTBEFORE(_xlfn.TEXTAFTER(CantoralDB[[#This Row],[index.html]],"&gt;"),"&gt;")&amp;"&gt;"</f>
        <v>&lt;a href="canciones/joaquin_madurga/aleluya_ha_nacido_el_salvador.html"&gt;</v>
      </c>
    </row>
    <row r="849" spans="1:23" x14ac:dyDescent="0.3">
      <c r="A849" s="1">
        <f>ROW(CantoralDB[[#This Row],[Título]])-1</f>
        <v>848</v>
      </c>
      <c r="B849" s="1" t="s">
        <v>2955</v>
      </c>
      <c r="C849" s="1"/>
      <c r="E849" s="1">
        <v>259</v>
      </c>
      <c r="H849" s="1" t="s">
        <v>1030</v>
      </c>
      <c r="J849" s="1" t="s">
        <v>608</v>
      </c>
      <c r="M849" s="15" t="s">
        <v>2910</v>
      </c>
      <c r="N849" s="15"/>
      <c r="O849" s="15"/>
      <c r="P849" s="15" t="str" cm="1">
        <f t="array" ref="P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849" s="15" t="str" cm="1">
        <f t="array" ref="Q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canciones/nsb/tus_manos_son_palomas_de_la_paz.html</v>
      </c>
      <c r="S849" s="1"/>
      <c r="T849" s="1"/>
      <c r="U849" s="1"/>
      <c r="V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data-author="Joaquín Santos" data-nold="259"&gt;&lt;a href="canciones/nsb/tus_manos_son_palomas_de_la_paz.html"&gt;Tus manos son palomas de la paz&lt;/a&gt;&lt;/li&gt;</v>
      </c>
      <c r="W849" s="15" t="str">
        <f>_xlfn.TEXTBEFORE(_xlfn.TEXTAFTER(CantoralDB[[#This Row],[index.html]],"&gt;"),"&gt;")&amp;"&gt;"</f>
        <v>&lt;a href="canciones/nsb/tus_manos_son_palomas_de_la_paz.html"&gt;</v>
      </c>
    </row>
    <row r="850" spans="1:23" x14ac:dyDescent="0.3">
      <c r="A850" s="1">
        <f>ROW(CantoralDB[[#This Row],[Título]])-1</f>
        <v>849</v>
      </c>
      <c r="B850" s="1" t="s">
        <v>2585</v>
      </c>
      <c r="C850" s="1"/>
      <c r="F850" s="1">
        <v>186</v>
      </c>
      <c r="J850" s="1"/>
      <c r="M850" s="15" t="s">
        <v>2586</v>
      </c>
      <c r="N850" s="15"/>
      <c r="O850" s="15"/>
      <c r="P850" s="15" t="str" cm="1">
        <f t="array" ref="P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50" s="15" t="str" cm="1">
        <f t="array" ref="Q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canciones/nuevas/jesus_jesus_jesus.html</v>
      </c>
      <c r="S850" s="1"/>
      <c r="T850" s="1"/>
      <c r="U850" s="1"/>
      <c r="V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data-author="John Newton"&gt;&lt;a href="canciones/nuevas/jesus_jesus_jesus.html"&gt;Jesús, Jesús, Jesús&lt;/a&gt;&lt;/li&gt;</v>
      </c>
      <c r="W850" s="15" t="str">
        <f>_xlfn.TEXTBEFORE(_xlfn.TEXTAFTER(CantoralDB[[#This Row],[index.html]],"&gt;"),"&gt;")&amp;"&gt;"</f>
        <v>&lt;a href="canciones/nuevas/jesus_jesus_jesus.html"&gt;</v>
      </c>
    </row>
    <row r="851" spans="1:23" x14ac:dyDescent="0.3">
      <c r="A851" s="1">
        <f>ROW(CantoralDB[[#This Row],[Título]])-1</f>
        <v>850</v>
      </c>
      <c r="B851" s="1" t="s">
        <v>2524</v>
      </c>
      <c r="C851" s="1"/>
      <c r="F851" s="1">
        <v>128</v>
      </c>
      <c r="J851" s="1"/>
      <c r="M851" s="15" t="s">
        <v>2525</v>
      </c>
      <c r="N851" s="15"/>
      <c r="O851" s="15"/>
      <c r="P851" s="15" t="str" cm="1">
        <f t="array" ref="P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51" s="15" t="str" cm="1">
        <f t="array" ref="Q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canciones/nuevas/la_cancion_del_espiritu.html</v>
      </c>
      <c r="S851" s="1"/>
      <c r="T851" s="1"/>
      <c r="U851" s="1"/>
      <c r="V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data-author="John Wimber"&gt;&lt;a href="canciones/nuevas/la_cancion_del_espiritu.html"&gt;La canción del Espíritu&lt;/a&gt;&lt;/li&gt;</v>
      </c>
      <c r="W851" s="15" t="str">
        <f>_xlfn.TEXTBEFORE(_xlfn.TEXTAFTER(CantoralDB[[#This Row],[index.html]],"&gt;"),"&gt;")&amp;"&gt;"</f>
        <v>&lt;a href="canciones/nuevas/la_cancion_del_espiritu.html"&gt;</v>
      </c>
    </row>
    <row r="852" spans="1:23" x14ac:dyDescent="0.3">
      <c r="A852" s="1">
        <f>ROW(CantoralDB[[#This Row],[Título]])-1</f>
        <v>851</v>
      </c>
      <c r="B852" s="1" t="s">
        <v>1260</v>
      </c>
      <c r="C852" s="1"/>
      <c r="E852" s="1">
        <v>131</v>
      </c>
      <c r="J852" s="1"/>
      <c r="M852" s="15" t="s">
        <v>2880</v>
      </c>
      <c r="N852" s="15"/>
      <c r="O852" s="15"/>
      <c r="P852" s="15" t="str" cm="1">
        <f t="array" ref="P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852" s="15" t="str" cm="1">
        <f t="array" ref="Q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canciones/nsb/habra_un_dia_en_que_todos.html</v>
      </c>
      <c r="S852" s="1"/>
      <c r="T852" s="1"/>
      <c r="U852" s="1"/>
      <c r="V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Antonio Labordeta" data-nold="131"&gt;&lt;a href="canciones/nsb/habra_un_dia_en_que_todos.html"&gt;Habrá un día en que todos&lt;/a&gt;&lt;/li&gt;</v>
      </c>
      <c r="W852" s="15" t="str">
        <f>_xlfn.TEXTBEFORE(_xlfn.TEXTAFTER(CantoralDB[[#This Row],[index.html]],"&gt;"),"&gt;")&amp;"&gt;"</f>
        <v>&lt;a href="canciones/nsb/habra_un_dia_en_que_todos.html"&gt;</v>
      </c>
    </row>
    <row r="853" spans="1:23" x14ac:dyDescent="0.3">
      <c r="A853" s="1">
        <f>ROW(CantoralDB[[#This Row],[Título]])-1</f>
        <v>852</v>
      </c>
      <c r="B853" s="1" t="s">
        <v>183</v>
      </c>
      <c r="C853" s="1" t="s">
        <v>993</v>
      </c>
      <c r="D853" s="1" t="s">
        <v>709</v>
      </c>
      <c r="G853" s="1" t="s">
        <v>209</v>
      </c>
      <c r="H853" s="1" t="s">
        <v>1027</v>
      </c>
      <c r="J853" s="1" t="s">
        <v>608</v>
      </c>
      <c r="M853" s="15" t="s">
        <v>627</v>
      </c>
      <c r="N853" s="15"/>
      <c r="O853" s="15"/>
      <c r="P853" s="15" t="str" cm="1">
        <f t="array" ref="P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853" s="15" t="str" cm="1">
        <f t="array" ref="Q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canciones/nsb/himno_a_san_jose.html</v>
      </c>
      <c r="S853" s="1"/>
      <c r="T853" s="1"/>
      <c r="U853" s="1"/>
      <c r="V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Antonio Poblete" data-momento="Comunión" data-nnew="K36"&gt;&lt;a href="canciones/nsb/himno_a_san_jose.html"&gt;Himno a San José&lt;/a&gt;&lt;/li&gt;</v>
      </c>
      <c r="W853" s="15" t="str">
        <f>_xlfn.TEXTBEFORE(_xlfn.TEXTAFTER(CantoralDB[[#This Row],[index.html]],"&gt;"),"&gt;")&amp;"&gt;"</f>
        <v>&lt;a href="canciones/nsb/himno_a_san_jose.html"&gt;</v>
      </c>
    </row>
    <row r="854" spans="1:23" x14ac:dyDescent="0.3">
      <c r="A854" s="1">
        <f>ROW(CantoralDB[[#This Row],[Título]])-1</f>
        <v>853</v>
      </c>
      <c r="B854" s="1" t="s">
        <v>550</v>
      </c>
      <c r="C854" s="1" t="s">
        <v>476</v>
      </c>
      <c r="D854" s="1" t="s">
        <v>1063</v>
      </c>
      <c r="H854" s="1" t="s">
        <v>531</v>
      </c>
      <c r="J854" s="1" t="s">
        <v>608</v>
      </c>
      <c r="M854" s="15" t="s">
        <v>576</v>
      </c>
      <c r="N854" s="15"/>
      <c r="O854" s="15"/>
      <c r="P854" s="15" t="str" cm="1">
        <f t="array" ref="P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854" s="15" t="str" cm="1">
        <f t="array" ref="Q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canciones/nsb/navidad_navidad.html</v>
      </c>
      <c r="S854" s="1"/>
      <c r="T854" s="1"/>
      <c r="U854" s="1"/>
      <c r="V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Perales" data-momento="Navidad" data-nnew="O13"&gt;&lt;a href="canciones/nsb/navidad_navidad.html"&gt;Navidad, Navidad&lt;/a&gt;&lt;/li&gt;</v>
      </c>
      <c r="W854" s="15" t="str">
        <f>_xlfn.TEXTBEFORE(_xlfn.TEXTAFTER(CantoralDB[[#This Row],[index.html]],"&gt;"),"&gt;")&amp;"&gt;"</f>
        <v>&lt;a href="canciones/nsb/navidad_navidad.html"&gt;</v>
      </c>
    </row>
    <row r="855" spans="1:23" x14ac:dyDescent="0.3">
      <c r="A855" s="1">
        <f>ROW(CantoralDB[[#This Row],[Título]])-1</f>
        <v>854</v>
      </c>
      <c r="B855" s="1" t="s">
        <v>549</v>
      </c>
      <c r="C855" s="1" t="s">
        <v>476</v>
      </c>
      <c r="D855" s="1" t="s">
        <v>1062</v>
      </c>
      <c r="H855" s="1" t="s">
        <v>1027</v>
      </c>
      <c r="J855" s="1" t="s">
        <v>608</v>
      </c>
      <c r="M855" s="15" t="s">
        <v>576</v>
      </c>
      <c r="N855" s="15"/>
      <c r="O855" s="15"/>
      <c r="P855" s="15" t="str" cm="1">
        <f t="array" ref="P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855" s="15" t="str" cm="1">
        <f t="array" ref="Q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canciones/nsb/navidad_es_navidad.html</v>
      </c>
      <c r="S855" s="1"/>
      <c r="T855" s="1"/>
      <c r="U855" s="1"/>
      <c r="V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Perales" data-momento="Navidad" data-nnew="O14"&gt;&lt;a href="canciones/nsb/navidad_es_navidad.html"&gt;Navidad, es Navidad&lt;/a&gt;&lt;/li&gt;</v>
      </c>
      <c r="W855" s="15" t="str">
        <f>_xlfn.TEXTBEFORE(_xlfn.TEXTAFTER(CantoralDB[[#This Row],[index.html]],"&gt;"),"&gt;")&amp;"&gt;"</f>
        <v>&lt;a href="canciones/nsb/navidad_es_navidad.html"&gt;</v>
      </c>
    </row>
    <row r="856" spans="1:23" x14ac:dyDescent="0.3">
      <c r="A856" s="1">
        <f>ROW(CantoralDB[[#This Row],[Título]])-1</f>
        <v>855</v>
      </c>
      <c r="B856" s="1" t="s">
        <v>2158</v>
      </c>
      <c r="C856" s="15"/>
      <c r="H856" s="1" t="s">
        <v>1029</v>
      </c>
      <c r="J856" s="1" t="s">
        <v>608</v>
      </c>
      <c r="M856" s="15" t="s">
        <v>2177</v>
      </c>
      <c r="N856" s="15"/>
      <c r="O856" s="15"/>
      <c r="P856" s="15" t="str" cm="1">
        <f t="array" ref="P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56" s="15" t="str" cm="1">
        <f t="array" ref="Q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canciones/nuevas/algo_esta_cayendo_aqui.html</v>
      </c>
      <c r="S856" s="1"/>
      <c r="T856" s="1"/>
      <c r="U856" s="14" t="s">
        <v>3004</v>
      </c>
      <c r="V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Reyes"&gt;&lt;a href="canciones/nuevas/algo_esta_cayendo_aqui.html"&gt;Algo está cayendo aquí&lt;/a&gt;&lt;/li&gt;</v>
      </c>
      <c r="W856" s="15" t="str">
        <f>_xlfn.TEXTBEFORE(_xlfn.TEXTAFTER(CantoralDB[[#This Row],[index.html]],"&gt;"),"&gt;")&amp;"&gt;"</f>
        <v>&lt;a href="canciones/nuevas/algo_esta_cayendo_aqui.html"&gt;</v>
      </c>
    </row>
    <row r="857" spans="1:23" x14ac:dyDescent="0.3">
      <c r="A857" s="1">
        <f>ROW(CantoralDB[[#This Row],[Título]])-1</f>
        <v>856</v>
      </c>
      <c r="B857" s="1" t="s">
        <v>2632</v>
      </c>
      <c r="C857" s="1"/>
      <c r="F857" s="1">
        <v>243</v>
      </c>
      <c r="J857" s="1"/>
      <c r="M857" s="15" t="s">
        <v>2631</v>
      </c>
      <c r="N857" s="15"/>
      <c r="O857" s="15"/>
      <c r="P857" s="15" t="str" cm="1">
        <f t="array" ref="P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57" s="15" t="str" cm="1">
        <f t="array" ref="Q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canciones/nuevas/mira_el_rostro_de_jesus.html</v>
      </c>
      <c r="S857" s="1"/>
      <c r="T857" s="1"/>
      <c r="U857" s="1"/>
      <c r="V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Luis Villalaín"&gt;&lt;a href="canciones/nuevas/mira_el_rostro_de_jesus.html"&gt;Mira el rostro de Jesús&lt;/a&gt;&lt;/li&gt;</v>
      </c>
      <c r="W857" s="15" t="str">
        <f>_xlfn.TEXTBEFORE(_xlfn.TEXTAFTER(CantoralDB[[#This Row],[index.html]],"&gt;"),"&gt;")&amp;"&gt;"</f>
        <v>&lt;a href="canciones/nuevas/mira_el_rostro_de_jesus.html"&gt;</v>
      </c>
    </row>
    <row r="858" spans="1:23" x14ac:dyDescent="0.3">
      <c r="A858" s="1">
        <f>ROW(CantoralDB[[#This Row],[Título]])-1</f>
        <v>857</v>
      </c>
      <c r="B858" s="1" t="s">
        <v>2557</v>
      </c>
      <c r="C858" s="1"/>
      <c r="F858" s="1">
        <v>159</v>
      </c>
      <c r="J858" s="1"/>
      <c r="M858" s="15" t="s">
        <v>2519</v>
      </c>
      <c r="N858" s="15"/>
      <c r="O858" s="15"/>
      <c r="P858" s="15" t="str" cm="1">
        <f t="array" ref="P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58" s="15" t="str" cm="1">
        <f t="array" ref="Q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canciones/nuevas/escucha_oh_jesus.html</v>
      </c>
      <c r="S858" s="1"/>
      <c r="T858" s="1"/>
      <c r="U858" s="1"/>
      <c r="V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href="canciones/nuevas/escucha_oh_jesus.html"&gt;Escucha, oh, Jesús&lt;/a&gt;&lt;/li&gt;</v>
      </c>
      <c r="W858" s="15" t="str">
        <f>_xlfn.TEXTBEFORE(_xlfn.TEXTAFTER(CantoralDB[[#This Row],[index.html]],"&gt;"),"&gt;")&amp;"&gt;"</f>
        <v>&lt;a href="canciones/nuevas/escucha_oh_jesus.html"&gt;</v>
      </c>
    </row>
    <row r="859" spans="1:23" x14ac:dyDescent="0.3">
      <c r="A859" s="1">
        <f>ROW(CantoralDB[[#This Row],[Título]])-1</f>
        <v>858</v>
      </c>
      <c r="B859" s="1" t="s">
        <v>2518</v>
      </c>
      <c r="C859" s="1"/>
      <c r="F859" s="1">
        <v>125</v>
      </c>
      <c r="J859" s="1"/>
      <c r="M859" s="15" t="s">
        <v>2519</v>
      </c>
      <c r="N859" s="15"/>
      <c r="O859" s="15"/>
      <c r="P859" s="15" t="str" cm="1">
        <f t="array" ref="P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59" s="15" t="str" cm="1">
        <f t="array" ref="Q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canciones/nuevas/grito_santo.html</v>
      </c>
      <c r="S859" s="1"/>
      <c r="T859" s="1"/>
      <c r="U859" s="1"/>
      <c r="V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href="canciones/nuevas/grito_santo.html"&gt;Grito Santo&lt;/a&gt;&lt;/li&gt;</v>
      </c>
      <c r="W859" s="15" t="str">
        <f>_xlfn.TEXTBEFORE(_xlfn.TEXTAFTER(CantoralDB[[#This Row],[index.html]],"&gt;"),"&gt;")&amp;"&gt;"</f>
        <v>&lt;a href="canciones/nuevas/grito_santo.html"&gt;</v>
      </c>
    </row>
    <row r="860" spans="1:23" x14ac:dyDescent="0.3">
      <c r="A860" s="1">
        <f>ROW(CantoralDB[[#This Row],[Título]])-1</f>
        <v>859</v>
      </c>
      <c r="B860" s="1" t="s">
        <v>2785</v>
      </c>
      <c r="C860" s="1"/>
      <c r="F860" s="1">
        <v>394</v>
      </c>
      <c r="J860" s="1"/>
      <c r="M860" s="15" t="s">
        <v>2519</v>
      </c>
      <c r="N860" s="15"/>
      <c r="O860" s="15"/>
      <c r="P860" s="15" t="str" cm="1">
        <f t="array" ref="P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60" s="15" t="str" cm="1">
        <f t="array" ref="Q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canciones/nuevas/he_venido_para_que_vivais.html</v>
      </c>
      <c r="S860" s="1"/>
      <c r="T860" s="1"/>
      <c r="U860" s="1"/>
      <c r="V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Manuel Culebras"&gt;&lt;a href="canciones/nuevas/he_venido_para_que_vivais.html"&gt;He venido para que viváis&lt;/a&gt;&lt;/li&gt;</v>
      </c>
      <c r="W860" s="15" t="str">
        <f>_xlfn.TEXTBEFORE(_xlfn.TEXTAFTER(CantoralDB[[#This Row],[index.html]],"&gt;"),"&gt;")&amp;"&gt;"</f>
        <v>&lt;a href="canciones/nuevas/he_venido_para_que_vivais.html"&gt;</v>
      </c>
    </row>
    <row r="861" spans="1:23" x14ac:dyDescent="0.3">
      <c r="A861" s="1">
        <f>ROW(CantoralDB[[#This Row],[Título]])-1</f>
        <v>860</v>
      </c>
      <c r="B861" s="1" t="s">
        <v>2514</v>
      </c>
      <c r="C861" s="1"/>
      <c r="F861" s="1">
        <v>122</v>
      </c>
      <c r="J861" s="1"/>
      <c r="M861" s="15" t="s">
        <v>2515</v>
      </c>
      <c r="N861" s="15"/>
      <c r="O861" s="15"/>
      <c r="P861" s="15" t="str" cm="1">
        <f t="array" ref="P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61" s="15" t="str" cm="1">
        <f t="array" ref="Q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canciones/nuevas/el_señor_es_mi_pastor_(jm_monedero).html</v>
      </c>
      <c r="S861" s="1"/>
      <c r="T861" s="1"/>
      <c r="U861" s="1"/>
      <c r="V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Monedero"&gt;&lt;a href="canciones/nuevas/el_señor_es_mi_pastor_(jm_monedero).html"&gt;El Señor es mi pastor (JM Monedero)&lt;/a&gt;&lt;/li&gt;</v>
      </c>
      <c r="W861" s="15" t="str">
        <f>_xlfn.TEXTBEFORE(_xlfn.TEXTAFTER(CantoralDB[[#This Row],[index.html]],"&gt;"),"&gt;")&amp;"&gt;"</f>
        <v>&lt;a href="canciones/nuevas/el_señor_es_mi_pastor_(jm_monedero).html"&gt;</v>
      </c>
    </row>
    <row r="862" spans="1:23" x14ac:dyDescent="0.3">
      <c r="A862" s="1">
        <f>ROW(CantoralDB[[#This Row],[Título]])-1</f>
        <v>861</v>
      </c>
      <c r="B862" s="1" t="s">
        <v>490</v>
      </c>
      <c r="C862" s="1"/>
      <c r="F862" s="1">
        <v>250</v>
      </c>
      <c r="J862" s="1"/>
      <c r="M862" s="15" t="s">
        <v>2515</v>
      </c>
      <c r="N862" s="15"/>
      <c r="O862" s="15"/>
      <c r="P862" s="15" t="str" cm="1">
        <f t="array" ref="P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62" s="15" t="str" cm="1">
        <f t="array" ref="Q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canciones/nuevas/maranatha.html</v>
      </c>
      <c r="S862" s="1"/>
      <c r="T862" s="1"/>
      <c r="U862" s="1"/>
      <c r="V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Monedero"&gt;&lt;a href="canciones/nuevas/maranatha.html"&gt;Maranatha&lt;/a&gt;&lt;/li&gt;</v>
      </c>
      <c r="W862" s="15" t="str">
        <f>_xlfn.TEXTBEFORE(_xlfn.TEXTAFTER(CantoralDB[[#This Row],[index.html]],"&gt;"),"&gt;")&amp;"&gt;"</f>
        <v>&lt;a href="canciones/nuevas/maranatha.html"&gt;</v>
      </c>
    </row>
    <row r="863" spans="1:23" x14ac:dyDescent="0.3">
      <c r="A863" s="1">
        <f>ROW(CantoralDB[[#This Row],[Título]])-1</f>
        <v>862</v>
      </c>
      <c r="B863" s="1" t="s">
        <v>605</v>
      </c>
      <c r="C863" s="1" t="s">
        <v>993</v>
      </c>
      <c r="D863" s="1" t="s">
        <v>728</v>
      </c>
      <c r="G863" s="1" t="s">
        <v>602</v>
      </c>
      <c r="H863" s="1" t="s">
        <v>531</v>
      </c>
      <c r="J863" s="1" t="s">
        <v>608</v>
      </c>
      <c r="M863" s="15" t="s">
        <v>606</v>
      </c>
      <c r="N863" s="15"/>
      <c r="O863" s="15"/>
      <c r="P863" s="15" t="str" cm="1">
        <f t="array" ref="P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863" s="15" t="str" cm="1">
        <f t="array" ref="Q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canciones/nsb/principio_y_fundamento.html</v>
      </c>
      <c r="S863" s="1"/>
      <c r="T863" s="1"/>
      <c r="U863" s="1"/>
      <c r="V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María Olaizola" data-momento="Comunión" data-nnew="K55"&gt;&lt;a href="canciones/nsb/principio_y_fundamento.html"&gt;Principio y fundamento&lt;/a&gt;&lt;/li&gt;</v>
      </c>
      <c r="W863" s="15" t="str">
        <f>_xlfn.TEXTBEFORE(_xlfn.TEXTAFTER(CantoralDB[[#This Row],[index.html]],"&gt;"),"&gt;")&amp;"&gt;"</f>
        <v>&lt;a href="canciones/nsb/principio_y_fundamento.html"&gt;</v>
      </c>
    </row>
    <row r="864" spans="1:23" x14ac:dyDescent="0.3">
      <c r="A864" s="1">
        <f>ROW(CantoralDB[[#This Row],[Título]])-1</f>
        <v>863</v>
      </c>
      <c r="B864" s="1" t="s">
        <v>12</v>
      </c>
      <c r="C864" s="1" t="s">
        <v>191</v>
      </c>
      <c r="D864" s="1" t="s">
        <v>1369</v>
      </c>
      <c r="E864" s="1">
        <v>10</v>
      </c>
      <c r="G864" s="1" t="s">
        <v>209</v>
      </c>
      <c r="H864" s="1" t="s">
        <v>531</v>
      </c>
      <c r="J864" s="1" t="s">
        <v>608</v>
      </c>
      <c r="M864" s="15" t="s">
        <v>2143</v>
      </c>
      <c r="N864" s="15"/>
      <c r="O864" s="15"/>
      <c r="P864" s="15" t="str" cm="1">
        <f t="array" ref="P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864" s="15" t="str" cm="1">
        <f t="array" ref="Q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canciones/nsb/alegremonos_hermanos.html</v>
      </c>
      <c r="S864" s="1"/>
      <c r="T864" s="1"/>
      <c r="U864" s="1"/>
      <c r="V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data-momento="Entrada" data-nnew="A06" data-nold="10"&gt;&lt;a href="canciones/nsb/alegremonos_hermanos.html"&gt;Alegrémonos, hermanos&lt;/a&gt;&lt;/li&gt;</v>
      </c>
      <c r="W864" s="15" t="str">
        <f>_xlfn.TEXTBEFORE(_xlfn.TEXTAFTER(CantoralDB[[#This Row],[index.html]],"&gt;"),"&gt;")&amp;"&gt;"</f>
        <v>&lt;a href="canciones/nsb/alegremonos_hermanos.html"&gt;</v>
      </c>
    </row>
    <row r="865" spans="1:23" x14ac:dyDescent="0.3">
      <c r="A865" s="1">
        <f>ROW(CantoralDB[[#This Row],[Título]])-1</f>
        <v>864</v>
      </c>
      <c r="B865" s="1" t="s">
        <v>82</v>
      </c>
      <c r="C865" s="1" t="s">
        <v>993</v>
      </c>
      <c r="D865" s="1" t="s">
        <v>718</v>
      </c>
      <c r="E865" s="1">
        <v>143</v>
      </c>
      <c r="G865" s="1" t="s">
        <v>209</v>
      </c>
      <c r="H865" s="1" t="s">
        <v>531</v>
      </c>
      <c r="J865" s="1" t="s">
        <v>608</v>
      </c>
      <c r="M865" s="15" t="s">
        <v>2143</v>
      </c>
      <c r="N865" s="15"/>
      <c r="O865" s="15"/>
      <c r="P865" s="15" t="str" cm="1">
        <f t="array" ref="P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865" s="15" t="str" cm="1">
        <f t="array" ref="Q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canciones/nsb/juntos_cantemos_hoy.html</v>
      </c>
      <c r="S865" s="1"/>
      <c r="T865" s="1"/>
      <c r="U865" s="1"/>
      <c r="V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data-momento="Comunión" data-nnew="K45" data-nold="143"&gt;&lt;a href="canciones/nsb/juntos_cantemos_hoy.html"&gt;Juntos cantemos hoy&lt;/a&gt;&lt;/li&gt;</v>
      </c>
      <c r="W865" s="15" t="str">
        <f>_xlfn.TEXTBEFORE(_xlfn.TEXTAFTER(CantoralDB[[#This Row],[index.html]],"&gt;"),"&gt;")&amp;"&gt;"</f>
        <v>&lt;a href="canciones/nsb/juntos_cantemos_hoy.html"&gt;</v>
      </c>
    </row>
    <row r="866" spans="1:23" x14ac:dyDescent="0.3">
      <c r="A866" s="1">
        <f>ROW(CantoralDB[[#This Row],[Título]])-1</f>
        <v>865</v>
      </c>
      <c r="B866" s="1" t="s">
        <v>81</v>
      </c>
      <c r="C866" s="1" t="s">
        <v>993</v>
      </c>
      <c r="D866" s="1" t="s">
        <v>716</v>
      </c>
      <c r="E866" s="1">
        <v>144</v>
      </c>
      <c r="G866" s="1" t="s">
        <v>209</v>
      </c>
      <c r="H866" s="1" t="s">
        <v>531</v>
      </c>
      <c r="J866" s="1" t="s">
        <v>608</v>
      </c>
      <c r="M866" s="15" t="s">
        <v>2143</v>
      </c>
      <c r="N866" s="15"/>
      <c r="O866" s="15"/>
      <c r="P866" s="15" t="str" cm="1">
        <f t="array" ref="P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866" s="15" t="str" cm="1">
        <f t="array" ref="Q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canciones/nsb/jesus_nuestra_pascua.html</v>
      </c>
      <c r="S866" s="1"/>
      <c r="T866" s="1"/>
      <c r="U866" s="1"/>
      <c r="V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data-momento="Comunión" data-nnew="K43" data-nold="144"&gt;&lt;a href="canciones/nsb/jesus_nuestra_pascua.html"&gt;Jesús, nuestra Pascua&lt;/a&gt;&lt;/li&gt;</v>
      </c>
      <c r="W866" s="15" t="str">
        <f>_xlfn.TEXTBEFORE(_xlfn.TEXTAFTER(CantoralDB[[#This Row],[index.html]],"&gt;"),"&gt;")&amp;"&gt;"</f>
        <v>&lt;a href="canciones/nsb/jesus_nuestra_pascua.html"&gt;</v>
      </c>
    </row>
    <row r="867" spans="1:23" x14ac:dyDescent="0.3">
      <c r="A867" s="1">
        <f>ROW(CantoralDB[[#This Row],[Título]])-1</f>
        <v>866</v>
      </c>
      <c r="B867" s="1" t="s">
        <v>1307</v>
      </c>
      <c r="C867" s="1"/>
      <c r="E867" s="1">
        <v>216</v>
      </c>
      <c r="J867" s="1"/>
      <c r="M867" s="15" t="s">
        <v>2143</v>
      </c>
      <c r="N867" s="15"/>
      <c r="O867" s="15"/>
      <c r="P867" s="15" t="str" cm="1">
        <f t="array" ref="P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867" s="15" t="str" cm="1">
        <f t="array" ref="Q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canciones/nsb/pueblo_que_avanzas_buscando.html</v>
      </c>
      <c r="S867" s="1"/>
      <c r="T867" s="1"/>
      <c r="U867" s="1"/>
      <c r="V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Pedro Martins" data-nold="216"&gt;&lt;a href="canciones/nsb/pueblo_que_avanzas_buscando.html"&gt;Pueblo que avanzas buscando&lt;/a&gt;&lt;/li&gt;</v>
      </c>
      <c r="W867" s="15" t="str">
        <f>_xlfn.TEXTBEFORE(_xlfn.TEXTAFTER(CantoralDB[[#This Row],[index.html]],"&gt;"),"&gt;")&amp;"&gt;"</f>
        <v>&lt;a href="canciones/nsb/pueblo_que_avanzas_buscando.html"&gt;</v>
      </c>
    </row>
    <row r="868" spans="1:23" x14ac:dyDescent="0.3">
      <c r="A868" s="1">
        <f>ROW(CantoralDB[[#This Row],[Título]])-1</f>
        <v>867</v>
      </c>
      <c r="B868" s="1" t="s">
        <v>562</v>
      </c>
      <c r="C868" s="1" t="s">
        <v>201</v>
      </c>
      <c r="D868" s="1" t="s">
        <v>1389</v>
      </c>
      <c r="G868" s="1" t="s">
        <v>553</v>
      </c>
      <c r="H868" s="1" t="s">
        <v>1027</v>
      </c>
      <c r="J868" s="1" t="s">
        <v>608</v>
      </c>
      <c r="M868" s="15" t="s">
        <v>610</v>
      </c>
      <c r="N868" s="15"/>
      <c r="O868" s="15"/>
      <c r="P868" s="15" t="str" cm="1">
        <f t="array" ref="P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868" s="15" t="str" cm="1">
        <f t="array" ref="Q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canciones/nsb/ayudame_a_caminar.html</v>
      </c>
      <c r="S868" s="1" t="s">
        <v>807</v>
      </c>
      <c r="T868" s="1"/>
      <c r="U868" s="1"/>
      <c r="V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data-author="José Vives" data-momento="Antífonas" data-nnew="D05"&gt;&lt;a href="canciones/nsb/ayudame_a_caminar.html"&gt;Ayúdame a caminar&lt;/a&gt;&lt;/li&gt;</v>
      </c>
      <c r="W868" s="15" t="str">
        <f>_xlfn.TEXTBEFORE(_xlfn.TEXTAFTER(CantoralDB[[#This Row],[index.html]],"&gt;"),"&gt;")&amp;"&gt;"</f>
        <v>&lt;a href="canciones/nsb/ayudame_a_caminar.html"&gt;</v>
      </c>
    </row>
    <row r="869" spans="1:23" x14ac:dyDescent="0.3">
      <c r="A869" s="1">
        <f>ROW(CantoralDB[[#This Row],[Título]])-1</f>
        <v>868</v>
      </c>
      <c r="B869" s="1" t="s">
        <v>171</v>
      </c>
      <c r="C869" s="1" t="s">
        <v>993</v>
      </c>
      <c r="D869" s="1" t="s">
        <v>1033</v>
      </c>
      <c r="F869" s="1">
        <v>400</v>
      </c>
      <c r="G869" s="1" t="s">
        <v>209</v>
      </c>
      <c r="H869" s="1" t="s">
        <v>1030</v>
      </c>
      <c r="J869" s="1" t="s">
        <v>608</v>
      </c>
      <c r="M869" s="15" t="s">
        <v>539</v>
      </c>
      <c r="N869" s="15"/>
      <c r="O869" s="15"/>
      <c r="P869" s="15" t="str" cm="1">
        <f t="array" ref="P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869" s="15" t="str" cm="1">
        <f t="array" ref="Q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canciones/josep_asuncion/adorare_tu_cuerpo_herido.html</v>
      </c>
      <c r="S869" s="1"/>
      <c r="T869" s="1"/>
      <c r="U869" s="1"/>
      <c r="V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 data-momento="Comunión" data-nnew="K02"&gt;&lt;a href="canciones/josep_asuncion/adorare_tu_cuerpo_herido.html"&gt;Adoraré tu cuerpo herido&lt;/a&gt;&lt;/li&gt;</v>
      </c>
      <c r="W869" s="15" t="str">
        <f>_xlfn.TEXTBEFORE(_xlfn.TEXTAFTER(CantoralDB[[#This Row],[index.html]],"&gt;"),"&gt;")&amp;"&gt;"</f>
        <v>&lt;a href="canciones/josep_asuncion/adorare_tu_cuerpo_herido.html"&gt;</v>
      </c>
    </row>
    <row r="870" spans="1:23" x14ac:dyDescent="0.3">
      <c r="A870" s="1">
        <f>ROW(CantoralDB[[#This Row],[Título]])-1</f>
        <v>869</v>
      </c>
      <c r="B870" s="1" t="s">
        <v>2675</v>
      </c>
      <c r="C870" s="1"/>
      <c r="F870" s="1">
        <v>291</v>
      </c>
      <c r="J870" s="1"/>
      <c r="M870" s="15" t="s">
        <v>539</v>
      </c>
      <c r="N870" s="15"/>
      <c r="O870" s="15"/>
      <c r="P870" s="15" t="str" cm="1">
        <f t="array" ref="P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870" s="15" t="str" cm="1">
        <f t="array" ref="Q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canciones/josep_asuncion/alabandote.html</v>
      </c>
      <c r="S870" s="1"/>
      <c r="T870" s="1"/>
      <c r="U870" s="1"/>
      <c r="V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href="canciones/josep_asuncion/alabandote.html"&gt;Alabándote&lt;/a&gt;&lt;/li&gt;</v>
      </c>
      <c r="W870" s="15" t="str">
        <f>_xlfn.TEXTBEFORE(_xlfn.TEXTAFTER(CantoralDB[[#This Row],[index.html]],"&gt;"),"&gt;")&amp;"&gt;"</f>
        <v>&lt;a href="canciones/josep_asuncion/alabandote.html"&gt;</v>
      </c>
    </row>
    <row r="871" spans="1:23" x14ac:dyDescent="0.3">
      <c r="A871" s="1">
        <f>ROW(CantoralDB[[#This Row],[Título]])-1</f>
        <v>870</v>
      </c>
      <c r="B871" s="1" t="s">
        <v>2486</v>
      </c>
      <c r="C871" s="1"/>
      <c r="F871" s="1">
        <v>94</v>
      </c>
      <c r="J871" s="1"/>
      <c r="M871" s="15" t="s">
        <v>539</v>
      </c>
      <c r="N871" s="15"/>
      <c r="O871" s="15"/>
      <c r="P871" s="15" t="str" cm="1">
        <f t="array" ref="P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871" s="15" t="str" cm="1">
        <f t="array" ref="Q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canciones/josep_asuncion/amor_loco.html</v>
      </c>
      <c r="S871" s="1"/>
      <c r="T871" s="1"/>
      <c r="U871" s="1"/>
      <c r="V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href="canciones/josep_asuncion/amor_loco.html"&gt;Amor loco&lt;/a&gt;&lt;/li&gt;</v>
      </c>
      <c r="W871" s="15" t="str">
        <f>_xlfn.TEXTBEFORE(_xlfn.TEXTAFTER(CantoralDB[[#This Row],[index.html]],"&gt;"),"&gt;")&amp;"&gt;"</f>
        <v>&lt;a href="canciones/josep_asuncion/amor_loco.html"&gt;</v>
      </c>
    </row>
    <row r="872" spans="1:23" x14ac:dyDescent="0.3">
      <c r="A872" s="1">
        <f>ROW(CantoralDB[[#This Row],[Título]])-1</f>
        <v>871</v>
      </c>
      <c r="B872" s="1" t="s">
        <v>2537</v>
      </c>
      <c r="C872" s="1"/>
      <c r="F872" s="1">
        <v>141</v>
      </c>
      <c r="J872" s="1"/>
      <c r="M872" s="15" t="s">
        <v>539</v>
      </c>
      <c r="N872" s="15"/>
      <c r="O872" s="15"/>
      <c r="P872" s="15" t="str" cm="1">
        <f t="array" ref="P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872" s="15" t="str" cm="1">
        <f t="array" ref="Q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canciones/josep_asuncion/como_las_tiendas_de_quedar.html</v>
      </c>
      <c r="S872" s="1"/>
      <c r="T872" s="1"/>
      <c r="U872" s="1"/>
      <c r="V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href="canciones/josep_asuncion/como_las_tiendas_de_quedar.html"&gt;Como las tiendas de Quedar&lt;/a&gt;&lt;/li&gt;</v>
      </c>
      <c r="W872" s="15" t="str">
        <f>_xlfn.TEXTBEFORE(_xlfn.TEXTAFTER(CantoralDB[[#This Row],[index.html]],"&gt;"),"&gt;")&amp;"&gt;"</f>
        <v>&lt;a href="canciones/josep_asuncion/como_las_tiendas_de_quedar.html"&gt;</v>
      </c>
    </row>
    <row r="873" spans="1:23" x14ac:dyDescent="0.3">
      <c r="A873" s="1">
        <f>ROW(CantoralDB[[#This Row],[Título]])-1</f>
        <v>872</v>
      </c>
      <c r="B873" s="1" t="s">
        <v>2563</v>
      </c>
      <c r="C873" s="1"/>
      <c r="F873" s="1">
        <v>165</v>
      </c>
      <c r="J873" s="1"/>
      <c r="M873" s="15" t="s">
        <v>539</v>
      </c>
      <c r="N873" s="15"/>
      <c r="O873" s="15"/>
      <c r="P873" s="15" t="str" cm="1">
        <f t="array" ref="P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873" s="15" t="str" cm="1">
        <f t="array" ref="Q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canciones/josep_asuncion/dos_mil_años_de_luz.html</v>
      </c>
      <c r="S873" s="1"/>
      <c r="T873" s="1"/>
      <c r="U873" s="1"/>
      <c r="V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href="canciones/josep_asuncion/dos_mil_años_de_luz.html"&gt;Dos mil años de luz&lt;/a&gt;&lt;/li&gt;</v>
      </c>
      <c r="W873" s="15" t="str">
        <f>_xlfn.TEXTBEFORE(_xlfn.TEXTAFTER(CantoralDB[[#This Row],[index.html]],"&gt;"),"&gt;")&amp;"&gt;"</f>
        <v>&lt;a href="canciones/josep_asuncion/dos_mil_años_de_luz.html"&gt;</v>
      </c>
    </row>
    <row r="874" spans="1:23" x14ac:dyDescent="0.3">
      <c r="A874" s="1">
        <f>ROW(CantoralDB[[#This Row],[Título]])-1</f>
        <v>873</v>
      </c>
      <c r="B874" s="1" t="s">
        <v>2421</v>
      </c>
      <c r="C874" s="1"/>
      <c r="F874" s="1">
        <v>34</v>
      </c>
      <c r="J874" s="1"/>
      <c r="M874" s="15" t="s">
        <v>539</v>
      </c>
      <c r="N874" s="15"/>
      <c r="O874" s="15"/>
      <c r="P874" s="15" t="str" cm="1">
        <f t="array" ref="P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874" s="15" t="str" cm="1">
        <f t="array" ref="Q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canciones/josep_asuncion/en_quien_me_fijare.html</v>
      </c>
      <c r="S874" s="1"/>
      <c r="T874" s="1"/>
      <c r="U874" s="1"/>
      <c r="V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href="canciones/josep_asuncion/en_quien_me_fijare.html"&gt;En quién me fijaré&lt;/a&gt;&lt;/li&gt;</v>
      </c>
      <c r="W874" s="15" t="str">
        <f>_xlfn.TEXTBEFORE(_xlfn.TEXTAFTER(CantoralDB[[#This Row],[index.html]],"&gt;"),"&gt;")&amp;"&gt;"</f>
        <v>&lt;a href="canciones/josep_asuncion/en_quien_me_fijare.html"&gt;</v>
      </c>
    </row>
    <row r="875" spans="1:23" x14ac:dyDescent="0.3">
      <c r="A875" s="1">
        <f>ROW(CantoralDB[[#This Row],[Título]])-1</f>
        <v>874</v>
      </c>
      <c r="B875" s="1" t="s">
        <v>2668</v>
      </c>
      <c r="C875" s="1"/>
      <c r="F875" s="1">
        <v>282</v>
      </c>
      <c r="J875" s="1"/>
      <c r="M875" s="15" t="s">
        <v>539</v>
      </c>
      <c r="N875" s="15"/>
      <c r="O875" s="15"/>
      <c r="P875" s="15" t="str" cm="1">
        <f t="array" ref="P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875" s="15" t="str" cm="1">
        <f t="array" ref="Q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canciones/josep_asuncion/gloriosa_luz_de_dios.html</v>
      </c>
      <c r="S875" s="1"/>
      <c r="T875" s="1"/>
      <c r="U875" s="1"/>
      <c r="V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href="canciones/josep_asuncion/gloriosa_luz_de_dios.html"&gt;Gloriosa luz de Dios&lt;/a&gt;&lt;/li&gt;</v>
      </c>
      <c r="W875" s="15" t="str">
        <f>_xlfn.TEXTBEFORE(_xlfn.TEXTAFTER(CantoralDB[[#This Row],[index.html]],"&gt;"),"&gt;")&amp;"&gt;"</f>
        <v>&lt;a href="canciones/josep_asuncion/gloriosa_luz_de_dios.html"&gt;</v>
      </c>
    </row>
    <row r="876" spans="1:23" x14ac:dyDescent="0.3">
      <c r="A876" s="1">
        <f>ROW(CantoralDB[[#This Row],[Título]])-1</f>
        <v>875</v>
      </c>
      <c r="B876" s="1" t="s">
        <v>2679</v>
      </c>
      <c r="C876" s="1"/>
      <c r="F876" s="1">
        <v>295</v>
      </c>
      <c r="J876" s="1"/>
      <c r="M876" s="15" t="s">
        <v>539</v>
      </c>
      <c r="N876" s="15"/>
      <c r="O876" s="15"/>
      <c r="P876" s="15" t="str" cm="1">
        <f t="array" ref="P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876" s="15" t="str" cm="1">
        <f t="array" ref="Q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canciones/josep_asuncion/me_basta_tu_presencia_y_tu_figura.html</v>
      </c>
      <c r="S876" s="1"/>
      <c r="T876" s="1"/>
      <c r="U876" s="1"/>
      <c r="V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href="canciones/josep_asuncion/me_basta_tu_presencia_y_tu_figura.html"&gt;Me basta tu presencia y tu figura&lt;/a&gt;&lt;/li&gt;</v>
      </c>
      <c r="W876" s="15" t="str">
        <f>_xlfn.TEXTBEFORE(_xlfn.TEXTAFTER(CantoralDB[[#This Row],[index.html]],"&gt;"),"&gt;")&amp;"&gt;"</f>
        <v>&lt;a href="canciones/josep_asuncion/me_basta_tu_presencia_y_tu_figura.html"&gt;</v>
      </c>
    </row>
    <row r="877" spans="1:23" x14ac:dyDescent="0.3">
      <c r="A877" s="1">
        <f>ROW(CantoralDB[[#This Row],[Título]])-1</f>
        <v>876</v>
      </c>
      <c r="B877" s="1" t="s">
        <v>2508</v>
      </c>
      <c r="C877" s="1"/>
      <c r="F877" s="1">
        <v>118</v>
      </c>
      <c r="J877" s="1"/>
      <c r="M877" s="15" t="s">
        <v>539</v>
      </c>
      <c r="N877" s="15"/>
      <c r="O877" s="15"/>
      <c r="P877" s="15" t="str" cm="1">
        <f t="array" ref="P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877" s="15" t="str" cm="1">
        <f t="array" ref="Q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canciones/josep_asuncion/te_cubrire.html</v>
      </c>
      <c r="S877" s="1"/>
      <c r="T877" s="1"/>
      <c r="U877" s="1"/>
      <c r="V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href="canciones/josep_asuncion/te_cubrire.html"&gt;Te cubriré&lt;/a&gt;&lt;/li&gt;</v>
      </c>
      <c r="W877" s="15" t="str">
        <f>_xlfn.TEXTBEFORE(_xlfn.TEXTAFTER(CantoralDB[[#This Row],[index.html]],"&gt;"),"&gt;")&amp;"&gt;"</f>
        <v>&lt;a href="canciones/josep_asuncion/te_cubrire.html"&gt;</v>
      </c>
    </row>
    <row r="878" spans="1:23" x14ac:dyDescent="0.3">
      <c r="A878" s="1">
        <f>ROW(CantoralDB[[#This Row],[Título]])-1</f>
        <v>877</v>
      </c>
      <c r="B878" s="1" t="s">
        <v>2468</v>
      </c>
      <c r="C878" s="1"/>
      <c r="F878" s="1">
        <v>77</v>
      </c>
      <c r="J878" s="1"/>
      <c r="M878" s="15" t="s">
        <v>539</v>
      </c>
      <c r="N878" s="15"/>
      <c r="O878" s="15"/>
      <c r="P878" s="15" t="str" cm="1">
        <f t="array" ref="P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878" s="15" t="str" cm="1">
        <f t="array" ref="Q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canciones/josep_asuncion/ven_y_dejate_llevar.html</v>
      </c>
      <c r="S878" s="1"/>
      <c r="T878" s="1"/>
      <c r="U878" s="1"/>
      <c r="V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Asunción"&gt;&lt;a href="canciones/josep_asuncion/ven_y_dejate_llevar.html"&gt;Ven y déjate llevar&lt;/a&gt;&lt;/li&gt;</v>
      </c>
      <c r="W878" s="15" t="str">
        <f>_xlfn.TEXTBEFORE(_xlfn.TEXTAFTER(CantoralDB[[#This Row],[index.html]],"&gt;"),"&gt;")&amp;"&gt;"</f>
        <v>&lt;a href="canciones/josep_asuncion/ven_y_dejate_llevar.html"&gt;</v>
      </c>
    </row>
    <row r="879" spans="1:23" x14ac:dyDescent="0.3">
      <c r="A879" s="1">
        <f>ROW(CantoralDB[[#This Row],[Título]])-1</f>
        <v>878</v>
      </c>
      <c r="B879" s="1" t="s">
        <v>593</v>
      </c>
      <c r="C879" s="1" t="s">
        <v>201</v>
      </c>
      <c r="D879" s="1" t="s">
        <v>677</v>
      </c>
      <c r="F879" s="1">
        <v>368</v>
      </c>
      <c r="G879" s="1" t="s">
        <v>213</v>
      </c>
      <c r="H879" s="1" t="s">
        <v>531</v>
      </c>
      <c r="J879" s="1" t="s">
        <v>608</v>
      </c>
      <c r="M879" s="15" t="s">
        <v>539</v>
      </c>
      <c r="N879" s="15"/>
      <c r="O879" s="15"/>
      <c r="P879" s="15" t="str" cm="1">
        <f t="array" ref="P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Q879" s="15" t="str" cm="1">
        <f t="array" ref="Q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canciones/josep_asuncion/ven_y_descansate.html</v>
      </c>
      <c r="S879" s="1"/>
      <c r="T879" s="1"/>
      <c r="U879" s="1"/>
      <c r="V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data-author="Josep Asunción" data-momento="Antífonas" data-nnew="D39"&gt;&lt;a href="canciones/josep_asuncion/ven_y_descansate.html"&gt;Ven y descánsate&lt;/a&gt;&lt;/li&gt;</v>
      </c>
      <c r="W879" s="15" t="str">
        <f>_xlfn.TEXTBEFORE(_xlfn.TEXTAFTER(CantoralDB[[#This Row],[index.html]],"&gt;"),"&gt;")&amp;"&gt;"</f>
        <v>&lt;a href="canciones/josep_asuncion/ven_y_descansate.html"&gt;</v>
      </c>
    </row>
    <row r="880" spans="1:23" x14ac:dyDescent="0.3">
      <c r="A880" s="1">
        <f>ROW(CantoralDB[[#This Row],[Título]])-1</f>
        <v>879</v>
      </c>
      <c r="B880" s="1" t="s">
        <v>2528</v>
      </c>
      <c r="C880" s="1"/>
      <c r="F880" s="1">
        <v>131</v>
      </c>
      <c r="J880" s="1"/>
      <c r="M880" s="15" t="s">
        <v>2529</v>
      </c>
      <c r="N880" s="15"/>
      <c r="O880" s="15"/>
      <c r="P880" s="15" t="str" cm="1">
        <f t="array" ref="P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880" s="15" t="str" cm="1">
        <f t="array" ref="Q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canciones/nuevas/despertemos.html</v>
      </c>
      <c r="S880" s="1"/>
      <c r="T880" s="1"/>
      <c r="U880" s="1"/>
      <c r="V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Alfonso Greis"&gt;&lt;a href="canciones/nuevas/despertemos.html"&gt;Despertemos&lt;/a&gt;&lt;/li&gt;</v>
      </c>
      <c r="W880" s="15" t="str">
        <f>_xlfn.TEXTBEFORE(_xlfn.TEXTAFTER(CantoralDB[[#This Row],[index.html]],"&gt;"),"&gt;")&amp;"&gt;"</f>
        <v>&lt;a href="canciones/nuevas/despertemos.html"&gt;</v>
      </c>
    </row>
    <row r="881" spans="1:23" x14ac:dyDescent="0.3">
      <c r="A881" s="1">
        <f>ROW(CantoralDB[[#This Row],[Título]])-1</f>
        <v>880</v>
      </c>
      <c r="B881" s="1" t="s">
        <v>229</v>
      </c>
      <c r="C881" s="1" t="s">
        <v>201</v>
      </c>
      <c r="D881" s="1" t="s">
        <v>1359</v>
      </c>
      <c r="E881" s="1">
        <v>4</v>
      </c>
      <c r="G881" s="1" t="s">
        <v>216</v>
      </c>
      <c r="H881" s="1" t="s">
        <v>1030</v>
      </c>
      <c r="J881" s="1" t="s">
        <v>608</v>
      </c>
      <c r="M881" s="15" t="s">
        <v>491</v>
      </c>
      <c r="N881" s="15"/>
      <c r="O881" s="15"/>
      <c r="P881" s="15" t="str" cm="1">
        <f t="array" ref="P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881" s="15" t="str" cm="1">
        <f t="array" ref="Q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canciones/juan_antonio_espinosa/a_dios_den_gracias_los_pueblos.html</v>
      </c>
      <c r="S881" s="1"/>
      <c r="T881" s="1"/>
      <c r="U881" s="1"/>
      <c r="V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data-momento="Antífonas" data-nnew="D01" data-nold="4"&gt;&lt;a href="canciones/juan_antonio_espinosa/a_dios_den_gracias_los_pueblos.html"&gt;A Dios den gracias los pueblos&lt;/a&gt;&lt;/li&gt;</v>
      </c>
      <c r="W881" s="15" t="str">
        <f>_xlfn.TEXTBEFORE(_xlfn.TEXTAFTER(CantoralDB[[#This Row],[index.html]],"&gt;"),"&gt;")&amp;"&gt;"</f>
        <v>&lt;a href="canciones/juan_antonio_espinosa/a_dios_den_gracias_los_pueblos.html"&gt;</v>
      </c>
    </row>
    <row r="882" spans="1:23" x14ac:dyDescent="0.3">
      <c r="A882" s="1">
        <f>ROW(CantoralDB[[#This Row],[Título]])-1</f>
        <v>881</v>
      </c>
      <c r="B882" s="1" t="s">
        <v>11</v>
      </c>
      <c r="C882" s="1" t="s">
        <v>191</v>
      </c>
      <c r="D882" s="1" t="s">
        <v>1368</v>
      </c>
      <c r="E882" s="1">
        <v>16</v>
      </c>
      <c r="F882" s="1">
        <v>301</v>
      </c>
      <c r="G882" s="1" t="s">
        <v>209</v>
      </c>
      <c r="H882" s="1" t="s">
        <v>1027</v>
      </c>
      <c r="I882" s="1" t="s">
        <v>2962</v>
      </c>
      <c r="J882" s="1" t="s">
        <v>608</v>
      </c>
      <c r="M882" s="15" t="s">
        <v>491</v>
      </c>
      <c r="N882" s="15"/>
      <c r="O882" s="15"/>
      <c r="P882" s="15" t="str" cm="1">
        <f t="array" ref="P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882" s="15" t="str" cm="1">
        <f t="array" ref="Q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canciones/juan_antonio_espinosa/alegre_la_mañana.html</v>
      </c>
      <c r="S882" s="1"/>
      <c r="T882" s="1"/>
      <c r="U882" s="1"/>
      <c r="V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data-nnew="A05" data-nold="16"&gt;&lt;a href="canciones/juan_antonio_espinosa/alegre_la_mañana.html"&gt;Alegre la mañana&lt;/a&gt;&lt;/li&gt;</v>
      </c>
      <c r="W882" s="15" t="str">
        <f>_xlfn.TEXTBEFORE(_xlfn.TEXTAFTER(CantoralDB[[#This Row],[index.html]],"&gt;"),"&gt;")&amp;"&gt;"</f>
        <v>&lt;a href="canciones/juan_antonio_espinosa/alegre_la_mañana.html"&gt;</v>
      </c>
    </row>
    <row r="883" spans="1:23" x14ac:dyDescent="0.3">
      <c r="A883" s="1">
        <f>ROW(CantoralDB[[#This Row],[Título]])-1</f>
        <v>882</v>
      </c>
      <c r="B883" s="1" t="s">
        <v>1171</v>
      </c>
      <c r="C883" s="1" t="s">
        <v>191</v>
      </c>
      <c r="D883" s="1" t="s">
        <v>1392</v>
      </c>
      <c r="E883" s="1">
        <v>35</v>
      </c>
      <c r="G883" s="1" t="s">
        <v>209</v>
      </c>
      <c r="H883" s="1" t="s">
        <v>1030</v>
      </c>
      <c r="I883" s="1" t="s">
        <v>2962</v>
      </c>
      <c r="J883" s="1" t="s">
        <v>608</v>
      </c>
      <c r="M883" s="15" t="s">
        <v>491</v>
      </c>
      <c r="N883" s="15"/>
      <c r="O883" s="15"/>
      <c r="P883" s="15" t="str" cm="1">
        <f t="array" ref="P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883" s="15" t="str" cm="1">
        <f t="array" ref="Q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canciones/juan_antonio_espinosa/caminamos_hacia_el_sol.html</v>
      </c>
      <c r="S883" s="1"/>
      <c r="T883" s="1"/>
      <c r="U883" s="1"/>
      <c r="V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data-nnew="A09" data-nold="35"&gt;&lt;a href="canciones/juan_antonio_espinosa/caminamos_hacia_el_sol.html"&gt;Caminamos hacia el sol&lt;/a&gt;&lt;/li&gt;</v>
      </c>
      <c r="W883" s="15" t="str">
        <f>_xlfn.TEXTBEFORE(_xlfn.TEXTAFTER(CantoralDB[[#This Row],[index.html]],"&gt;"),"&gt;")&amp;"&gt;"</f>
        <v>&lt;a href="canciones/juan_antonio_espinosa/caminamos_hacia_el_sol.html"&gt;</v>
      </c>
    </row>
    <row r="884" spans="1:23" x14ac:dyDescent="0.3">
      <c r="A884" s="1">
        <f>ROW(CantoralDB[[#This Row],[Título]])-1</f>
        <v>883</v>
      </c>
      <c r="B884" s="1" t="s">
        <v>1172</v>
      </c>
      <c r="C884" s="1"/>
      <c r="E884" s="1">
        <v>39</v>
      </c>
      <c r="H884" s="1" t="s">
        <v>1030</v>
      </c>
      <c r="J884" s="1" t="s">
        <v>608</v>
      </c>
      <c r="M884" s="15" t="s">
        <v>491</v>
      </c>
      <c r="N884" s="15"/>
      <c r="O884" s="15"/>
      <c r="P884" s="15" t="str" cm="1">
        <f t="array" ref="P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884" s="15" t="str" cm="1">
        <f t="array" ref="Q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canciones/juan_antonio_espinosa/caminare_en_presencia_del_señor.html</v>
      </c>
      <c r="S884" s="1"/>
      <c r="T884" s="1"/>
      <c r="U884" s="1"/>
      <c r="V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data-nold="39"&gt;&lt;a href="canciones/juan_antonio_espinosa/caminare_en_presencia_del_señor.html"&gt;Caminaré en presencia del Señor&lt;/a&gt;&lt;/li&gt;</v>
      </c>
      <c r="W884" s="15" t="str">
        <f>_xlfn.TEXTBEFORE(_xlfn.TEXTAFTER(CantoralDB[[#This Row],[index.html]],"&gt;"),"&gt;")&amp;"&gt;"</f>
        <v>&lt;a href="canciones/juan_antonio_espinosa/caminare_en_presencia_del_señor.html"&gt;</v>
      </c>
    </row>
    <row r="885" spans="1:23" x14ac:dyDescent="0.3">
      <c r="A885" s="1">
        <f>ROW(CantoralDB[[#This Row],[Título]])-1</f>
        <v>884</v>
      </c>
      <c r="B885" s="1" t="s">
        <v>1197</v>
      </c>
      <c r="C885" s="1"/>
      <c r="E885" s="1">
        <v>73</v>
      </c>
      <c r="H885" s="1" t="s">
        <v>1030</v>
      </c>
      <c r="J885" s="1" t="s">
        <v>608</v>
      </c>
      <c r="M885" s="15" t="s">
        <v>491</v>
      </c>
      <c r="N885" s="15"/>
      <c r="O885" s="15"/>
      <c r="P885" s="15" t="str" cm="1">
        <f t="array" ref="P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885" s="15" t="str" cm="1">
        <f t="array" ref="Q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canciones/juan_antonio_espinosa/dad_gracias_al_señor_porque_es_bueno.html</v>
      </c>
      <c r="S885" s="1"/>
      <c r="T885" s="1"/>
      <c r="U885" s="1"/>
      <c r="V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data-nold="73"&gt;&lt;a href="canciones/juan_antonio_espinosa/dad_gracias_al_señor_porque_es_bueno.html"&gt;Dad gracias al Señor porque es bueno&lt;/a&gt;&lt;/li&gt;</v>
      </c>
      <c r="W885" s="15" t="str">
        <f>_xlfn.TEXTBEFORE(_xlfn.TEXTAFTER(CantoralDB[[#This Row],[index.html]],"&gt;"),"&gt;")&amp;"&gt;"</f>
        <v>&lt;a href="canciones/juan_antonio_espinosa/dad_gracias_al_señor_porque_es_bueno.html"&gt;</v>
      </c>
    </row>
    <row r="886" spans="1:23" x14ac:dyDescent="0.3">
      <c r="A886" s="1">
        <f>ROW(CantoralDB[[#This Row],[Título]])-1</f>
        <v>885</v>
      </c>
      <c r="B886" s="1" t="s">
        <v>43</v>
      </c>
      <c r="C886" s="1" t="s">
        <v>993</v>
      </c>
      <c r="D886" s="1" t="s">
        <v>694</v>
      </c>
      <c r="E886" s="1">
        <v>75</v>
      </c>
      <c r="G886" s="1" t="s">
        <v>209</v>
      </c>
      <c r="H886" s="1" t="s">
        <v>531</v>
      </c>
      <c r="I886" s="1" t="s">
        <v>2961</v>
      </c>
      <c r="J886" s="1" t="s">
        <v>608</v>
      </c>
      <c r="M886" s="15" t="s">
        <v>491</v>
      </c>
      <c r="N886" s="15"/>
      <c r="O886" s="15"/>
      <c r="P886" s="15" t="str" cm="1">
        <f t="array" ref="P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886" s="15" t="str" cm="1">
        <f t="array" ref="Q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canciones/juan_antonio_espinosa/danos_un_corazon.html</v>
      </c>
      <c r="S886" s="1" t="s">
        <v>819</v>
      </c>
      <c r="T886" s="1"/>
      <c r="U886" s="1"/>
      <c r="V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data-nnew="K21" data-nold="75"&gt;&lt;a href="canciones/juan_antonio_espinosa/danos_un_corazon.html"&gt;Danos un corazón&lt;/a&gt;&lt;/li&gt;</v>
      </c>
      <c r="W886" s="15" t="str">
        <f>_xlfn.TEXTBEFORE(_xlfn.TEXTAFTER(CantoralDB[[#This Row],[index.html]],"&gt;"),"&gt;")&amp;"&gt;"</f>
        <v>&lt;a href="canciones/juan_antonio_espinosa/danos_un_corazon.html"&gt;</v>
      </c>
    </row>
    <row r="887" spans="1:23" x14ac:dyDescent="0.3">
      <c r="A887" s="1">
        <f>ROW(CantoralDB[[#This Row],[Título]])-1</f>
        <v>886</v>
      </c>
      <c r="B887" s="1" t="s">
        <v>46</v>
      </c>
      <c r="C887" s="1" t="s">
        <v>993</v>
      </c>
      <c r="D887" s="1" t="s">
        <v>696</v>
      </c>
      <c r="E887" s="1">
        <v>77</v>
      </c>
      <c r="G887" s="1" t="s">
        <v>209</v>
      </c>
      <c r="H887" s="1" t="s">
        <v>531</v>
      </c>
      <c r="I887" s="1" t="s">
        <v>2963</v>
      </c>
      <c r="J887" s="1" t="s">
        <v>608</v>
      </c>
      <c r="M887" s="15" t="s">
        <v>491</v>
      </c>
      <c r="N887" s="15"/>
      <c r="O887" s="15"/>
      <c r="P887" s="15" t="str" cm="1">
        <f t="array" ref="P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887" s="15" t="str" cm="1">
        <f t="array" ref="Q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canciones/juan_antonio_espinosa/dolorosa.html</v>
      </c>
      <c r="S887" s="1" t="s">
        <v>821</v>
      </c>
      <c r="T887" s="1"/>
      <c r="U887" s="1"/>
      <c r="V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data-nnew="K23" data-nold="77"&gt;&lt;a href="canciones/juan_antonio_espinosa/dolorosa.html"&gt;Dolorosa&lt;/a&gt;&lt;/li&gt;</v>
      </c>
      <c r="W887" s="15" t="str">
        <f>_xlfn.TEXTBEFORE(_xlfn.TEXTAFTER(CantoralDB[[#This Row],[index.html]],"&gt;"),"&gt;")&amp;"&gt;"</f>
        <v>&lt;a href="canciones/juan_antonio_espinosa/dolorosa.html"&gt;</v>
      </c>
    </row>
    <row r="888" spans="1:23" x14ac:dyDescent="0.3">
      <c r="A888" s="1">
        <f>ROW(CantoralDB[[#This Row],[Título]])-1</f>
        <v>887</v>
      </c>
      <c r="B888" s="1" t="s">
        <v>58</v>
      </c>
      <c r="C888" s="1" t="s">
        <v>195</v>
      </c>
      <c r="D888" s="1" t="s">
        <v>1418</v>
      </c>
      <c r="E888" s="1">
        <v>94</v>
      </c>
      <c r="G888" s="1" t="s">
        <v>209</v>
      </c>
      <c r="H888" s="1" t="s">
        <v>531</v>
      </c>
      <c r="I888" s="1" t="s">
        <v>2962</v>
      </c>
      <c r="J888" s="1" t="s">
        <v>608</v>
      </c>
      <c r="M888" s="15" t="s">
        <v>491</v>
      </c>
      <c r="N888" s="15"/>
      <c r="O888" s="15"/>
      <c r="P888" s="15" t="str" cm="1">
        <f t="array" ref="P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888" s="15" t="str" cm="1">
        <f t="array" ref="Q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canciones/juan_antonio_espinosa/en_la_comida_que_cristo_nos_da.html</v>
      </c>
      <c r="S888" s="1"/>
      <c r="T888" s="1"/>
      <c r="U888" s="1"/>
      <c r="V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data-momento="Ofertorio" data-nnew="F07" data-nold="94"&gt;&lt;a href="canciones/juan_antonio_espinosa/en_la_comida_que_cristo_nos_da.html"&gt;En la comida que Cristo nos da&lt;/a&gt;&lt;/li&gt;</v>
      </c>
      <c r="W888" s="15" t="str">
        <f>_xlfn.TEXTBEFORE(_xlfn.TEXTAFTER(CantoralDB[[#This Row],[index.html]],"&gt;"),"&gt;")&amp;"&gt;"</f>
        <v>&lt;a href="canciones/juan_antonio_espinosa/en_la_comida_que_cristo_nos_da.html"&gt;</v>
      </c>
    </row>
    <row r="889" spans="1:23" x14ac:dyDescent="0.3">
      <c r="A889" s="1">
        <f>ROW(CantoralDB[[#This Row],[Título]])-1</f>
        <v>888</v>
      </c>
      <c r="B889" s="1" t="s">
        <v>1218</v>
      </c>
      <c r="C889" s="1"/>
      <c r="E889" s="1">
        <v>102</v>
      </c>
      <c r="H889" s="1" t="s">
        <v>531</v>
      </c>
      <c r="J889" s="1" t="s">
        <v>608</v>
      </c>
      <c r="M889" s="15" t="s">
        <v>491</v>
      </c>
      <c r="N889" s="15"/>
      <c r="O889" s="15"/>
      <c r="P889" s="15" t="str" cm="1">
        <f t="array" ref="P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889" s="15" t="str" cm="1">
        <f t="array" ref="Q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canciones/juan_antonio_espinosa/el_señor_es_mi_fuerza.html</v>
      </c>
      <c r="S889" s="1"/>
      <c r="T889" s="1"/>
      <c r="U889" s="14" t="s">
        <v>2985</v>
      </c>
      <c r="V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data-nold="102"&gt;&lt;a href="canciones/juan_antonio_espinosa/el_señor_es_mi_fuerza.html"&gt;El Señor es mi fuerza&lt;/a&gt;&lt;/li&gt;</v>
      </c>
      <c r="W889" s="15" t="str">
        <f>_xlfn.TEXTBEFORE(_xlfn.TEXTAFTER(CantoralDB[[#This Row],[index.html]],"&gt;"),"&gt;")&amp;"&gt;"</f>
        <v>&lt;a href="canciones/juan_antonio_espinosa/el_señor_es_mi_fuerza.html"&gt;</v>
      </c>
    </row>
    <row r="890" spans="1:23" x14ac:dyDescent="0.3">
      <c r="A890" s="1">
        <f>ROW(CantoralDB[[#This Row],[Título]])-1</f>
        <v>889</v>
      </c>
      <c r="B890" s="1" t="s">
        <v>2121</v>
      </c>
      <c r="C890" s="1"/>
      <c r="E890" s="1">
        <v>108</v>
      </c>
      <c r="H890" s="1" t="s">
        <v>531</v>
      </c>
      <c r="J890" s="1" t="s">
        <v>608</v>
      </c>
      <c r="M890" s="15" t="s">
        <v>491</v>
      </c>
      <c r="N890" s="15"/>
      <c r="O890" s="15"/>
      <c r="P890" s="15" t="str" cm="1">
        <f t="array" ref="P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890" s="15" t="str" cm="1">
        <f t="array" ref="Q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canciones/juan_antonio_espinosa/errante_voy.html</v>
      </c>
      <c r="S890" s="1"/>
      <c r="T890" s="1"/>
      <c r="U890" s="1"/>
      <c r="V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data-nold="108"&gt;&lt;a href="canciones/juan_antonio_espinosa/errante_voy.html"&gt;Errante voy&lt;/a&gt;&lt;/li&gt;</v>
      </c>
      <c r="W890" s="15" t="str">
        <f>_xlfn.TEXTBEFORE(_xlfn.TEXTAFTER(CantoralDB[[#This Row],[index.html]],"&gt;"),"&gt;")&amp;"&gt;"</f>
        <v>&lt;a href="canciones/juan_antonio_espinosa/errante_voy.html"&gt;</v>
      </c>
    </row>
    <row r="891" spans="1:23" x14ac:dyDescent="0.3">
      <c r="A891" s="1">
        <f>ROW(CantoralDB[[#This Row],[Título]])-1</f>
        <v>890</v>
      </c>
      <c r="B891" s="1" t="s">
        <v>2909</v>
      </c>
      <c r="C891" s="1"/>
      <c r="E891" s="1">
        <v>117</v>
      </c>
      <c r="H891" s="1" t="s">
        <v>1043</v>
      </c>
      <c r="J891" s="1" t="s">
        <v>608</v>
      </c>
      <c r="M891" s="15" t="s">
        <v>491</v>
      </c>
      <c r="N891" s="15"/>
      <c r="O891" s="15"/>
      <c r="P891" s="15" t="str" cm="1">
        <f t="array" ref="P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891" s="15" t="str" cm="1">
        <f t="array" ref="Q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canciones/juan_antonio_espinosa/escucha_nuestros_gritos_en_la_noche.html</v>
      </c>
      <c r="S891" s="1"/>
      <c r="T891" s="1"/>
      <c r="U891" s="1"/>
      <c r="V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data-nold="117"&gt;&lt;a href="canciones/juan_antonio_espinosa/escucha_nuestros_gritos_en_la_noche.html"&gt;Escucha nuestros gritos en la noche&lt;/a&gt;&lt;/li&gt;</v>
      </c>
      <c r="W891" s="15" t="str">
        <f>_xlfn.TEXTBEFORE(_xlfn.TEXTAFTER(CantoralDB[[#This Row],[index.html]],"&gt;"),"&gt;")&amp;"&gt;"</f>
        <v>&lt;a href="canciones/juan_antonio_espinosa/escucha_nuestros_gritos_en_la_noche.html"&gt;</v>
      </c>
    </row>
    <row r="892" spans="1:23" x14ac:dyDescent="0.3">
      <c r="A892" s="1">
        <f>ROW(CantoralDB[[#This Row],[Título]])-1</f>
        <v>891</v>
      </c>
      <c r="B892" s="1" t="s">
        <v>933</v>
      </c>
      <c r="C892" s="1"/>
      <c r="E892" s="1">
        <v>121</v>
      </c>
      <c r="H892" s="1" t="s">
        <v>1027</v>
      </c>
      <c r="J892" s="1" t="s">
        <v>608</v>
      </c>
      <c r="M892" s="15" t="s">
        <v>491</v>
      </c>
      <c r="N892" s="15"/>
      <c r="O892" s="15"/>
      <c r="P892" s="15" t="str" cm="1">
        <f t="array" ref="P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892" s="15" t="str" cm="1">
        <f t="array" ref="Q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canciones/juan_antonio_espinosa/este_es_el_dia_del_señor.html</v>
      </c>
      <c r="S892" s="1"/>
      <c r="T892" s="1"/>
      <c r="U892" s="1"/>
      <c r="V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data-nold="121"&gt;&lt;a href="canciones/juan_antonio_espinosa/este_es_el_dia_del_señor.html"&gt;Este es el día del Señor&lt;/a&gt;&lt;/li&gt;</v>
      </c>
      <c r="W892" s="15" t="str">
        <f>_xlfn.TEXTBEFORE(_xlfn.TEXTAFTER(CantoralDB[[#This Row],[index.html]],"&gt;"),"&gt;")&amp;"&gt;"</f>
        <v>&lt;a href="canciones/juan_antonio_espinosa/este_es_el_dia_del_señor.html"&gt;</v>
      </c>
    </row>
    <row r="893" spans="1:23" x14ac:dyDescent="0.3">
      <c r="A893" s="1">
        <f>ROW(CantoralDB[[#This Row],[Título]])-1</f>
        <v>892</v>
      </c>
      <c r="B893" s="1" t="s">
        <v>1256</v>
      </c>
      <c r="C893" s="1"/>
      <c r="E893" s="1">
        <v>125</v>
      </c>
      <c r="H893" s="1" t="s">
        <v>1028</v>
      </c>
      <c r="J893" s="1" t="s">
        <v>608</v>
      </c>
      <c r="M893" s="15" t="s">
        <v>491</v>
      </c>
      <c r="N893" s="15"/>
      <c r="O893" s="15"/>
      <c r="P893" s="15" t="str" cm="1">
        <f t="array" ref="P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893" s="15" t="str" cm="1">
        <f t="array" ref="Q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canciones/juan_antonio_espinosa/feliz_el_hombre.html</v>
      </c>
      <c r="S893" s="1"/>
      <c r="T893" s="1"/>
      <c r="U893" s="1"/>
      <c r="V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data-nold="125"&gt;&lt;a href="canciones/juan_antonio_espinosa/feliz_el_hombre.html"&gt;Feliz el hombre&lt;/a&gt;&lt;/li&gt;</v>
      </c>
      <c r="W893" s="15" t="str">
        <f>_xlfn.TEXTBEFORE(_xlfn.TEXTAFTER(CantoralDB[[#This Row],[index.html]],"&gt;"),"&gt;")&amp;"&gt;"</f>
        <v>&lt;a href="canciones/juan_antonio_espinosa/feliz_el_hombre.html"&gt;</v>
      </c>
    </row>
    <row r="894" spans="1:23" x14ac:dyDescent="0.3">
      <c r="A894" s="1">
        <f>ROW(CantoralDB[[#This Row],[Título]])-1</f>
        <v>893</v>
      </c>
      <c r="B894" s="1" t="s">
        <v>78</v>
      </c>
      <c r="C894" s="1" t="s">
        <v>199</v>
      </c>
      <c r="D894" s="1" t="s">
        <v>1432</v>
      </c>
      <c r="E894" s="1">
        <v>140</v>
      </c>
      <c r="G894" s="1" t="s">
        <v>209</v>
      </c>
      <c r="H894" s="1" t="s">
        <v>1029</v>
      </c>
      <c r="J894" s="1" t="s">
        <v>608</v>
      </c>
      <c r="M894" s="15" t="s">
        <v>491</v>
      </c>
      <c r="N894" s="15"/>
      <c r="O894" s="15"/>
      <c r="P894" s="15" t="str" cm="1">
        <f t="array" ref="P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894" s="15" t="str" cm="1">
        <f t="array" ref="Q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canciones/juan_antonio_espinosa/hoy_señor_te_damos_gracias.html</v>
      </c>
      <c r="S894" s="1"/>
      <c r="T894" s="1"/>
      <c r="U894" s="1"/>
      <c r="V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data-momento="Despedida" data-nnew="L04" data-nold="140"&gt;&lt;a href="canciones/juan_antonio_espinosa/hoy_señor_te_damos_gracias.html"&gt;Hoy, Señor, te damos gracias&lt;/a&gt;&lt;/li&gt;</v>
      </c>
      <c r="W894" s="15" t="str">
        <f>_xlfn.TEXTBEFORE(_xlfn.TEXTAFTER(CantoralDB[[#This Row],[index.html]],"&gt;"),"&gt;")&amp;"&gt;"</f>
        <v>&lt;a href="canciones/juan_antonio_espinosa/hoy_señor_te_damos_gracias.html"&gt;</v>
      </c>
    </row>
    <row r="895" spans="1:23" x14ac:dyDescent="0.3">
      <c r="A895" s="1">
        <f>ROW(CantoralDB[[#This Row],[Título]])-1</f>
        <v>894</v>
      </c>
      <c r="B895" s="1" t="s">
        <v>88</v>
      </c>
      <c r="C895" s="1" t="s">
        <v>200</v>
      </c>
      <c r="D895" s="1" t="s">
        <v>1440</v>
      </c>
      <c r="E895" s="1">
        <v>163</v>
      </c>
      <c r="G895" s="1" t="s">
        <v>209</v>
      </c>
      <c r="H895" s="1" t="s">
        <v>531</v>
      </c>
      <c r="I895" s="1" t="s">
        <v>2961</v>
      </c>
      <c r="J895" s="1" t="s">
        <v>608</v>
      </c>
      <c r="M895" s="15" t="s">
        <v>491</v>
      </c>
      <c r="N895" s="15"/>
      <c r="O895" s="15"/>
      <c r="P895" s="15" t="str" cm="1">
        <f t="array" ref="P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895" s="15" t="str" cm="1">
        <f t="array" ref="Q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canciones/juan_antonio_espinosa/madre_de_todos_los_hombres.html</v>
      </c>
      <c r="S895" s="1"/>
      <c r="T895" s="1"/>
      <c r="U895" s="1"/>
      <c r="V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data-nnew="M09" data-nold="163"&gt;&lt;a href="canciones/juan_antonio_espinosa/madre_de_todos_los_hombres.html"&gt;Madre de todos los hombres&lt;/a&gt;&lt;/li&gt;</v>
      </c>
      <c r="W895" s="15" t="str">
        <f>_xlfn.TEXTBEFORE(_xlfn.TEXTAFTER(CantoralDB[[#This Row],[index.html]],"&gt;"),"&gt;")&amp;"&gt;"</f>
        <v>&lt;a href="canciones/juan_antonio_espinosa/madre_de_todos_los_hombres.html"&gt;</v>
      </c>
    </row>
    <row r="896" spans="1:23" x14ac:dyDescent="0.3">
      <c r="A896" s="1">
        <f>ROW(CantoralDB[[#This Row],[Título]])-1</f>
        <v>895</v>
      </c>
      <c r="B896" s="1" t="s">
        <v>128</v>
      </c>
      <c r="C896" s="1" t="s">
        <v>200</v>
      </c>
      <c r="D896" s="1" t="s">
        <v>1055</v>
      </c>
      <c r="E896" s="1">
        <v>164</v>
      </c>
      <c r="G896" s="1" t="s">
        <v>209</v>
      </c>
      <c r="H896" s="1" t="s">
        <v>531</v>
      </c>
      <c r="J896" s="1" t="s">
        <v>608</v>
      </c>
      <c r="M896" s="15" t="s">
        <v>491</v>
      </c>
      <c r="N896" s="15"/>
      <c r="O896" s="15"/>
      <c r="P896" s="15" t="str" cm="1">
        <f t="array" ref="P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896" s="15" t="str" cm="1">
        <f t="array" ref="Q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canciones/juan_antonio_espinosa/santa_maria_del_camino.html</v>
      </c>
      <c r="S896" s="1"/>
      <c r="T896" s="1"/>
      <c r="U896" s="1"/>
      <c r="V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data-nnew="M21" data-nold="164"&gt;&lt;a href="canciones/juan_antonio_espinosa/santa_maria_del_camino.html"&gt;Santa María del Camino&lt;/a&gt;&lt;/li&gt;</v>
      </c>
      <c r="W896" s="15" t="str">
        <f>_xlfn.TEXTBEFORE(_xlfn.TEXTAFTER(CantoralDB[[#This Row],[index.html]],"&gt;"),"&gt;")&amp;"&gt;"</f>
        <v>&lt;a href="canciones/juan_antonio_espinosa/santa_maria_del_camino.html"&gt;</v>
      </c>
    </row>
    <row r="897" spans="1:23" x14ac:dyDescent="0.3">
      <c r="A897" s="1">
        <f>ROW(CantoralDB[[#This Row],[Título]])-1</f>
        <v>896</v>
      </c>
      <c r="B897" s="1" t="s">
        <v>1284</v>
      </c>
      <c r="C897" s="1"/>
      <c r="E897" s="1">
        <v>174</v>
      </c>
      <c r="H897" s="1" t="s">
        <v>1027</v>
      </c>
      <c r="J897" s="1" t="s">
        <v>608</v>
      </c>
      <c r="M897" s="15" t="s">
        <v>491</v>
      </c>
      <c r="N897" s="15"/>
      <c r="O897" s="15"/>
      <c r="P897" s="15" t="str" cm="1">
        <f t="array" ref="P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897" s="15" t="str" cm="1">
        <f t="array" ref="Q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canciones/juan_antonio_espinosa/nacidos_de_la_luz.html</v>
      </c>
      <c r="S897" s="1"/>
      <c r="T897" s="1"/>
      <c r="U897" s="1"/>
      <c r="V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data-nold="174"&gt;&lt;a href="canciones/juan_antonio_espinosa/nacidos_de_la_luz.html"&gt;Nacidos de la luz&lt;/a&gt;&lt;/li&gt;</v>
      </c>
      <c r="W897" s="15" t="str">
        <f>_xlfn.TEXTBEFORE(_xlfn.TEXTAFTER(CantoralDB[[#This Row],[index.html]],"&gt;"),"&gt;")&amp;"&gt;"</f>
        <v>&lt;a href="canciones/juan_antonio_espinosa/nacidos_de_la_luz.html"&gt;</v>
      </c>
    </row>
    <row r="898" spans="1:23" x14ac:dyDescent="0.3">
      <c r="A898" s="1">
        <f>ROW(CantoralDB[[#This Row],[Título]])-1</f>
        <v>897</v>
      </c>
      <c r="B898" s="1" t="s">
        <v>1288</v>
      </c>
      <c r="C898" s="1"/>
      <c r="E898" s="1">
        <v>178</v>
      </c>
      <c r="H898" s="1" t="s">
        <v>1028</v>
      </c>
      <c r="J898" s="1" t="s">
        <v>608</v>
      </c>
      <c r="M898" s="15" t="s">
        <v>491</v>
      </c>
      <c r="N898" s="15"/>
      <c r="O898" s="15"/>
      <c r="P898" s="15" t="str" cm="1">
        <f t="array" ref="P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898" s="15" t="str" cm="1">
        <f t="array" ref="Q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canciones/juan_antonio_espinosa/no_yo_no_dejo_la_tierra.html</v>
      </c>
      <c r="S898" s="1"/>
      <c r="T898" s="1"/>
      <c r="U898" s="1"/>
      <c r="V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data-nold="178"&gt;&lt;a href="canciones/juan_antonio_espinosa/no_yo_no_dejo_la_tierra.html"&gt;No, yo no dejo la tierra&lt;/a&gt;&lt;/li&gt;</v>
      </c>
      <c r="W898" s="15" t="str">
        <f>_xlfn.TEXTBEFORE(_xlfn.TEXTAFTER(CantoralDB[[#This Row],[index.html]],"&gt;"),"&gt;")&amp;"&gt;"</f>
        <v>&lt;a href="canciones/juan_antonio_espinosa/no_yo_no_dejo_la_tierra.html"&gt;</v>
      </c>
    </row>
    <row r="899" spans="1:23" x14ac:dyDescent="0.3">
      <c r="A899" s="1">
        <f>ROW(CantoralDB[[#This Row],[Título]])-1</f>
        <v>898</v>
      </c>
      <c r="B899" s="1" t="s">
        <v>114</v>
      </c>
      <c r="C899" s="1" t="s">
        <v>199</v>
      </c>
      <c r="D899" s="1" t="s">
        <v>1455</v>
      </c>
      <c r="E899" s="1">
        <v>203</v>
      </c>
      <c r="G899" s="1" t="s">
        <v>209</v>
      </c>
      <c r="H899" s="1" t="s">
        <v>473</v>
      </c>
      <c r="J899" s="1" t="s">
        <v>608</v>
      </c>
      <c r="M899" s="15" t="s">
        <v>491</v>
      </c>
      <c r="N899" s="15"/>
      <c r="O899" s="15"/>
      <c r="P899" s="15" t="str" cm="1">
        <f t="array" ref="P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899" s="15" t="str" cm="1">
        <f t="array" ref="Q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8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canciones/juan_antonio_espinosa/por_ti_mi_dios.html</v>
      </c>
      <c r="S899" s="1" t="s">
        <v>854</v>
      </c>
      <c r="T899" s="1"/>
      <c r="U899" s="1"/>
      <c r="V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data-momento="Despedida" data-nnew="L06" data-nold="203"&gt;&lt;a href="canciones/juan_antonio_espinosa/por_ti_mi_dios.html"&gt;Por ti, mi Dios&lt;/a&gt;&lt;/li&gt;</v>
      </c>
      <c r="W899" s="15" t="str">
        <f>_xlfn.TEXTBEFORE(_xlfn.TEXTAFTER(CantoralDB[[#This Row],[index.html]],"&gt;"),"&gt;")&amp;"&gt;"</f>
        <v>&lt;a href="canciones/juan_antonio_espinosa/por_ti_mi_dios.html"&gt;</v>
      </c>
    </row>
    <row r="900" spans="1:23" x14ac:dyDescent="0.3">
      <c r="A900" s="1">
        <f>ROW(CantoralDB[[#This Row],[Título]])-1</f>
        <v>899</v>
      </c>
      <c r="B900" s="1" t="s">
        <v>1304</v>
      </c>
      <c r="C900" s="1"/>
      <c r="E900" s="1">
        <v>212</v>
      </c>
      <c r="H900" s="1" t="s">
        <v>1030</v>
      </c>
      <c r="J900" s="1" t="s">
        <v>608</v>
      </c>
      <c r="M900" s="15" t="s">
        <v>491</v>
      </c>
      <c r="N900" s="15"/>
      <c r="O900" s="15"/>
      <c r="P900" s="15" t="str" cm="1">
        <f t="array" ref="P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900" s="15" t="str" cm="1">
        <f t="array" ref="Q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canciones/juan_antonio_espinosa/perdon_señor_perdon.html</v>
      </c>
      <c r="S900" s="1"/>
      <c r="T900" s="1"/>
      <c r="U900" s="14" t="s">
        <v>2986</v>
      </c>
      <c r="V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data-nold="212"&gt;&lt;a href="canciones/juan_antonio_espinosa/perdon_señor_perdon.html"&gt;Perdón, Señor, perdón&lt;/a&gt;&lt;/li&gt;</v>
      </c>
      <c r="W900" s="15" t="str">
        <f>_xlfn.TEXTBEFORE(_xlfn.TEXTAFTER(CantoralDB[[#This Row],[index.html]],"&gt;"),"&gt;")&amp;"&gt;"</f>
        <v>&lt;a href="canciones/juan_antonio_espinosa/perdon_señor_perdon.html"&gt;</v>
      </c>
    </row>
    <row r="901" spans="1:23" x14ac:dyDescent="0.3">
      <c r="A901" s="1">
        <f>ROW(CantoralDB[[#This Row],[Título]])-1</f>
        <v>900</v>
      </c>
      <c r="B901" s="1" t="s">
        <v>122</v>
      </c>
      <c r="C901" s="1" t="s">
        <v>191</v>
      </c>
      <c r="D901" s="1" t="s">
        <v>749</v>
      </c>
      <c r="E901" s="1">
        <v>220</v>
      </c>
      <c r="G901" s="1" t="s">
        <v>209</v>
      </c>
      <c r="H901" s="1" t="s">
        <v>1030</v>
      </c>
      <c r="J901" s="1" t="s">
        <v>608</v>
      </c>
      <c r="M901" s="15" t="s">
        <v>491</v>
      </c>
      <c r="N901" s="15"/>
      <c r="O901" s="15"/>
      <c r="P901" s="15" t="str" cm="1">
        <f t="array" ref="P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901" s="15" t="str" cm="1">
        <f t="array" ref="Q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canciones/juan_antonio_espinosa/que_ves_en_la_noche.html</v>
      </c>
      <c r="S901" s="1" t="s">
        <v>858</v>
      </c>
      <c r="T901" s="1"/>
      <c r="U901" s="1"/>
      <c r="V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data-nnew="A29" data-nold="220"&gt;&lt;a href="canciones/juan_antonio_espinosa/que_ves_en_la_noche.html"&gt;Qué ves en la noche&lt;/a&gt;&lt;/li&gt;</v>
      </c>
      <c r="W901" s="15" t="str">
        <f>_xlfn.TEXTBEFORE(_xlfn.TEXTAFTER(CantoralDB[[#This Row],[index.html]],"&gt;"),"&gt;")&amp;"&gt;"</f>
        <v>&lt;a href="canciones/juan_antonio_espinosa/que_ves_en_la_noche.html"&gt;</v>
      </c>
    </row>
    <row r="902" spans="1:23" x14ac:dyDescent="0.3">
      <c r="A902" s="1">
        <f>ROW(CantoralDB[[#This Row],[Título]])-1</f>
        <v>901</v>
      </c>
      <c r="B902" s="1" t="s">
        <v>123</v>
      </c>
      <c r="C902" s="1" t="s">
        <v>993</v>
      </c>
      <c r="D902" s="1" t="s">
        <v>998</v>
      </c>
      <c r="E902" s="1">
        <v>222</v>
      </c>
      <c r="G902" s="1" t="s">
        <v>209</v>
      </c>
      <c r="H902" s="1" t="s">
        <v>1030</v>
      </c>
      <c r="J902" s="1" t="s">
        <v>608</v>
      </c>
      <c r="M902" s="15" t="s">
        <v>491</v>
      </c>
      <c r="N902" s="15"/>
      <c r="O902" s="15"/>
      <c r="P902" s="15" t="str" cm="1">
        <f t="array" ref="P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902" s="15" t="str" cm="1">
        <f t="array" ref="Q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canciones/juan_antonio_espinosa/quedate_con_nosotros.html</v>
      </c>
      <c r="S902" s="1" t="s">
        <v>805</v>
      </c>
      <c r="T902" s="1"/>
      <c r="U902" s="1"/>
      <c r="V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data-nnew="K61" data-nold="222"&gt;&lt;a href="canciones/juan_antonio_espinosa/quedate_con_nosotros.html"&gt;Quédate con nosotros&lt;/a&gt;&lt;/li&gt;</v>
      </c>
      <c r="W902" s="15" t="str">
        <f>_xlfn.TEXTBEFORE(_xlfn.TEXTAFTER(CantoralDB[[#This Row],[index.html]],"&gt;"),"&gt;")&amp;"&gt;"</f>
        <v>&lt;a href="canciones/juan_antonio_espinosa/quedate_con_nosotros.html"&gt;</v>
      </c>
    </row>
    <row r="903" spans="1:23" x14ac:dyDescent="0.3">
      <c r="A903" s="1">
        <f>ROW(CantoralDB[[#This Row],[Título]])-1</f>
        <v>902</v>
      </c>
      <c r="B903" s="1" t="s">
        <v>1322</v>
      </c>
      <c r="C903" s="1"/>
      <c r="E903" s="1">
        <v>243</v>
      </c>
      <c r="H903" s="1" t="s">
        <v>1030</v>
      </c>
      <c r="J903" s="1" t="s">
        <v>608</v>
      </c>
      <c r="M903" s="15" t="s">
        <v>491</v>
      </c>
      <c r="N903" s="15"/>
      <c r="O903" s="15"/>
      <c r="P903" s="15" t="str" cm="1">
        <f t="array" ref="P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903" s="15" t="str" cm="1">
        <f t="array" ref="Q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canciones/juan_antonio_espinosa/señor_tu_que_brillas.html</v>
      </c>
      <c r="S903" s="1"/>
      <c r="T903" s="1"/>
      <c r="U903" s="14" t="s">
        <v>2987</v>
      </c>
      <c r="V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data-nold="243"&gt;&lt;a href="canciones/juan_antonio_espinosa/señor_tu_que_brillas.html"&gt;Señor, tú que brillas&lt;/a&gt;&lt;/li&gt;</v>
      </c>
      <c r="W903" s="15" t="str">
        <f>_xlfn.TEXTBEFORE(_xlfn.TEXTAFTER(CantoralDB[[#This Row],[index.html]],"&gt;"),"&gt;")&amp;"&gt;"</f>
        <v>&lt;a href="canciones/juan_antonio_espinosa/señor_tu_que_brillas.html"&gt;</v>
      </c>
    </row>
    <row r="904" spans="1:23" x14ac:dyDescent="0.3">
      <c r="A904" s="1">
        <f>ROW(CantoralDB[[#This Row],[Título]])-1</f>
        <v>903</v>
      </c>
      <c r="B904" s="1" t="s">
        <v>148</v>
      </c>
      <c r="C904" s="1" t="s">
        <v>201</v>
      </c>
      <c r="D904" s="1" t="s">
        <v>675</v>
      </c>
      <c r="E904" s="1">
        <v>254</v>
      </c>
      <c r="G904" s="1" t="s">
        <v>209</v>
      </c>
      <c r="H904" s="1" t="s">
        <v>531</v>
      </c>
      <c r="I904" s="1" t="s">
        <v>2962</v>
      </c>
      <c r="J904" s="1" t="s">
        <v>608</v>
      </c>
      <c r="M904" s="15" t="s">
        <v>491</v>
      </c>
      <c r="N904" s="15"/>
      <c r="O904" s="15"/>
      <c r="P904" s="15" t="str" cm="1">
        <f t="array" ref="P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904" s="15" t="str" cm="1">
        <f t="array" ref="Q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canciones/juan_antonio_espinosa/tu_palabra_me_da_vida.html</v>
      </c>
      <c r="S904" s="1"/>
      <c r="T904" s="1"/>
      <c r="U904" s="1"/>
      <c r="V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data-momento="Antífonas" data-nnew="D37" data-nold="254"&gt;&lt;a href="canciones/juan_antonio_espinosa/tu_palabra_me_da_vida.html"&gt;Tu Palabra me da vida&lt;/a&gt;&lt;/li&gt;</v>
      </c>
      <c r="W904" s="15" t="str">
        <f>_xlfn.TEXTBEFORE(_xlfn.TEXTAFTER(CantoralDB[[#This Row],[index.html]],"&gt;"),"&gt;")&amp;"&gt;"</f>
        <v>&lt;a href="canciones/juan_antonio_espinosa/tu_palabra_me_da_vida.html"&gt;</v>
      </c>
    </row>
    <row r="905" spans="1:23" x14ac:dyDescent="0.3">
      <c r="A905" s="1">
        <f>ROW(CantoralDB[[#This Row],[Título]])-1</f>
        <v>904</v>
      </c>
      <c r="B905" s="1" t="s">
        <v>140</v>
      </c>
      <c r="C905" s="1"/>
      <c r="E905" s="1">
        <v>258</v>
      </c>
      <c r="G905" s="1" t="s">
        <v>209</v>
      </c>
      <c r="H905" s="1" t="s">
        <v>531</v>
      </c>
      <c r="J905" s="1" t="s">
        <v>608</v>
      </c>
      <c r="M905" s="15" t="s">
        <v>491</v>
      </c>
      <c r="N905" s="15"/>
      <c r="O905" s="15"/>
      <c r="P905" s="15" t="str" cm="1">
        <f t="array" ref="P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905" s="15" t="str" cm="1">
        <f t="array" ref="Q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canciones/juan_antonio_espinosa/te_damos_gracias_señor.html</v>
      </c>
      <c r="S905" s="1"/>
      <c r="T905" s="1"/>
      <c r="U905" s="14" t="s">
        <v>2988</v>
      </c>
      <c r="V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data-nold="258"&gt;&lt;a href="canciones/juan_antonio_espinosa/te_damos_gracias_señor.html"&gt;Te damos gracias, Señor&lt;/a&gt;&lt;/li&gt;</v>
      </c>
      <c r="W905" s="15" t="str">
        <f>_xlfn.TEXTBEFORE(_xlfn.TEXTAFTER(CantoralDB[[#This Row],[index.html]],"&gt;"),"&gt;")&amp;"&gt;"</f>
        <v>&lt;a href="canciones/juan_antonio_espinosa/te_damos_gracias_señor.html"&gt;</v>
      </c>
    </row>
    <row r="906" spans="1:23" x14ac:dyDescent="0.3">
      <c r="A906" s="1">
        <f>ROW(CantoralDB[[#This Row],[Título]])-1</f>
        <v>905</v>
      </c>
      <c r="B906" s="1" t="s">
        <v>147</v>
      </c>
      <c r="C906" s="1" t="s">
        <v>993</v>
      </c>
      <c r="D906" s="1" t="s">
        <v>1014</v>
      </c>
      <c r="E906" s="1">
        <v>262</v>
      </c>
      <c r="G906" s="1" t="s">
        <v>209</v>
      </c>
      <c r="H906" s="1" t="s">
        <v>1027</v>
      </c>
      <c r="J906" s="1" t="s">
        <v>608</v>
      </c>
      <c r="M906" s="15" t="s">
        <v>491</v>
      </c>
      <c r="N906" s="15"/>
      <c r="O906" s="15"/>
      <c r="P906" s="15" t="str" cm="1">
        <f t="array" ref="P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906" s="15" t="str" cm="1">
        <f t="array" ref="Q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canciones/juan_antonio_espinosa/tu_eres_el_dios_que_nos_salva.html</v>
      </c>
      <c r="S906" s="1"/>
      <c r="T906" s="1"/>
      <c r="U906" s="1"/>
      <c r="V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data-nnew="K77" data-nold="262"&gt;&lt;a href="canciones/juan_antonio_espinosa/tu_eres_el_dios_que_nos_salva.html"&gt;Tú eres el Dios que nos salva&lt;/a&gt;&lt;/li&gt;</v>
      </c>
      <c r="W906" s="15" t="str">
        <f>_xlfn.TEXTBEFORE(_xlfn.TEXTAFTER(CantoralDB[[#This Row],[index.html]],"&gt;"),"&gt;")&amp;"&gt;"</f>
        <v>&lt;a href="canciones/juan_antonio_espinosa/tu_eres_el_dios_que_nos_salva.html"&gt;</v>
      </c>
    </row>
    <row r="907" spans="1:23" x14ac:dyDescent="0.3">
      <c r="A907" s="1">
        <f>ROW(CantoralDB[[#This Row],[Título]])-1</f>
        <v>906</v>
      </c>
      <c r="B907" s="1" t="s">
        <v>1338</v>
      </c>
      <c r="C907" s="1"/>
      <c r="E907" s="1">
        <v>269</v>
      </c>
      <c r="H907" s="1" t="s">
        <v>473</v>
      </c>
      <c r="J907" s="1" t="s">
        <v>608</v>
      </c>
      <c r="M907" s="15" t="s">
        <v>491</v>
      </c>
      <c r="N907" s="15"/>
      <c r="O907" s="15"/>
      <c r="P907" s="15" t="str" cm="1">
        <f t="array" ref="P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907" s="15" t="str" cm="1">
        <f t="array" ref="Q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canciones/juan_antonio_espinosa/una_ciudad_para_todos.html</v>
      </c>
      <c r="S907" s="1"/>
      <c r="T907" s="1"/>
      <c r="U907" s="14" t="s">
        <v>2989</v>
      </c>
      <c r="V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data-nold="269"&gt;&lt;a href="canciones/juan_antonio_espinosa/una_ciudad_para_todos.html"&gt;Una ciudad para todos&lt;/a&gt;&lt;/li&gt;</v>
      </c>
      <c r="W907" s="15" t="str">
        <f>_xlfn.TEXTBEFORE(_xlfn.TEXTAFTER(CantoralDB[[#This Row],[index.html]],"&gt;"),"&gt;")&amp;"&gt;"</f>
        <v>&lt;a href="canciones/juan_antonio_espinosa/una_ciudad_para_todos.html"&gt;</v>
      </c>
    </row>
    <row r="908" spans="1:23" x14ac:dyDescent="0.3">
      <c r="A908" s="1">
        <f>ROW(CantoralDB[[#This Row],[Título]])-1</f>
        <v>907</v>
      </c>
      <c r="B908" s="1" t="s">
        <v>477</v>
      </c>
      <c r="C908" s="1" t="s">
        <v>191</v>
      </c>
      <c r="D908" s="1" t="s">
        <v>753</v>
      </c>
      <c r="E908" s="1">
        <v>272</v>
      </c>
      <c r="G908" s="1" t="s">
        <v>216</v>
      </c>
      <c r="H908" s="1" t="s">
        <v>1030</v>
      </c>
      <c r="J908" s="1" t="s">
        <v>608</v>
      </c>
      <c r="M908" s="15" t="s">
        <v>491</v>
      </c>
      <c r="N908" s="15"/>
      <c r="O908" s="15"/>
      <c r="P908" s="15" t="str" cm="1">
        <f t="array" ref="P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908" s="15" t="str" cm="1">
        <f t="array" ref="Q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canciones/juan_antonio_espinosa/un_pueblo_que_camina_por_el_mundo.html</v>
      </c>
      <c r="S908" s="1"/>
      <c r="T908" s="1"/>
      <c r="U908" s="1"/>
      <c r="V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data-nnew="A33" data-nold="272"&gt;&lt;a href="canciones/juan_antonio_espinosa/un_pueblo_que_camina_por_el_mundo.html"&gt;Un pueblo que camina por el mundo&lt;/a&gt;&lt;/li&gt;</v>
      </c>
      <c r="W908" s="15" t="str">
        <f>_xlfn.TEXTBEFORE(_xlfn.TEXTAFTER(CantoralDB[[#This Row],[index.html]],"&gt;"),"&gt;")&amp;"&gt;"</f>
        <v>&lt;a href="canciones/juan_antonio_espinosa/un_pueblo_que_camina_por_el_mundo.html"&gt;</v>
      </c>
    </row>
    <row r="909" spans="1:23" x14ac:dyDescent="0.3">
      <c r="A909" s="1">
        <f>ROW(CantoralDB[[#This Row],[Título]])-1</f>
        <v>908</v>
      </c>
      <c r="B909" s="1" t="s">
        <v>157</v>
      </c>
      <c r="C909" s="1" t="s">
        <v>191</v>
      </c>
      <c r="D909" s="1" t="s">
        <v>757</v>
      </c>
      <c r="E909" s="1">
        <v>277</v>
      </c>
      <c r="G909" s="1" t="s">
        <v>209</v>
      </c>
      <c r="H909" s="1" t="s">
        <v>1027</v>
      </c>
      <c r="J909" s="1" t="s">
        <v>608</v>
      </c>
      <c r="M909" s="15" t="s">
        <v>491</v>
      </c>
      <c r="N909" s="15"/>
      <c r="O909" s="15"/>
      <c r="P909" s="15" t="str" cm="1">
        <f t="array" ref="P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909" s="15" t="str" cm="1">
        <f t="array" ref="Q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canciones/juan_antonio_espinosa/vamos_cantando_al_señor.html</v>
      </c>
      <c r="S909" s="1"/>
      <c r="T909" s="1"/>
      <c r="U909" s="1"/>
      <c r="V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data-momento="Entrada" data-nnew="A37" data-nold="277"&gt;&lt;a href="canciones/juan_antonio_espinosa/vamos_cantando_al_señor.html"&gt;Vamos cantando al Señor&lt;/a&gt;&lt;/li&gt;</v>
      </c>
      <c r="W909" s="15" t="str">
        <f>_xlfn.TEXTBEFORE(_xlfn.TEXTAFTER(CantoralDB[[#This Row],[index.html]],"&gt;"),"&gt;")&amp;"&gt;"</f>
        <v>&lt;a href="canciones/juan_antonio_espinosa/vamos_cantando_al_señor.html"&gt;</v>
      </c>
    </row>
    <row r="910" spans="1:23" x14ac:dyDescent="0.3">
      <c r="A910" s="1">
        <f>ROW(CantoralDB[[#This Row],[Título]])-1</f>
        <v>909</v>
      </c>
      <c r="B910" s="1" t="s">
        <v>212</v>
      </c>
      <c r="C910" s="1" t="s">
        <v>200</v>
      </c>
      <c r="D910" s="1" t="s">
        <v>1057</v>
      </c>
      <c r="E910" s="1">
        <v>297</v>
      </c>
      <c r="G910" s="1" t="s">
        <v>209</v>
      </c>
      <c r="H910" s="1" t="s">
        <v>1027</v>
      </c>
      <c r="J910" s="1" t="s">
        <v>608</v>
      </c>
      <c r="M910" s="15" t="s">
        <v>491</v>
      </c>
      <c r="N910" s="15"/>
      <c r="O910" s="15"/>
      <c r="P910" s="15" t="str" cm="1">
        <f t="array" ref="P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910" s="15" t="str" cm="1">
        <f t="array" ref="Q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canciones/juan_antonio_espinosa/unidos_a_todos_los_pueblos.html</v>
      </c>
      <c r="S910" s="1"/>
      <c r="T910" s="1"/>
      <c r="U910" s="1"/>
      <c r="V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data-momento="María" data-nnew="M23" data-nold="297"&gt;&lt;a href="canciones/juan_antonio_espinosa/unidos_a_todos_los_pueblos.html"&gt;Unidos a todos los pueblos&lt;/a&gt;&lt;/li&gt;</v>
      </c>
      <c r="W910" s="15" t="str">
        <f>_xlfn.TEXTBEFORE(_xlfn.TEXTAFTER(CantoralDB[[#This Row],[index.html]],"&gt;"),"&gt;")&amp;"&gt;"</f>
        <v>&lt;a href="canciones/juan_antonio_espinosa/unidos_a_todos_los_pueblos.html"&gt;</v>
      </c>
    </row>
    <row r="911" spans="1:23" x14ac:dyDescent="0.3">
      <c r="A911" s="1">
        <f>ROW(CantoralDB[[#This Row],[Título]])-1</f>
        <v>910</v>
      </c>
      <c r="B911" s="1" t="s">
        <v>638</v>
      </c>
      <c r="C911" s="1" t="s">
        <v>993</v>
      </c>
      <c r="D911" s="1" t="s">
        <v>723</v>
      </c>
      <c r="G911" s="1" t="s">
        <v>248</v>
      </c>
      <c r="H911" s="1" t="s">
        <v>1029</v>
      </c>
      <c r="J911" s="1" t="s">
        <v>608</v>
      </c>
      <c r="M911" s="15" t="s">
        <v>491</v>
      </c>
      <c r="N911" s="15"/>
      <c r="O911" s="15"/>
      <c r="P911" s="15" t="str" cm="1">
        <f t="array" ref="P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Q911" s="15" t="str" cm="1">
        <f t="array" ref="Q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canciones/juan_antonio_espinosa/no_podemos_caminar_(hambre_de_dios).html</v>
      </c>
      <c r="S911" s="1"/>
      <c r="T911" s="1"/>
      <c r="U911" s="1"/>
      <c r="V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Antonio Espinosa" data-momento="Comunión" data-nnew="K50"&gt;&lt;a href="canciones/juan_antonio_espinosa/no_podemos_caminar_(hambre_de_dios).html"&gt;No podemos caminar (Hambre de Dios)&lt;/a&gt;&lt;/li&gt;</v>
      </c>
      <c r="W911" s="15" t="str">
        <f>_xlfn.TEXTBEFORE(_xlfn.TEXTAFTER(CantoralDB[[#This Row],[index.html]],"&gt;"),"&gt;")&amp;"&gt;"</f>
        <v>&lt;a href="canciones/juan_antonio_espinosa/no_podemos_caminar_(hambre_de_dios).html"&gt;</v>
      </c>
    </row>
    <row r="912" spans="1:23" x14ac:dyDescent="0.3">
      <c r="A912" s="1">
        <f>ROW(CantoralDB[[#This Row],[Título]])-1</f>
        <v>911</v>
      </c>
      <c r="B912" s="1" t="s">
        <v>2390</v>
      </c>
      <c r="C912" s="1"/>
      <c r="F912" s="1">
        <v>4</v>
      </c>
      <c r="J912" s="1" t="s">
        <v>608</v>
      </c>
      <c r="M912" s="15" t="s">
        <v>2391</v>
      </c>
      <c r="N912" s="15"/>
      <c r="O912" s="15"/>
      <c r="P912" s="15" t="str" cm="1">
        <f t="array" ref="P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912" s="15" t="str" cm="1">
        <f t="array" ref="Q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canciones/nuevas/se_fue_pero_a_nuestro_lado_esta.html</v>
      </c>
      <c r="S912" s="1"/>
      <c r="T912" s="1"/>
      <c r="U912" s="1"/>
      <c r="V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Carlos Ayala"&gt;&lt;a href="canciones/nuevas/se_fue_pero_a_nuestro_lado_esta.html"&gt;Se fue pero a nuestro lado está&lt;/a&gt;&lt;/li&gt;</v>
      </c>
      <c r="W912" s="15" t="str">
        <f>_xlfn.TEXTBEFORE(_xlfn.TEXTAFTER(CantoralDB[[#This Row],[index.html]],"&gt;"),"&gt;")&amp;"&gt;"</f>
        <v>&lt;a href="canciones/nuevas/se_fue_pero_a_nuestro_lado_esta.html"&gt;</v>
      </c>
    </row>
    <row r="913" spans="1:23" x14ac:dyDescent="0.3">
      <c r="A913" s="1">
        <f>ROW(CantoralDB[[#This Row],[Título]])-1</f>
        <v>912</v>
      </c>
      <c r="B913" s="1" t="s">
        <v>1272</v>
      </c>
      <c r="C913" s="1"/>
      <c r="E913" s="1">
        <v>153</v>
      </c>
      <c r="H913" s="1" t="s">
        <v>531</v>
      </c>
      <c r="J913" s="1" t="s">
        <v>608</v>
      </c>
      <c r="M913" s="15" t="s">
        <v>2956</v>
      </c>
      <c r="N913" s="15"/>
      <c r="O913" s="15"/>
      <c r="P913" s="15" t="str" cm="1">
        <f t="array" ref="P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13" s="15" t="str" cm="1">
        <f t="array" ref="Q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canciones/nsb/la_palabra_nos_la_dio_el_señor.html</v>
      </c>
      <c r="S913" s="1"/>
      <c r="T913" s="1"/>
      <c r="U913" s="1"/>
      <c r="V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Erasmo Mochi" data-nold="153"&gt;&lt;a href="canciones/nsb/la_palabra_nos_la_dio_el_señor.html"&gt;La palabra nos la dio el Señor&lt;/a&gt;&lt;/li&gt;</v>
      </c>
      <c r="W913" s="15" t="str">
        <f>_xlfn.TEXTBEFORE(_xlfn.TEXTAFTER(CantoralDB[[#This Row],[index.html]],"&gt;"),"&gt;")&amp;"&gt;"</f>
        <v>&lt;a href="canciones/nsb/la_palabra_nos_la_dio_el_señor.html"&gt;</v>
      </c>
    </row>
    <row r="914" spans="1:23" x14ac:dyDescent="0.3">
      <c r="A914" s="1">
        <f>ROW(CantoralDB[[#This Row],[Título]])-1</f>
        <v>913</v>
      </c>
      <c r="B914" s="1" t="s">
        <v>1160</v>
      </c>
      <c r="C914" s="1"/>
      <c r="E914" s="1">
        <v>15</v>
      </c>
      <c r="H914" s="1" t="s">
        <v>1027</v>
      </c>
      <c r="J914" s="1" t="s">
        <v>608</v>
      </c>
      <c r="M914" s="15" t="s">
        <v>2876</v>
      </c>
      <c r="N914" s="15"/>
      <c r="O914" s="15"/>
      <c r="P914" s="15" t="str" cm="1">
        <f t="array" ref="P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14" s="15" t="str" cm="1">
        <f t="array" ref="Q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canciones/nsb/alabad_al_señor_en_su_templo.html</v>
      </c>
      <c r="S914" s="1"/>
      <c r="T914" s="1"/>
      <c r="U914" s="1"/>
      <c r="V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data-nold="15"&gt;&lt;a href="canciones/nsb/alabad_al_señor_en_su_templo.html"&gt;Alabad al Señor en su templo&lt;/a&gt;&lt;/li&gt;</v>
      </c>
      <c r="W914" s="15" t="str">
        <f>_xlfn.TEXTBEFORE(_xlfn.TEXTAFTER(CantoralDB[[#This Row],[index.html]],"&gt;"),"&gt;")&amp;"&gt;"</f>
        <v>&lt;a href="canciones/nsb/alabad_al_señor_en_su_templo.html"&gt;</v>
      </c>
    </row>
    <row r="915" spans="1:23" x14ac:dyDescent="0.3">
      <c r="A915" s="1">
        <f>ROW(CantoralDB[[#This Row],[Título]])-1</f>
        <v>914</v>
      </c>
      <c r="B915" s="1" t="s">
        <v>1253</v>
      </c>
      <c r="C915" s="1"/>
      <c r="E915" s="1">
        <v>119</v>
      </c>
      <c r="J915" s="1"/>
      <c r="M915" s="15" t="s">
        <v>2876</v>
      </c>
      <c r="N915" s="15"/>
      <c r="O915" s="15"/>
      <c r="P915" s="15" t="str" cm="1">
        <f t="array" ref="P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15" s="15" t="str" cm="1">
        <f t="array" ref="Q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canciones/nsb/este_es_el_dia_en_que_actuo.html</v>
      </c>
      <c r="S915" s="1"/>
      <c r="T915" s="1"/>
      <c r="U915" s="1"/>
      <c r="V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data-nold="119"&gt;&lt;a href="canciones/nsb/este_es_el_dia_en_que_actuo.html"&gt;Este es el día en que actuó&lt;/a&gt;&lt;/li&gt;</v>
      </c>
      <c r="W915" s="15" t="str">
        <f>_xlfn.TEXTBEFORE(_xlfn.TEXTAFTER(CantoralDB[[#This Row],[index.html]],"&gt;"),"&gt;")&amp;"&gt;"</f>
        <v>&lt;a href="canciones/nsb/este_es_el_dia_en_que_actuo.html"&gt;</v>
      </c>
    </row>
    <row r="916" spans="1:23" x14ac:dyDescent="0.3">
      <c r="A916" s="1">
        <f>ROW(CantoralDB[[#This Row],[Título]])-1</f>
        <v>915</v>
      </c>
      <c r="B916" s="1" t="s">
        <v>601</v>
      </c>
      <c r="C916" s="1"/>
      <c r="E916" s="1">
        <v>148</v>
      </c>
      <c r="J916" s="1" t="s">
        <v>608</v>
      </c>
      <c r="L916" s="1" t="s">
        <v>2969</v>
      </c>
      <c r="M916" s="15" t="s">
        <v>2876</v>
      </c>
      <c r="N916" s="15"/>
      <c r="O916" s="15"/>
      <c r="P916" s="15" t="str" cm="1">
        <f t="array" ref="P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16" s="15" t="str" cm="1">
        <f t="array" ref="Q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canciones/nsb/lampara_es_tu_palabra.html</v>
      </c>
      <c r="S916" s="1"/>
      <c r="T916" s="1"/>
      <c r="U916" s="14" t="s">
        <v>2995</v>
      </c>
      <c r="V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data-nold="148"&gt;&lt;a href="canciones/nsb/lampara_es_tu_palabra.html"&gt;Lámpara es tu palabra&lt;/a&gt;&lt;/li&gt;</v>
      </c>
      <c r="W916" s="15" t="str">
        <f>_xlfn.TEXTBEFORE(_xlfn.TEXTAFTER(CantoralDB[[#This Row],[index.html]],"&gt;"),"&gt;")&amp;"&gt;"</f>
        <v>&lt;a href="canciones/nsb/lampara_es_tu_palabra.html"&gt;</v>
      </c>
    </row>
    <row r="917" spans="1:23" x14ac:dyDescent="0.3">
      <c r="A917" s="1">
        <f>ROW(CantoralDB[[#This Row],[Título]])-1</f>
        <v>916</v>
      </c>
      <c r="B917" s="1" t="s">
        <v>1230</v>
      </c>
      <c r="C917" s="1"/>
      <c r="E917" s="1">
        <v>190</v>
      </c>
      <c r="J917" s="1"/>
      <c r="M917" s="15" t="s">
        <v>2876</v>
      </c>
      <c r="N917" s="15"/>
      <c r="O917" s="15"/>
      <c r="P917" s="15" t="str" cm="1">
        <f t="array" ref="P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17" s="15" t="str" cm="1">
        <f t="array" ref="Q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canciones/nsb/oh_dios_tu_eres_mi_dios.html</v>
      </c>
      <c r="S917" s="1"/>
      <c r="T917" s="1"/>
      <c r="U917" s="1"/>
      <c r="V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data-nold="190"&gt;&lt;a href="canciones/nsb/oh_dios_tu_eres_mi_dios.html"&gt;Oh, Dios, tú eres mi Dios&lt;/a&gt;&lt;/li&gt;</v>
      </c>
      <c r="W917" s="15" t="str">
        <f>_xlfn.TEXTBEFORE(_xlfn.TEXTAFTER(CantoralDB[[#This Row],[index.html]],"&gt;"),"&gt;")&amp;"&gt;"</f>
        <v>&lt;a href="canciones/nsb/oh_dios_tu_eres_mi_dios.html"&gt;</v>
      </c>
    </row>
    <row r="918" spans="1:23" x14ac:dyDescent="0.3">
      <c r="A918" s="1">
        <f>ROW(CantoralDB[[#This Row],[Título]])-1</f>
        <v>917</v>
      </c>
      <c r="B918" s="1" t="s">
        <v>513</v>
      </c>
      <c r="C918" s="1" t="s">
        <v>201</v>
      </c>
      <c r="D918" s="1" t="s">
        <v>667</v>
      </c>
      <c r="G918" s="1" t="s">
        <v>209</v>
      </c>
      <c r="H918" s="1" t="s">
        <v>1030</v>
      </c>
      <c r="J918" s="1" t="s">
        <v>608</v>
      </c>
      <c r="M918" s="15" t="s">
        <v>2876</v>
      </c>
      <c r="N918" s="15"/>
      <c r="O918" s="15"/>
      <c r="P918" s="15" t="str" cm="1">
        <f t="array" ref="P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918" s="15" t="str" cm="1">
        <f t="array" ref="Q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canciones/nsb/oh_dios_tu_eres_mi_dios_(sed_de_dios).html</v>
      </c>
      <c r="S918" s="1" t="s">
        <v>849</v>
      </c>
      <c r="T918" s="1"/>
      <c r="U918" s="1"/>
      <c r="V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Jáuregui" data-momento="Antífonas" data-nnew="D29"&gt;&lt;a href="canciones/nsb/oh_dios_tu_eres_mi_dios_(sed_de_dios).html"&gt;Oh, Dios, tú eres mi Dios (Sed de Dios)&lt;/a&gt;&lt;/li&gt;</v>
      </c>
      <c r="W918" s="15" t="str">
        <f>_xlfn.TEXTBEFORE(_xlfn.TEXTAFTER(CantoralDB[[#This Row],[index.html]],"&gt;"),"&gt;")&amp;"&gt;"</f>
        <v>&lt;a href="canciones/nsb/oh_dios_tu_eres_mi_dios_(sed_de_dios).html"&gt;</v>
      </c>
    </row>
    <row r="919" spans="1:23" x14ac:dyDescent="0.3">
      <c r="A919" s="1">
        <f>ROW(CantoralDB[[#This Row],[Título]])-1</f>
        <v>918</v>
      </c>
      <c r="B919" s="1" t="s">
        <v>1506</v>
      </c>
      <c r="C919" s="1"/>
      <c r="F919" s="1">
        <v>87</v>
      </c>
      <c r="J919" s="1"/>
      <c r="M919" s="15" t="s">
        <v>2479</v>
      </c>
      <c r="N919" s="15"/>
      <c r="O919" s="15"/>
      <c r="P919" s="15" t="str" cm="1">
        <f t="array" ref="P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919" s="15" t="str" cm="1">
        <f t="array" ref="Q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S919" s="1"/>
      <c r="T919" s="1"/>
      <c r="U919" s="1"/>
      <c r="V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Manuel Martín"&gt;&lt;a href="canciones/nuevas/alegrate.html"&gt;Alégrate&lt;/a&gt;&lt;/li&gt;</v>
      </c>
      <c r="W919" s="15" t="str">
        <f>_xlfn.TEXTBEFORE(_xlfn.TEXTAFTER(CantoralDB[[#This Row],[index.html]],"&gt;"),"&gt;")&amp;"&gt;"</f>
        <v>&lt;a href="canciones/nuevas/alegrate.html"&gt;</v>
      </c>
    </row>
    <row r="920" spans="1:23" x14ac:dyDescent="0.3">
      <c r="A920" s="1">
        <f>ROW(CantoralDB[[#This Row],[Título]])-1</f>
        <v>919</v>
      </c>
      <c r="B920" s="1" t="s">
        <v>194</v>
      </c>
      <c r="C920" s="1"/>
      <c r="F920" s="1">
        <v>146</v>
      </c>
      <c r="J920" s="1"/>
      <c r="M920" s="15" t="s">
        <v>2542</v>
      </c>
      <c r="N920" s="15"/>
      <c r="O920" s="15"/>
      <c r="P920" s="15" t="str" cm="1">
        <f t="array" ref="P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920" s="15" t="str" cm="1">
        <f t="array" ref="Q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canciones/nuevas/aleluya.html</v>
      </c>
      <c r="S920" s="1"/>
      <c r="T920" s="1"/>
      <c r="U920" s="1"/>
      <c r="V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Pablo Culebras"&gt;&lt;a href="canciones/nuevas/aleluya.html"&gt;Aleluya&lt;/a&gt;&lt;/li&gt;</v>
      </c>
      <c r="W920" s="15" t="str">
        <f>_xlfn.TEXTBEFORE(_xlfn.TEXTAFTER(CantoralDB[[#This Row],[index.html]],"&gt;"),"&gt;")&amp;"&gt;"</f>
        <v>&lt;a href="canciones/nuevas/aleluya.html"&gt;</v>
      </c>
    </row>
    <row r="921" spans="1:23" x14ac:dyDescent="0.3">
      <c r="A921" s="1">
        <f>ROW(CantoralDB[[#This Row],[Título]])-1</f>
        <v>920</v>
      </c>
      <c r="B921" s="1" t="s">
        <v>2403</v>
      </c>
      <c r="C921" s="1"/>
      <c r="F921" s="1">
        <v>16</v>
      </c>
      <c r="J921" s="1"/>
      <c r="M921" s="15" t="s">
        <v>2404</v>
      </c>
      <c r="N921" s="15"/>
      <c r="O921" s="15"/>
      <c r="P921" s="15" t="str" cm="1">
        <f t="array" ref="P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921" s="15" t="str" cm="1">
        <f t="array" ref="Q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canciones/nuevas/yeshua.html</v>
      </c>
      <c r="S921" s="1"/>
      <c r="T921" s="1"/>
      <c r="U921" s="1"/>
      <c r="V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 Salinas"&gt;&lt;a href="canciones/nuevas/yeshua.html"&gt;Yeshua&lt;/a&gt;&lt;/li&gt;</v>
      </c>
      <c r="W921" s="15" t="str">
        <f>_xlfn.TEXTBEFORE(_xlfn.TEXTAFTER(CantoralDB[[#This Row],[index.html]],"&gt;"),"&gt;")&amp;"&gt;"</f>
        <v>&lt;a href="canciones/nuevas/yeshua.html"&gt;</v>
      </c>
    </row>
    <row r="922" spans="1:23" x14ac:dyDescent="0.3">
      <c r="A922" s="1">
        <f>ROW(CantoralDB[[#This Row],[Título]])-1</f>
        <v>921</v>
      </c>
      <c r="B922" s="1" t="s">
        <v>2</v>
      </c>
      <c r="C922" s="1" t="s">
        <v>191</v>
      </c>
      <c r="D922" s="1" t="s">
        <v>1361</v>
      </c>
      <c r="E922" s="1">
        <v>32</v>
      </c>
      <c r="G922" s="1" t="s">
        <v>209</v>
      </c>
      <c r="H922" s="1" t="s">
        <v>531</v>
      </c>
      <c r="J922" s="1" t="s">
        <v>608</v>
      </c>
      <c r="M922" s="15" t="s">
        <v>480</v>
      </c>
      <c r="N922" s="15"/>
      <c r="O922" s="15"/>
      <c r="P922" s="15" t="str" cm="1">
        <f t="array" ref="P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922" s="15" t="str" cm="1">
        <f t="array" ref="Q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canciones/juanjo_elezkano/a_la_fiesta_del_señor.html</v>
      </c>
      <c r="S922" s="1"/>
      <c r="T922" s="1"/>
      <c r="U922" s="1"/>
      <c r="V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data-momento="Entrada" data-nnew="A01" data-nold="32"&gt;&lt;a href="canciones/juanjo_elezkano/a_la_fiesta_del_señor.html"&gt;A la fiesta del Señor&lt;/a&gt;&lt;/li&gt;</v>
      </c>
      <c r="W922" s="15" t="str">
        <f>_xlfn.TEXTBEFORE(_xlfn.TEXTAFTER(CantoralDB[[#This Row],[index.html]],"&gt;"),"&gt;")&amp;"&gt;"</f>
        <v>&lt;a href="canciones/juanjo_elezkano/a_la_fiesta_del_señor.html"&gt;</v>
      </c>
    </row>
    <row r="923" spans="1:23" x14ac:dyDescent="0.3">
      <c r="A923" s="1">
        <f>ROW(CantoralDB[[#This Row],[Título]])-1</f>
        <v>922</v>
      </c>
      <c r="B923" s="1" t="s">
        <v>1259</v>
      </c>
      <c r="C923" s="1"/>
      <c r="E923" s="1">
        <v>130</v>
      </c>
      <c r="J923" s="1"/>
      <c r="M923" s="15" t="s">
        <v>480</v>
      </c>
      <c r="N923" s="15"/>
      <c r="O923" s="15"/>
      <c r="P923" s="15" t="str" cm="1">
        <f t="array" ref="P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923" s="15" t="str" cm="1">
        <f t="array" ref="Q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canciones/juanjo_elezkano/hoy_cantamos_a_dios.html</v>
      </c>
      <c r="S923" s="1"/>
      <c r="T923" s="1"/>
      <c r="U923" s="1"/>
      <c r="V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data-nold="130"&gt;&lt;a href="canciones/juanjo_elezkano/hoy_cantamos_a_dios.html"&gt;Hoy cantamos a Dios&lt;/a&gt;&lt;/li&gt;</v>
      </c>
      <c r="W923" s="15" t="str">
        <f>_xlfn.TEXTBEFORE(_xlfn.TEXTAFTER(CantoralDB[[#This Row],[index.html]],"&gt;"),"&gt;")&amp;"&gt;"</f>
        <v>&lt;a href="canciones/juanjo_elezkano/hoy_cantamos_a_dios.html"&gt;</v>
      </c>
    </row>
    <row r="924" spans="1:23" x14ac:dyDescent="0.3">
      <c r="A924" s="1">
        <f>ROW(CantoralDB[[#This Row],[Título]])-1</f>
        <v>923</v>
      </c>
      <c r="B924" s="1" t="s">
        <v>1267</v>
      </c>
      <c r="C924" s="1"/>
      <c r="E924" s="1">
        <v>147</v>
      </c>
      <c r="J924" s="1"/>
      <c r="M924" s="15" t="s">
        <v>480</v>
      </c>
      <c r="N924" s="15"/>
      <c r="O924" s="15"/>
      <c r="P924" s="15" t="str" cm="1">
        <f t="array" ref="P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924" s="15" t="str" cm="1">
        <f t="array" ref="Q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canciones/juanjo_elezkano/juventud_de_todos_los_paises.html</v>
      </c>
      <c r="S924" s="1"/>
      <c r="T924" s="1"/>
      <c r="U924" s="1"/>
      <c r="V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data-nold="147"&gt;&lt;a href="canciones/juanjo_elezkano/juventud_de_todos_los_paises.html"&gt;Juventud de todos los países&lt;/a&gt;&lt;/li&gt;</v>
      </c>
      <c r="W924" s="15" t="str">
        <f>_xlfn.TEXTBEFORE(_xlfn.TEXTAFTER(CantoralDB[[#This Row],[index.html]],"&gt;"),"&gt;")&amp;"&gt;"</f>
        <v>&lt;a href="canciones/juanjo_elezkano/juventud_de_todos_los_paises.html"&gt;</v>
      </c>
    </row>
    <row r="925" spans="1:23" x14ac:dyDescent="0.3">
      <c r="A925" s="1">
        <f>ROW(CantoralDB[[#This Row],[Título]])-1</f>
        <v>924</v>
      </c>
      <c r="B925" s="1" t="s">
        <v>1269</v>
      </c>
      <c r="C925" s="1"/>
      <c r="E925" s="1">
        <v>149</v>
      </c>
      <c r="J925" s="1"/>
      <c r="M925" s="15" t="s">
        <v>480</v>
      </c>
      <c r="N925" s="15"/>
      <c r="O925" s="15"/>
      <c r="P925" s="15" t="str" cm="1">
        <f t="array" ref="P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925" s="15" t="str" cm="1">
        <f t="array" ref="Q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canciones/juanjo_elezkano/los_pobres_de_la_tierra.html</v>
      </c>
      <c r="S925" s="1"/>
      <c r="T925" s="1"/>
      <c r="U925" s="1"/>
      <c r="V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data-nold="149"&gt;&lt;a href="canciones/juanjo_elezkano/los_pobres_de_la_tierra.html"&gt;Los pobres de la tierra&lt;/a&gt;&lt;/li&gt;</v>
      </c>
      <c r="W925" s="15" t="str">
        <f>_xlfn.TEXTBEFORE(_xlfn.TEXTAFTER(CantoralDB[[#This Row],[index.html]],"&gt;"),"&gt;")&amp;"&gt;"</f>
        <v>&lt;a href="canciones/juanjo_elezkano/los_pobres_de_la_tierra.html"&gt;</v>
      </c>
    </row>
    <row r="926" spans="1:23" x14ac:dyDescent="0.3">
      <c r="A926" s="1">
        <f>ROW(CantoralDB[[#This Row],[Título]])-1</f>
        <v>925</v>
      </c>
      <c r="B926" s="1" t="s">
        <v>1285</v>
      </c>
      <c r="C926" s="1" t="s">
        <v>993</v>
      </c>
      <c r="D926" s="1" t="s">
        <v>720</v>
      </c>
      <c r="E926" s="1">
        <v>175</v>
      </c>
      <c r="G926" s="1" t="s">
        <v>248</v>
      </c>
      <c r="H926" s="1" t="s">
        <v>1029</v>
      </c>
      <c r="J926" s="1" t="s">
        <v>608</v>
      </c>
      <c r="M926" s="15" t="s">
        <v>480</v>
      </c>
      <c r="N926" s="15"/>
      <c r="O926" s="15"/>
      <c r="P926" s="15" t="str" cm="1">
        <f t="array" ref="P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926" s="15" t="str" cm="1">
        <f t="array" ref="Q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canciones/juanjo_elezkano/necesitamos_comer_tu_pan.html</v>
      </c>
      <c r="S926" s="1"/>
      <c r="T926" s="1"/>
      <c r="U926" s="14" t="s">
        <v>2990</v>
      </c>
      <c r="V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data-momento="Comunión" data-nnew="K47" data-nold="175"&gt;&lt;a href="canciones/juanjo_elezkano/necesitamos_comer_tu_pan.html"&gt;Necesitamos comer tu Pan&lt;/a&gt;&lt;/li&gt;</v>
      </c>
      <c r="W926" s="15" t="str">
        <f>_xlfn.TEXTBEFORE(_xlfn.TEXTAFTER(CantoralDB[[#This Row],[index.html]],"&gt;"),"&gt;")&amp;"&gt;"</f>
        <v>&lt;a href="canciones/juanjo_elezkano/necesitamos_comer_tu_pan.html"&gt;</v>
      </c>
    </row>
    <row r="927" spans="1:23" x14ac:dyDescent="0.3">
      <c r="A927" s="1">
        <f>ROW(CantoralDB[[#This Row],[Título]])-1</f>
        <v>926</v>
      </c>
      <c r="B927" s="1" t="s">
        <v>1306</v>
      </c>
      <c r="C927" s="1"/>
      <c r="E927" s="1">
        <v>215</v>
      </c>
      <c r="J927" s="1"/>
      <c r="M927" s="15" t="s">
        <v>480</v>
      </c>
      <c r="N927" s="15"/>
      <c r="O927" s="15"/>
      <c r="P927" s="15" t="str" cm="1">
        <f t="array" ref="P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927" s="15" t="str" cm="1">
        <f t="array" ref="Q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canciones/juanjo_elezkano/perdoname_señor.html</v>
      </c>
      <c r="S927" s="1"/>
      <c r="T927" s="1"/>
      <c r="U927" s="1"/>
      <c r="V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data-nold="215"&gt;&lt;a href="canciones/juanjo_elezkano/perdoname_señor.html"&gt;Perdóname, Señor&lt;/a&gt;&lt;/li&gt;</v>
      </c>
      <c r="W927" s="15" t="str">
        <f>_xlfn.TEXTBEFORE(_xlfn.TEXTAFTER(CantoralDB[[#This Row],[index.html]],"&gt;"),"&gt;")&amp;"&gt;"</f>
        <v>&lt;a href="canciones/juanjo_elezkano/perdoname_señor.html"&gt;</v>
      </c>
    </row>
    <row r="928" spans="1:23" x14ac:dyDescent="0.3">
      <c r="A928" s="1">
        <f>ROW(CantoralDB[[#This Row],[Título]])-1</f>
        <v>927</v>
      </c>
      <c r="B928" s="1" t="s">
        <v>1326</v>
      </c>
      <c r="C928" s="1"/>
      <c r="E928" s="1">
        <v>247</v>
      </c>
      <c r="J928" s="1"/>
      <c r="M928" s="15" t="s">
        <v>480</v>
      </c>
      <c r="N928" s="15"/>
      <c r="O928" s="15"/>
      <c r="P928" s="15" t="str" cm="1">
        <f t="array" ref="P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928" s="15" t="str" cm="1">
        <f t="array" ref="Q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canciones/juanjo_elezkano/siempre_que_es_navidad.html</v>
      </c>
      <c r="S928" s="1"/>
      <c r="T928" s="1"/>
      <c r="U928" s="1"/>
      <c r="V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data-nold="247"&gt;&lt;a href="canciones/juanjo_elezkano/siempre_que_es_navidad.html"&gt;Siempre que es Navidad&lt;/a&gt;&lt;/li&gt;</v>
      </c>
      <c r="W928" s="15" t="str">
        <f>_xlfn.TEXTBEFORE(_xlfn.TEXTAFTER(CantoralDB[[#This Row],[index.html]],"&gt;"),"&gt;")&amp;"&gt;"</f>
        <v>&lt;a href="canciones/juanjo_elezkano/siempre_que_es_navidad.html"&gt;</v>
      </c>
    </row>
    <row r="929" spans="1:23" x14ac:dyDescent="0.3">
      <c r="A929" s="1">
        <f>ROW(CantoralDB[[#This Row],[Título]])-1</f>
        <v>928</v>
      </c>
      <c r="B929" s="1" t="s">
        <v>2107</v>
      </c>
      <c r="C929" s="1"/>
      <c r="E929" s="1">
        <v>276</v>
      </c>
      <c r="J929" s="1"/>
      <c r="M929" s="15" t="s">
        <v>480</v>
      </c>
      <c r="N929" s="15"/>
      <c r="O929" s="15"/>
      <c r="P929" s="15" t="str" cm="1">
        <f t="array" ref="P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929" s="15" t="str" cm="1">
        <f t="array" ref="Q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canciones/juanjo_elezkano/un_corazon_arrepentido.html</v>
      </c>
      <c r="S929" s="1"/>
      <c r="T929" s="1"/>
      <c r="U929" s="1"/>
      <c r="V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data-nold="276"&gt;&lt;a href="canciones/juanjo_elezkano/un_corazon_arrepentido.html"&gt;Un corazón arrepentido&lt;/a&gt;&lt;/li&gt;</v>
      </c>
      <c r="W929" s="15" t="str">
        <f>_xlfn.TEXTBEFORE(_xlfn.TEXTAFTER(CantoralDB[[#This Row],[index.html]],"&gt;"),"&gt;")&amp;"&gt;"</f>
        <v>&lt;a href="canciones/juanjo_elezkano/un_corazon_arrepentido.html"&gt;</v>
      </c>
    </row>
    <row r="930" spans="1:23" x14ac:dyDescent="0.3">
      <c r="A930" s="1">
        <f>ROW(CantoralDB[[#This Row],[Título]])-1</f>
        <v>929</v>
      </c>
      <c r="B930" s="1" t="s">
        <v>161</v>
      </c>
      <c r="C930" s="1" t="s">
        <v>201</v>
      </c>
      <c r="D930" s="1" t="s">
        <v>680</v>
      </c>
      <c r="E930" s="1">
        <v>471</v>
      </c>
      <c r="G930" s="1" t="s">
        <v>209</v>
      </c>
      <c r="H930" s="1" t="s">
        <v>1030</v>
      </c>
      <c r="J930" s="1" t="s">
        <v>608</v>
      </c>
      <c r="M930" s="15" t="s">
        <v>480</v>
      </c>
      <c r="N930" s="15"/>
      <c r="O930" s="15"/>
      <c r="P930" s="15" t="str" cm="1">
        <f t="array" ref="P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930" s="15" t="str" cm="1">
        <f t="array" ref="Q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canciones/juanjo_elezkano/venimos_a_escuchar_tu_voz.html</v>
      </c>
      <c r="S930" s="1"/>
      <c r="T930" s="1"/>
      <c r="U930" s="1"/>
      <c r="V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data-momento="Antífonas" data-nnew="D42" data-nold="471"&gt;&lt;a href="canciones/juanjo_elezkano/venimos_a_escuchar_tu_voz.html"&gt;Venimos a escuchar tu voz&lt;/a&gt;&lt;/li&gt;</v>
      </c>
      <c r="W930" s="15" t="str">
        <f>_xlfn.TEXTBEFORE(_xlfn.TEXTAFTER(CantoralDB[[#This Row],[index.html]],"&gt;"),"&gt;")&amp;"&gt;"</f>
        <v>&lt;a href="canciones/juanjo_elezkano/venimos_a_escuchar_tu_voz.html"&gt;</v>
      </c>
    </row>
    <row r="931" spans="1:23" x14ac:dyDescent="0.3">
      <c r="A931" s="1">
        <f>ROW(CantoralDB[[#This Row],[Título]])-1</f>
        <v>930</v>
      </c>
      <c r="B931" s="1" t="s">
        <v>34</v>
      </c>
      <c r="C931" s="1" t="s">
        <v>191</v>
      </c>
      <c r="D931" s="1" t="s">
        <v>731</v>
      </c>
      <c r="E931" s="1" t="s">
        <v>1192</v>
      </c>
      <c r="G931" s="1" t="s">
        <v>209</v>
      </c>
      <c r="H931" s="1" t="s">
        <v>473</v>
      </c>
      <c r="J931" s="1" t="s">
        <v>608</v>
      </c>
      <c r="M931" s="15" t="s">
        <v>480</v>
      </c>
      <c r="N931" s="15"/>
      <c r="O931" s="15"/>
      <c r="P931" s="15" t="str" cm="1">
        <f t="array" ref="P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Q931" s="15" t="str" cm="1">
        <f t="array" ref="Q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canciones/juanjo_elezkano/comeremos_de_la_mesa.html</v>
      </c>
      <c r="S931" s="1"/>
      <c r="T931" s="1"/>
      <c r="U931" s="1"/>
      <c r="V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Elezkano" data-momento="Entrada" data-nnew="A11" data-nold="65b"&gt;&lt;a href="canciones/juanjo_elezkano/comeremos_de_la_mesa.html"&gt;Comeremos de la mesa&lt;/a&gt;&lt;/li&gt;</v>
      </c>
      <c r="W931" s="15" t="str">
        <f>_xlfn.TEXTBEFORE(_xlfn.TEXTAFTER(CantoralDB[[#This Row],[index.html]],"&gt;"),"&gt;")&amp;"&gt;"</f>
        <v>&lt;a href="canciones/juanjo_elezkano/comeremos_de_la_mesa.html"&gt;</v>
      </c>
    </row>
    <row r="932" spans="1:23" x14ac:dyDescent="0.3">
      <c r="A932" s="1">
        <f>ROW(CantoralDB[[#This Row],[Título]])-1</f>
        <v>931</v>
      </c>
      <c r="B932" s="1" t="s">
        <v>2405</v>
      </c>
      <c r="C932" s="1"/>
      <c r="F932" s="1">
        <v>18</v>
      </c>
      <c r="J932" s="1"/>
      <c r="M932" s="15" t="s">
        <v>2406</v>
      </c>
      <c r="N932" s="15"/>
      <c r="O932" s="15"/>
      <c r="P932" s="15" t="str" cm="1">
        <f t="array" ref="P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932" s="15" t="str" cm="1">
        <f t="array" ref="Q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canciones/nuevas/santo_tu_eres_señor.html</v>
      </c>
      <c r="S932" s="1"/>
      <c r="T932" s="1"/>
      <c r="U932" s="1"/>
      <c r="V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data-author="Juanjo F"&gt;&lt;a href="canciones/nuevas/santo_tu_eres_señor.html"&gt;Santo tú eres, Señor&lt;/a&gt;&lt;/li&gt;</v>
      </c>
      <c r="W932" s="15" t="str">
        <f>_xlfn.TEXTBEFORE(_xlfn.TEXTAFTER(CantoralDB[[#This Row],[index.html]],"&gt;"),"&gt;")&amp;"&gt;"</f>
        <v>&lt;a href="canciones/nuevas/santo_tu_eres_señor.html"&gt;</v>
      </c>
    </row>
    <row r="933" spans="1:23" x14ac:dyDescent="0.3">
      <c r="A933" s="1">
        <f>ROW(CantoralDB[[#This Row],[Título]])-1</f>
        <v>932</v>
      </c>
      <c r="B933" s="1" t="s">
        <v>2522</v>
      </c>
      <c r="C933" s="1"/>
      <c r="F933" s="1">
        <v>127</v>
      </c>
      <c r="J933" s="1"/>
      <c r="M933" s="15" t="s">
        <v>2523</v>
      </c>
      <c r="N933" s="15"/>
      <c r="O933" s="15"/>
      <c r="P933" s="15" t="str" cm="1">
        <f t="array" ref="P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933" s="15" t="str" cm="1">
        <f t="array" ref="Q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canciones/nuevas/señor_ten_piedad_de_mi_pecador.html</v>
      </c>
      <c r="S933" s="1"/>
      <c r="T933" s="1"/>
      <c r="U933" s="1"/>
      <c r="V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data-author="Julián Huete"&gt;&lt;a href="canciones/nuevas/señor_ten_piedad_de_mi_pecador.html"&gt;Señor, ten piedad de mí, pecador&lt;/a&gt;&lt;/li&gt;</v>
      </c>
      <c r="W933" s="15" t="str">
        <f>_xlfn.TEXTBEFORE(_xlfn.TEXTAFTER(CantoralDB[[#This Row],[index.html]],"&gt;"),"&gt;")&amp;"&gt;"</f>
        <v>&lt;a href="canciones/nuevas/señor_ten_piedad_de_mi_pecador.html"&gt;</v>
      </c>
    </row>
    <row r="934" spans="1:23" x14ac:dyDescent="0.3">
      <c r="A934" s="1">
        <f>ROW(CantoralDB[[#This Row],[Título]])-1</f>
        <v>933</v>
      </c>
      <c r="B934" s="1" t="s">
        <v>2774</v>
      </c>
      <c r="C934" s="1"/>
      <c r="F934" s="1">
        <v>386</v>
      </c>
      <c r="J934" s="1"/>
      <c r="M934" s="15" t="s">
        <v>2523</v>
      </c>
      <c r="N934" s="15"/>
      <c r="O934" s="15"/>
      <c r="P934" s="15" t="str" cm="1">
        <f t="array" ref="P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934" s="15" t="str" cm="1">
        <f t="array" ref="Q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canciones/nuevas/alabad_a_yahve.html</v>
      </c>
      <c r="S934" s="1"/>
      <c r="T934" s="1"/>
      <c r="U934" s="1"/>
      <c r="V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data-author="Julián Huete"&gt;&lt;a href="canciones/nuevas/alabad_a_yahve.html"&gt;Alabad a Yahvé&lt;/a&gt;&lt;/li&gt;</v>
      </c>
      <c r="W934" s="15" t="str">
        <f>_xlfn.TEXTBEFORE(_xlfn.TEXTAFTER(CantoralDB[[#This Row],[index.html]],"&gt;"),"&gt;")&amp;"&gt;"</f>
        <v>&lt;a href="canciones/nuevas/alabad_a_yahve.html"&gt;</v>
      </c>
    </row>
    <row r="935" spans="1:23" x14ac:dyDescent="0.3">
      <c r="A935" s="1">
        <f>ROW(CantoralDB[[#This Row],[Título]])-1</f>
        <v>934</v>
      </c>
      <c r="B935" s="1" t="s">
        <v>1708</v>
      </c>
      <c r="C935" s="1"/>
      <c r="J935" s="1"/>
      <c r="M935" s="15" t="s">
        <v>484</v>
      </c>
      <c r="N935" s="15" t="s">
        <v>1501</v>
      </c>
      <c r="O935" s="15">
        <v>1</v>
      </c>
      <c r="P935" s="15" t="str" cm="1">
        <f t="array" ref="P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35" s="15" t="str" cm="1">
        <f t="array" ref="Q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canciones/kairoi/desde_tu_gesto.html</v>
      </c>
      <c r="S935" s="1"/>
      <c r="T935" s="1"/>
      <c r="U935" s="1"/>
      <c r="V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href="canciones/kairoi/desde_tu_gesto.html"&gt;Desde tu gesto&lt;/a&gt;&lt;/li&gt;</v>
      </c>
      <c r="W935" s="15" t="str">
        <f>_xlfn.TEXTBEFORE(_xlfn.TEXTAFTER(CantoralDB[[#This Row],[index.html]],"&gt;"),"&gt;")&amp;"&gt;"</f>
        <v>&lt;a href="canciones/kairoi/desde_tu_gesto.html"&gt;</v>
      </c>
    </row>
    <row r="936" spans="1:23" x14ac:dyDescent="0.3">
      <c r="A936" s="1">
        <f>ROW(CantoralDB[[#This Row],[Título]])-1</f>
        <v>935</v>
      </c>
      <c r="B936" s="1" t="s">
        <v>1709</v>
      </c>
      <c r="C936" s="1"/>
      <c r="J936" s="1"/>
      <c r="M936" s="15" t="s">
        <v>484</v>
      </c>
      <c r="N936" s="15" t="s">
        <v>1501</v>
      </c>
      <c r="O936" s="15">
        <v>2</v>
      </c>
      <c r="P936" s="15" t="str" cm="1">
        <f t="array" ref="P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36" s="15" t="str" cm="1">
        <f t="array" ref="Q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canciones/kairoi/el_silencio_de_mi_corazon.html</v>
      </c>
      <c r="S936" s="1"/>
      <c r="T936" s="1"/>
      <c r="U936" s="1"/>
      <c r="V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href="canciones/kairoi/el_silencio_de_mi_corazon.html"&gt;El silencio de mi corazón&lt;/a&gt;&lt;/li&gt;</v>
      </c>
      <c r="W936" s="15" t="str">
        <f>_xlfn.TEXTBEFORE(_xlfn.TEXTAFTER(CantoralDB[[#This Row],[index.html]],"&gt;"),"&gt;")&amp;"&gt;"</f>
        <v>&lt;a href="canciones/kairoi/el_silencio_de_mi_corazon.html"&gt;</v>
      </c>
    </row>
    <row r="937" spans="1:23" x14ac:dyDescent="0.3">
      <c r="A937" s="1">
        <f>ROW(CantoralDB[[#This Row],[Título]])-1</f>
        <v>936</v>
      </c>
      <c r="B937" s="1" t="s">
        <v>2363</v>
      </c>
      <c r="C937" s="1"/>
      <c r="J937" s="1"/>
      <c r="M937" s="15" t="s">
        <v>484</v>
      </c>
      <c r="N937" s="15" t="s">
        <v>1501</v>
      </c>
      <c r="O937" s="15">
        <v>3</v>
      </c>
      <c r="P937" s="15" t="str" cm="1">
        <f t="array" ref="P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37" s="15" t="str" cm="1">
        <f t="array" ref="Q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canciones/kairoi/venid_a_mi.html</v>
      </c>
      <c r="S937" s="1"/>
      <c r="T937" s="1"/>
      <c r="U937" s="1"/>
      <c r="V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href="canciones/kairoi/venid_a_mi.html"&gt;Venid a mí&lt;/a&gt;&lt;/li&gt;</v>
      </c>
      <c r="W937" s="15" t="str">
        <f>_xlfn.TEXTBEFORE(_xlfn.TEXTAFTER(CantoralDB[[#This Row],[index.html]],"&gt;"),"&gt;")&amp;"&gt;"</f>
        <v>&lt;a href="canciones/kairoi/venid_a_mi.html"&gt;</v>
      </c>
    </row>
    <row r="938" spans="1:23" x14ac:dyDescent="0.3">
      <c r="A938" s="1">
        <f>ROW(CantoralDB[[#This Row],[Título]])-1</f>
        <v>937</v>
      </c>
      <c r="B938" s="1" t="s">
        <v>2884</v>
      </c>
      <c r="C938" s="1"/>
      <c r="J938" s="1"/>
      <c r="M938" s="15" t="s">
        <v>484</v>
      </c>
      <c r="N938" s="15" t="s">
        <v>1501</v>
      </c>
      <c r="O938" s="15">
        <v>4</v>
      </c>
      <c r="P938" s="15" t="str" cm="1">
        <f t="array" ref="P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38" s="15" t="str" cm="1">
        <f t="array" ref="Q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canciones/kairoi/ave_maria_ii.html</v>
      </c>
      <c r="S938" s="1"/>
      <c r="T938" s="1"/>
      <c r="U938" s="1"/>
      <c r="V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href="canciones/kairoi/ave_maria_ii.html"&gt;Ave María II&lt;/a&gt;&lt;/li&gt;</v>
      </c>
      <c r="W938" s="15" t="str">
        <f>_xlfn.TEXTBEFORE(_xlfn.TEXTAFTER(CantoralDB[[#This Row],[index.html]],"&gt;"),"&gt;")&amp;"&gt;"</f>
        <v>&lt;a href="canciones/kairoi/ave_maria_ii.html"&gt;</v>
      </c>
    </row>
    <row r="939" spans="1:23" x14ac:dyDescent="0.3">
      <c r="A939" s="1">
        <f>ROW(CantoralDB[[#This Row],[Título]])-1</f>
        <v>938</v>
      </c>
      <c r="B939" s="1" t="s">
        <v>1710</v>
      </c>
      <c r="C939" s="1"/>
      <c r="J939" s="1"/>
      <c r="M939" s="15" t="s">
        <v>484</v>
      </c>
      <c r="N939" s="15" t="s">
        <v>1501</v>
      </c>
      <c r="O939" s="15">
        <v>5</v>
      </c>
      <c r="P939" s="15" t="str" cm="1">
        <f t="array" ref="P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39" s="15" t="str" cm="1">
        <f t="array" ref="Q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canciones/kairoi/si_tu_sabes.html</v>
      </c>
      <c r="S939" s="1"/>
      <c r="T939" s="1"/>
      <c r="U939" s="1"/>
      <c r="V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href="canciones/kairoi/si_tu_sabes.html"&gt;Si tú sabes&lt;/a&gt;&lt;/li&gt;</v>
      </c>
      <c r="W939" s="15" t="str">
        <f>_xlfn.TEXTBEFORE(_xlfn.TEXTAFTER(CantoralDB[[#This Row],[index.html]],"&gt;"),"&gt;")&amp;"&gt;"</f>
        <v>&lt;a href="canciones/kairoi/si_tu_sabes.html"&gt;</v>
      </c>
    </row>
    <row r="940" spans="1:23" x14ac:dyDescent="0.3">
      <c r="A940" s="1">
        <f>ROW(CantoralDB[[#This Row],[Título]])-1</f>
        <v>939</v>
      </c>
      <c r="B940" s="1" t="s">
        <v>1711</v>
      </c>
      <c r="C940" s="1"/>
      <c r="J940" s="1"/>
      <c r="M940" s="15" t="s">
        <v>484</v>
      </c>
      <c r="N940" s="15" t="s">
        <v>1501</v>
      </c>
      <c r="O940" s="15">
        <v>6</v>
      </c>
      <c r="P940" s="15" t="str" cm="1">
        <f t="array" ref="P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0" s="15" t="str" cm="1">
        <f t="array" ref="Q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canciones/kairoi/la_utopia_es_posible.html</v>
      </c>
      <c r="S940" s="1"/>
      <c r="T940" s="1"/>
      <c r="U940" s="1"/>
      <c r="V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href="canciones/kairoi/la_utopia_es_posible.html"&gt;La utopia es posible&lt;/a&gt;&lt;/li&gt;</v>
      </c>
      <c r="W940" s="15" t="str">
        <f>_xlfn.TEXTBEFORE(_xlfn.TEXTAFTER(CantoralDB[[#This Row],[index.html]],"&gt;"),"&gt;")&amp;"&gt;"</f>
        <v>&lt;a href="canciones/kairoi/la_utopia_es_posible.html"&gt;</v>
      </c>
    </row>
    <row r="941" spans="1:23" x14ac:dyDescent="0.3">
      <c r="A941" s="1">
        <f>ROW(CantoralDB[[#This Row],[Título]])-1</f>
        <v>940</v>
      </c>
      <c r="B941" s="1" t="s">
        <v>2953</v>
      </c>
      <c r="C941" s="1"/>
      <c r="J941" s="1"/>
      <c r="M941" s="15" t="s">
        <v>484</v>
      </c>
      <c r="N941" s="15" t="s">
        <v>1501</v>
      </c>
      <c r="O941" s="15">
        <v>7</v>
      </c>
      <c r="P941" s="15" t="str" cm="1">
        <f t="array" ref="P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1" s="15" t="str" cm="1">
        <f t="array" ref="Q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canciones/kairoi/padre_nuestro_iii.html</v>
      </c>
      <c r="S941" s="1"/>
      <c r="T941" s="1"/>
      <c r="U941" s="1"/>
      <c r="V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href="canciones/kairoi/padre_nuestro_iii.html"&gt;Padre nuestro III&lt;/a&gt;&lt;/li&gt;</v>
      </c>
      <c r="W941" s="15" t="str">
        <f>_xlfn.TEXTBEFORE(_xlfn.TEXTAFTER(CantoralDB[[#This Row],[index.html]],"&gt;"),"&gt;")&amp;"&gt;"</f>
        <v>&lt;a href="canciones/kairoi/padre_nuestro_iii.html"&gt;</v>
      </c>
    </row>
    <row r="942" spans="1:23" x14ac:dyDescent="0.3">
      <c r="A942" s="1">
        <f>ROW(CantoralDB[[#This Row],[Título]])-1</f>
        <v>941</v>
      </c>
      <c r="B942" s="1" t="s">
        <v>1712</v>
      </c>
      <c r="C942" s="1"/>
      <c r="J942" s="1"/>
      <c r="M942" s="15" t="s">
        <v>484</v>
      </c>
      <c r="N942" s="15" t="s">
        <v>1501</v>
      </c>
      <c r="O942" s="15">
        <v>8</v>
      </c>
      <c r="P942" s="15" t="str" cm="1">
        <f t="array" ref="P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2" s="15" t="str" cm="1">
        <f t="array" ref="Q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canciones/kairoi/que_vuestro_corazon_no_se_turbe.html</v>
      </c>
      <c r="S942" s="1"/>
      <c r="T942" s="1"/>
      <c r="U942" s="1"/>
      <c r="V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href="canciones/kairoi/que_vuestro_corazon_no_se_turbe.html"&gt;Que vuestro corazón no se turbe&lt;/a&gt;&lt;/li&gt;</v>
      </c>
      <c r="W942" s="15" t="str">
        <f>_xlfn.TEXTBEFORE(_xlfn.TEXTAFTER(CantoralDB[[#This Row],[index.html]],"&gt;"),"&gt;")&amp;"&gt;"</f>
        <v>&lt;a href="canciones/kairoi/que_vuestro_corazon_no_se_turbe.html"&gt;</v>
      </c>
    </row>
    <row r="943" spans="1:23" x14ac:dyDescent="0.3">
      <c r="A943" s="1">
        <f>ROW(CantoralDB[[#This Row],[Título]])-1</f>
        <v>942</v>
      </c>
      <c r="B943" s="1" t="s">
        <v>1713</v>
      </c>
      <c r="C943" s="1"/>
      <c r="J943" s="1"/>
      <c r="M943" s="15" t="s">
        <v>484</v>
      </c>
      <c r="N943" s="15" t="s">
        <v>1501</v>
      </c>
      <c r="O943" s="15">
        <v>9</v>
      </c>
      <c r="P943" s="15" t="str" cm="1">
        <f t="array" ref="P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3" s="15" t="str" cm="1">
        <f t="array" ref="Q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canciones/kairoi/decid_si.html</v>
      </c>
      <c r="S943" s="1"/>
      <c r="T943" s="1"/>
      <c r="U943" s="1"/>
      <c r="V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href="canciones/kairoi/decid_si.html"&gt;Decid sí&lt;/a&gt;&lt;/li&gt;</v>
      </c>
      <c r="W943" s="15" t="str">
        <f>_xlfn.TEXTBEFORE(_xlfn.TEXTAFTER(CantoralDB[[#This Row],[index.html]],"&gt;"),"&gt;")&amp;"&gt;"</f>
        <v>&lt;a href="canciones/kairoi/decid_si.html"&gt;</v>
      </c>
    </row>
    <row r="944" spans="1:23" x14ac:dyDescent="0.3">
      <c r="A944" s="1">
        <f>ROW(CantoralDB[[#This Row],[Título]])-1</f>
        <v>943</v>
      </c>
      <c r="B944" s="1" t="s">
        <v>1714</v>
      </c>
      <c r="C944" s="1"/>
      <c r="J944" s="1"/>
      <c r="M944" s="15" t="s">
        <v>484</v>
      </c>
      <c r="N944" s="15" t="s">
        <v>1501</v>
      </c>
      <c r="O944" s="15">
        <v>10</v>
      </c>
      <c r="P944" s="15" t="str" cm="1">
        <f t="array" ref="P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4" s="15" t="str" cm="1">
        <f t="array" ref="Q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canciones/kairoi/estrellas_en_el_mar.html</v>
      </c>
      <c r="S944" s="1"/>
      <c r="T944" s="1"/>
      <c r="U944" s="1"/>
      <c r="V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href="canciones/kairoi/estrellas_en_el_mar.html"&gt;Estrellas en el mar&lt;/a&gt;&lt;/li&gt;</v>
      </c>
      <c r="W944" s="15" t="str">
        <f>_xlfn.TEXTBEFORE(_xlfn.TEXTAFTER(CantoralDB[[#This Row],[index.html]],"&gt;"),"&gt;")&amp;"&gt;"</f>
        <v>&lt;a href="canciones/kairoi/estrellas_en_el_mar.html"&gt;</v>
      </c>
    </row>
    <row r="945" spans="1:23" x14ac:dyDescent="0.3">
      <c r="A945" s="1">
        <f>ROW(CantoralDB[[#This Row],[Título]])-1</f>
        <v>944</v>
      </c>
      <c r="B945" s="1" t="s">
        <v>2364</v>
      </c>
      <c r="C945" s="1"/>
      <c r="J945" s="1"/>
      <c r="M945" s="15" t="s">
        <v>484</v>
      </c>
      <c r="N945" s="15" t="s">
        <v>1501</v>
      </c>
      <c r="O945" s="15">
        <v>11</v>
      </c>
      <c r="P945" s="15" t="str" cm="1">
        <f t="array" ref="P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5" s="15" t="str" cm="1">
        <f t="array" ref="Q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canciones/kairoi/quien_eres_jesus_para_mi.html</v>
      </c>
      <c r="S945" s="1"/>
      <c r="T945" s="1"/>
      <c r="U945" s="1"/>
      <c r="V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href="canciones/kairoi/quien_eres_jesus_para_mi.html"&gt;Quién eres, Jesús, para mí&lt;/a&gt;&lt;/li&gt;</v>
      </c>
      <c r="W945" s="15" t="str">
        <f>_xlfn.TEXTBEFORE(_xlfn.TEXTAFTER(CantoralDB[[#This Row],[index.html]],"&gt;"),"&gt;")&amp;"&gt;"</f>
        <v>&lt;a href="canciones/kairoi/quien_eres_jesus_para_mi.html"&gt;</v>
      </c>
    </row>
    <row r="946" spans="1:23" x14ac:dyDescent="0.3">
      <c r="A946" s="1">
        <f>ROW(CantoralDB[[#This Row],[Título]])-1</f>
        <v>945</v>
      </c>
      <c r="B946" s="1" t="s">
        <v>1715</v>
      </c>
      <c r="C946" s="1"/>
      <c r="J946" s="1"/>
      <c r="M946" s="15" t="s">
        <v>484</v>
      </c>
      <c r="N946" s="15" t="s">
        <v>1501</v>
      </c>
      <c r="O946" s="15">
        <v>12</v>
      </c>
      <c r="P946" s="15" t="str" cm="1">
        <f t="array" ref="P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6" s="15" t="str" cm="1">
        <f t="array" ref="Q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canciones/kairoi/venimos_ante_ti.html</v>
      </c>
      <c r="S946" s="1"/>
      <c r="T946" s="1"/>
      <c r="U946" s="1"/>
      <c r="V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href="canciones/kairoi/venimos_ante_ti.html"&gt;Venimos ante ti&lt;/a&gt;&lt;/li&gt;</v>
      </c>
      <c r="W946" s="15" t="str">
        <f>_xlfn.TEXTBEFORE(_xlfn.TEXTAFTER(CantoralDB[[#This Row],[index.html]],"&gt;"),"&gt;")&amp;"&gt;"</f>
        <v>&lt;a href="canciones/kairoi/venimos_ante_ti.html"&gt;</v>
      </c>
    </row>
    <row r="947" spans="1:23" x14ac:dyDescent="0.3">
      <c r="A947" s="1">
        <f>ROW(CantoralDB[[#This Row],[Título]])-1</f>
        <v>946</v>
      </c>
      <c r="B947" s="1" t="s">
        <v>1716</v>
      </c>
      <c r="C947" s="1"/>
      <c r="J947" s="1"/>
      <c r="M947" s="15" t="s">
        <v>484</v>
      </c>
      <c r="N947" s="15" t="s">
        <v>1501</v>
      </c>
      <c r="O947" s="15">
        <v>13</v>
      </c>
      <c r="P947" s="15" t="str" cm="1">
        <f t="array" ref="P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7" s="15" t="str" cm="1">
        <f t="array" ref="Q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canciones/kairoi/en_la_oscuridad_de_la_noche.html</v>
      </c>
      <c r="S947" s="1"/>
      <c r="T947" s="1"/>
      <c r="U947" s="1"/>
      <c r="V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href="canciones/kairoi/en_la_oscuridad_de_la_noche.html"&gt;En la oscuridad de la noche&lt;/a&gt;&lt;/li&gt;</v>
      </c>
      <c r="W947" s="15" t="str">
        <f>_xlfn.TEXTBEFORE(_xlfn.TEXTAFTER(CantoralDB[[#This Row],[index.html]],"&gt;"),"&gt;")&amp;"&gt;"</f>
        <v>&lt;a href="canciones/kairoi/en_la_oscuridad_de_la_noche.html"&gt;</v>
      </c>
    </row>
    <row r="948" spans="1:23" x14ac:dyDescent="0.3">
      <c r="A948" s="1">
        <f>ROW(CantoralDB[[#This Row],[Título]])-1</f>
        <v>947</v>
      </c>
      <c r="B948" s="1" t="s">
        <v>1717</v>
      </c>
      <c r="C948" s="1"/>
      <c r="J948" s="1"/>
      <c r="M948" s="15" t="s">
        <v>484</v>
      </c>
      <c r="N948" s="15" t="s">
        <v>1501</v>
      </c>
      <c r="O948" s="15">
        <v>14</v>
      </c>
      <c r="P948" s="15" t="str" cm="1">
        <f t="array" ref="P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8" s="15" t="str" cm="1">
        <f t="array" ref="Q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canciones/kairoi/padre.html</v>
      </c>
      <c r="S948" s="1"/>
      <c r="T948" s="1"/>
      <c r="U948" s="1"/>
      <c r="V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href="canciones/kairoi/padre.html"&gt;Padre&lt;/a&gt;&lt;/li&gt;</v>
      </c>
      <c r="W948" s="15" t="str">
        <f>_xlfn.TEXTBEFORE(_xlfn.TEXTAFTER(CantoralDB[[#This Row],[index.html]],"&gt;"),"&gt;")&amp;"&gt;"</f>
        <v>&lt;a href="canciones/kairoi/padre.html"&gt;</v>
      </c>
    </row>
    <row r="949" spans="1:23" x14ac:dyDescent="0.3">
      <c r="A949" s="1">
        <f>ROW(CantoralDB[[#This Row],[Título]])-1</f>
        <v>948</v>
      </c>
      <c r="B949" s="1" t="s">
        <v>603</v>
      </c>
      <c r="C949" s="1" t="s">
        <v>201</v>
      </c>
      <c r="D949" s="1" t="s">
        <v>659</v>
      </c>
      <c r="G949" s="1" t="s">
        <v>553</v>
      </c>
      <c r="H949" s="1" t="s">
        <v>1027</v>
      </c>
      <c r="J949" s="1" t="s">
        <v>608</v>
      </c>
      <c r="M949" s="15" t="s">
        <v>484</v>
      </c>
      <c r="N949" s="15" t="s">
        <v>1490</v>
      </c>
      <c r="O949" s="15">
        <v>1</v>
      </c>
      <c r="P949" s="15" t="str" cm="1">
        <f t="array" ref="P9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49" s="15" t="str" cm="1">
        <f t="array" ref="Q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canciones/kairoi/la_bondad_y_el_amor_del_señor.html</v>
      </c>
      <c r="S949" s="1" t="s">
        <v>841</v>
      </c>
      <c r="T949" s="1"/>
      <c r="U949" s="1"/>
      <c r="V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data-momento="Antífonas" data-nnew="D21"&gt;&lt;a href="canciones/kairoi/la_bondad_y_el_amor_del_señor.html"&gt;La bondad y el amor del Señor&lt;/a&gt;&lt;/li&gt;</v>
      </c>
      <c r="W949" s="15" t="str">
        <f>_xlfn.TEXTBEFORE(_xlfn.TEXTAFTER(CantoralDB[[#This Row],[index.html]],"&gt;"),"&gt;")&amp;"&gt;"</f>
        <v>&lt;a href="canciones/kairoi/la_bondad_y_el_amor_del_señor.html"&gt;</v>
      </c>
    </row>
    <row r="950" spans="1:23" x14ac:dyDescent="0.3">
      <c r="A950" s="1">
        <f>ROW(CantoralDB[[#This Row],[Título]])-1</f>
        <v>949</v>
      </c>
      <c r="B950" s="1" t="s">
        <v>2027</v>
      </c>
      <c r="C950" s="1"/>
      <c r="H950" s="1" t="s">
        <v>1027</v>
      </c>
      <c r="J950" s="1" t="s">
        <v>608</v>
      </c>
      <c r="M950" s="15" t="s">
        <v>484</v>
      </c>
      <c r="N950" s="15" t="s">
        <v>1490</v>
      </c>
      <c r="O950" s="15">
        <v>2</v>
      </c>
      <c r="P950" s="15" t="str" cm="1">
        <f t="array" ref="P9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0" s="15" t="str" cm="1">
        <f t="array" ref="Q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canciones/kairoi/vamos_hacia_ti_(gloria_a_dios).html</v>
      </c>
      <c r="S950" s="1"/>
      <c r="T950" s="1"/>
      <c r="U950" s="1"/>
      <c r="V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href="canciones/kairoi/vamos_hacia_ti_(gloria_a_dios).html"&gt;Vamos hacia ti (gloria a Dios)&lt;/a&gt;&lt;/li&gt;</v>
      </c>
      <c r="W950" s="15" t="str">
        <f>_xlfn.TEXTBEFORE(_xlfn.TEXTAFTER(CantoralDB[[#This Row],[index.html]],"&gt;"),"&gt;")&amp;"&gt;"</f>
        <v>&lt;a href="canciones/kairoi/vamos_hacia_ti_(gloria_a_dios).html"&gt;</v>
      </c>
    </row>
    <row r="951" spans="1:23" x14ac:dyDescent="0.3">
      <c r="A951" s="1">
        <f>ROW(CantoralDB[[#This Row],[Título]])-1</f>
        <v>950</v>
      </c>
      <c r="B951" s="1" t="s">
        <v>1571</v>
      </c>
      <c r="C951" s="1"/>
      <c r="H951" s="1" t="s">
        <v>1029</v>
      </c>
      <c r="J951" s="1" t="s">
        <v>608</v>
      </c>
      <c r="M951" s="15" t="s">
        <v>484</v>
      </c>
      <c r="N951" s="15" t="s">
        <v>1490</v>
      </c>
      <c r="O951" s="15">
        <v>3</v>
      </c>
      <c r="P951" s="15" t="str" cm="1">
        <f t="array" ref="P9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1" s="15" t="str" cm="1">
        <f t="array" ref="Q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canciones/kairoi/quedate_aqui_señor.html</v>
      </c>
      <c r="S951" s="1"/>
      <c r="T951" s="1"/>
      <c r="U951" s="1"/>
      <c r="V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href="canciones/kairoi/quedate_aqui_señor.html"&gt;Quédate aquí, Señor&lt;/a&gt;&lt;/li&gt;</v>
      </c>
      <c r="W951" s="15" t="str">
        <f>_xlfn.TEXTBEFORE(_xlfn.TEXTAFTER(CantoralDB[[#This Row],[index.html]],"&gt;"),"&gt;")&amp;"&gt;"</f>
        <v>&lt;a href="canciones/kairoi/quedate_aqui_señor.html"&gt;</v>
      </c>
    </row>
    <row r="952" spans="1:23" x14ac:dyDescent="0.3">
      <c r="A952" s="1">
        <f>ROW(CantoralDB[[#This Row],[Título]])-1</f>
        <v>951</v>
      </c>
      <c r="B952" s="1" t="s">
        <v>558</v>
      </c>
      <c r="C952" s="1" t="s">
        <v>192</v>
      </c>
      <c r="D952" s="1" t="s">
        <v>1450</v>
      </c>
      <c r="G952" s="1" t="s">
        <v>553</v>
      </c>
      <c r="H952" s="1" t="s">
        <v>1030</v>
      </c>
      <c r="I952" s="1" t="s">
        <v>2963</v>
      </c>
      <c r="J952" s="1" t="s">
        <v>608</v>
      </c>
      <c r="M952" s="15" t="s">
        <v>484</v>
      </c>
      <c r="N952" s="15" t="s">
        <v>1490</v>
      </c>
      <c r="O952" s="15">
        <v>4</v>
      </c>
      <c r="P952" s="15" t="str" cm="1">
        <f t="array" ref="P9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2" s="15" t="str" cm="1">
        <f t="array" ref="Q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canciones/kairoi/padre_vuelvo_a_ti.html</v>
      </c>
      <c r="S952" s="1" t="s">
        <v>852</v>
      </c>
      <c r="T952" s="1"/>
      <c r="U952" s="1"/>
      <c r="V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data-momento="Perdón - Agua" data-nnew="B05"&gt;&lt;a href="canciones/kairoi/padre_vuelvo_a_ti.html"&gt;Padre, vuelvo a ti&lt;/a&gt;&lt;/li&gt;</v>
      </c>
      <c r="W952" s="15" t="str">
        <f>_xlfn.TEXTBEFORE(_xlfn.TEXTAFTER(CantoralDB[[#This Row],[index.html]],"&gt;"),"&gt;")&amp;"&gt;"</f>
        <v>&lt;a href="canciones/kairoi/padre_vuelvo_a_ti.html"&gt;</v>
      </c>
    </row>
    <row r="953" spans="1:23" x14ac:dyDescent="0.3">
      <c r="A953" s="1">
        <f>ROW(CantoralDB[[#This Row],[Título]])-1</f>
        <v>952</v>
      </c>
      <c r="B953" s="1" t="s">
        <v>89</v>
      </c>
      <c r="C953" s="1" t="s">
        <v>200</v>
      </c>
      <c r="D953" s="1" t="s">
        <v>1045</v>
      </c>
      <c r="E953" s="1">
        <v>433</v>
      </c>
      <c r="G953" s="1" t="s">
        <v>209</v>
      </c>
      <c r="H953" s="1" t="s">
        <v>531</v>
      </c>
      <c r="I953" s="1" t="s">
        <v>2962</v>
      </c>
      <c r="J953" s="1" t="s">
        <v>608</v>
      </c>
      <c r="M953" s="15" t="s">
        <v>484</v>
      </c>
      <c r="N953" s="15" t="s">
        <v>1490</v>
      </c>
      <c r="O953" s="15">
        <v>5</v>
      </c>
      <c r="P953" s="15" t="str" cm="1">
        <f t="array" ref="P9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3" s="15" t="str" cm="1">
        <f t="array" ref="Q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canciones/kairoi/maria_la_madre_buena.html</v>
      </c>
      <c r="S953" s="1"/>
      <c r="T953" s="1"/>
      <c r="U953" s="1"/>
      <c r="V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data-nnew="M11" data-nold="433"&gt;&lt;a href="canciones/kairoi/maria_la_madre_buena.html"&gt;María, la madre buena&lt;/a&gt;&lt;/li&gt;</v>
      </c>
      <c r="W953" s="15" t="str">
        <f>_xlfn.TEXTBEFORE(_xlfn.TEXTAFTER(CantoralDB[[#This Row],[index.html]],"&gt;"),"&gt;")&amp;"&gt;"</f>
        <v>&lt;a href="canciones/kairoi/maria_la_madre_buena.html"&gt;</v>
      </c>
    </row>
    <row r="954" spans="1:23" x14ac:dyDescent="0.3">
      <c r="A954" s="1">
        <f>ROW(CantoralDB[[#This Row],[Título]])-1</f>
        <v>953</v>
      </c>
      <c r="B954" s="1" t="s">
        <v>235</v>
      </c>
      <c r="C954" s="1" t="s">
        <v>219</v>
      </c>
      <c r="D954" s="1" t="s">
        <v>1415</v>
      </c>
      <c r="F954" s="1">
        <v>210</v>
      </c>
      <c r="G954" s="1" t="s">
        <v>209</v>
      </c>
      <c r="H954" s="1" t="s">
        <v>1027</v>
      </c>
      <c r="J954" s="1" t="s">
        <v>608</v>
      </c>
      <c r="M954" s="15" t="s">
        <v>484</v>
      </c>
      <c r="N954" s="15" t="s">
        <v>1490</v>
      </c>
      <c r="O954" s="15">
        <v>7</v>
      </c>
      <c r="P954" s="15" t="str" cm="1">
        <f t="array" ref="P9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4" s="15" t="str" cm="1">
        <f t="array" ref="Q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canciones/kairoi/el_señor_os_dara_su_espiritu_santo.html</v>
      </c>
      <c r="S954" s="1" t="s">
        <v>828</v>
      </c>
      <c r="T954" s="1"/>
      <c r="U954" s="1"/>
      <c r="V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data-momento="Espíritu" data-nnew="N03"&gt;&lt;a href="canciones/kairoi/el_señor_os_dara_su_espiritu_santo.html"&gt;El Señor os dará su Espíritu Santo&lt;/a&gt;&lt;/li&gt;</v>
      </c>
      <c r="W954" s="15" t="str">
        <f>_xlfn.TEXTBEFORE(_xlfn.TEXTAFTER(CantoralDB[[#This Row],[index.html]],"&gt;"),"&gt;")&amp;"&gt;"</f>
        <v>&lt;a href="canciones/kairoi/el_señor_os_dara_su_espiritu_santo.html"&gt;</v>
      </c>
    </row>
    <row r="955" spans="1:23" x14ac:dyDescent="0.3">
      <c r="A955" s="1">
        <f>ROW(CantoralDB[[#This Row],[Título]])-1</f>
        <v>954</v>
      </c>
      <c r="B955" s="1" t="s">
        <v>554</v>
      </c>
      <c r="C955" s="1" t="s">
        <v>194</v>
      </c>
      <c r="D955" s="1" t="s">
        <v>1372</v>
      </c>
      <c r="G955" s="1" t="s">
        <v>209</v>
      </c>
      <c r="H955" s="1" t="s">
        <v>531</v>
      </c>
      <c r="I955" s="1" t="s">
        <v>2962</v>
      </c>
      <c r="J955" s="1" t="s">
        <v>608</v>
      </c>
      <c r="M955" s="15" t="s">
        <v>484</v>
      </c>
      <c r="N955" s="15" t="s">
        <v>1490</v>
      </c>
      <c r="O955" s="15">
        <v>8</v>
      </c>
      <c r="P955" s="15" t="str" cm="1">
        <f t="array" ref="P9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5" s="15" t="str" cm="1">
        <f t="array" ref="Q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9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canciones/kairoi/aleluya_(junto_a_ti_jesus).html</v>
      </c>
      <c r="S955" s="1"/>
      <c r="T955" s="1"/>
      <c r="U955" s="1"/>
      <c r="V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data-momento="Aleluya" data-nnew="E02"&gt;&lt;a href="canciones/kairoi/aleluya_(junto_a_ti_jesus).html"&gt;Aleluya (Junto a ti, Jesús)&lt;/a&gt;&lt;/li&gt;</v>
      </c>
      <c r="W955" s="15" t="str">
        <f>_xlfn.TEXTBEFORE(_xlfn.TEXTAFTER(CantoralDB[[#This Row],[index.html]],"&gt;"),"&gt;")&amp;"&gt;"</f>
        <v>&lt;a href="canciones/kairoi/aleluya_(junto_a_ti_jesus).html"&gt;</v>
      </c>
    </row>
    <row r="956" spans="1:23" x14ac:dyDescent="0.3">
      <c r="A956" s="1">
        <f>ROW(CantoralDB[[#This Row],[Título]])-1</f>
        <v>955</v>
      </c>
      <c r="B956" s="1" t="s">
        <v>1490</v>
      </c>
      <c r="C956" s="1"/>
      <c r="H956" s="1" t="s">
        <v>531</v>
      </c>
      <c r="J956" s="1" t="s">
        <v>608</v>
      </c>
      <c r="M956" s="15" t="s">
        <v>484</v>
      </c>
      <c r="N956" s="15" t="s">
        <v>1490</v>
      </c>
      <c r="O956" s="15">
        <v>9</v>
      </c>
      <c r="P956" s="15" t="str" cm="1">
        <f t="array" ref="P9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6" s="15" t="str" cm="1">
        <f t="array" ref="Q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canciones/kairoi/a_tu_lado_señor.html</v>
      </c>
      <c r="S956" s="1"/>
      <c r="T956" s="1"/>
      <c r="U956" s="1"/>
      <c r="V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href="canciones/kairoi/a_tu_lado_señor.html"&gt;A tu lado, Señor&lt;/a&gt;&lt;/li&gt;</v>
      </c>
      <c r="W956" s="15" t="str">
        <f>_xlfn.TEXTBEFORE(_xlfn.TEXTAFTER(CantoralDB[[#This Row],[index.html]],"&gt;"),"&gt;")&amp;"&gt;"</f>
        <v>&lt;a href="canciones/kairoi/a_tu_lado_señor.html"&gt;</v>
      </c>
    </row>
    <row r="957" spans="1:23" x14ac:dyDescent="0.3">
      <c r="A957" s="1">
        <f>ROW(CantoralDB[[#This Row],[Título]])-1</f>
        <v>956</v>
      </c>
      <c r="B957" s="1" t="s">
        <v>1572</v>
      </c>
      <c r="C957" s="1"/>
      <c r="H957" s="1" t="s">
        <v>531</v>
      </c>
      <c r="J957" s="1" t="s">
        <v>608</v>
      </c>
      <c r="M957" s="15" t="s">
        <v>484</v>
      </c>
      <c r="N957" s="15" t="s">
        <v>1490</v>
      </c>
      <c r="O957" s="15">
        <v>10</v>
      </c>
      <c r="P957" s="15" t="str" cm="1">
        <f t="array" ref="P9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7" s="15" t="str" cm="1">
        <f t="array" ref="Q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canciones/kairoi/canto_de_maria.html</v>
      </c>
      <c r="S957" s="1"/>
      <c r="T957" s="1"/>
      <c r="U957" s="1"/>
      <c r="V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href="canciones/kairoi/canto_de_maria.html"&gt;Canto de María&lt;/a&gt;&lt;/li&gt;</v>
      </c>
      <c r="W957" s="15" t="str">
        <f>_xlfn.TEXTBEFORE(_xlfn.TEXTAFTER(CantoralDB[[#This Row],[index.html]],"&gt;"),"&gt;")&amp;"&gt;"</f>
        <v>&lt;a href="canciones/kairoi/canto_de_maria.html"&gt;</v>
      </c>
    </row>
    <row r="958" spans="1:23" x14ac:dyDescent="0.3">
      <c r="A958" s="1">
        <f>ROW(CantoralDB[[#This Row],[Título]])-1</f>
        <v>957</v>
      </c>
      <c r="B958" s="1" t="s">
        <v>1573</v>
      </c>
      <c r="C958" s="1"/>
      <c r="H958" s="1" t="s">
        <v>1030</v>
      </c>
      <c r="J958" s="1" t="s">
        <v>608</v>
      </c>
      <c r="M958" s="15" t="s">
        <v>484</v>
      </c>
      <c r="N958" s="15" t="s">
        <v>1490</v>
      </c>
      <c r="O958" s="15">
        <v>11</v>
      </c>
      <c r="P958" s="15" t="str" cm="1">
        <f t="array" ref="P9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8" s="15" t="str" cm="1">
        <f t="array" ref="Q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canciones/kairoi/tu_jesus.html</v>
      </c>
      <c r="S958" s="1"/>
      <c r="T958" s="1"/>
      <c r="U958" s="1"/>
      <c r="V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href="canciones/kairoi/tu_jesus.html"&gt;Tú, Jesús&lt;/a&gt;&lt;/li&gt;</v>
      </c>
      <c r="W958" s="15" t="str">
        <f>_xlfn.TEXTBEFORE(_xlfn.TEXTAFTER(CantoralDB[[#This Row],[index.html]],"&gt;"),"&gt;")&amp;"&gt;"</f>
        <v>&lt;a href="canciones/kairoi/tu_jesus.html"&gt;</v>
      </c>
    </row>
    <row r="959" spans="1:23" x14ac:dyDescent="0.3">
      <c r="A959" s="1">
        <f>ROW(CantoralDB[[#This Row],[Título]])-1</f>
        <v>958</v>
      </c>
      <c r="B959" s="1" t="s">
        <v>1626</v>
      </c>
      <c r="C959" s="1"/>
      <c r="J959" s="1"/>
      <c r="M959" s="15" t="s">
        <v>484</v>
      </c>
      <c r="N959" s="15" t="s">
        <v>1490</v>
      </c>
      <c r="O959" s="15">
        <v>12</v>
      </c>
      <c r="P959" s="15" t="str" cm="1">
        <f t="array" ref="P9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59" s="15" t="str" cm="1">
        <f t="array" ref="Q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canciones/kairoi/ven_conmigo_amigo.html</v>
      </c>
      <c r="S959" s="1"/>
      <c r="T959" s="1"/>
      <c r="U959" s="1"/>
      <c r="V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href="canciones/kairoi/ven_conmigo_amigo.html"&gt;Ven conmigo, amigo&lt;/a&gt;&lt;/li&gt;</v>
      </c>
      <c r="W959" s="15" t="str">
        <f>_xlfn.TEXTBEFORE(_xlfn.TEXTAFTER(CantoralDB[[#This Row],[index.html]],"&gt;"),"&gt;")&amp;"&gt;"</f>
        <v>&lt;a href="canciones/kairoi/ven_conmigo_amigo.html"&gt;</v>
      </c>
    </row>
    <row r="960" spans="1:23" x14ac:dyDescent="0.3">
      <c r="A960" s="1">
        <f>ROW(CantoralDB[[#This Row],[Título]])-1</f>
        <v>959</v>
      </c>
      <c r="B960" s="1" t="s">
        <v>1614</v>
      </c>
      <c r="C960" s="1"/>
      <c r="J960" s="1"/>
      <c r="M960" s="15" t="s">
        <v>484</v>
      </c>
      <c r="N960" s="15" t="s">
        <v>1489</v>
      </c>
      <c r="O960" s="15">
        <v>1</v>
      </c>
      <c r="P960" s="15" t="str" cm="1">
        <f t="array" ref="P9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0" s="15" t="str" cm="1">
        <f t="array" ref="Q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canciones/kairoi/es_tu_amigo_es.html</v>
      </c>
      <c r="S960" s="1"/>
      <c r="T960" s="1"/>
      <c r="U960" s="1"/>
      <c r="V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href="canciones/kairoi/es_tu_amigo_es.html"&gt;Es, tu amigo es&lt;/a&gt;&lt;/li&gt;</v>
      </c>
      <c r="W960" s="15" t="str">
        <f>_xlfn.TEXTBEFORE(_xlfn.TEXTAFTER(CantoralDB[[#This Row],[index.html]],"&gt;"),"&gt;")&amp;"&gt;"</f>
        <v>&lt;a href="canciones/kairoi/es_tu_amigo_es.html"&gt;</v>
      </c>
    </row>
    <row r="961" spans="1:23" x14ac:dyDescent="0.3">
      <c r="A961" s="1">
        <f>ROW(CantoralDB[[#This Row],[Título]])-1</f>
        <v>960</v>
      </c>
      <c r="B961" s="1" t="s">
        <v>1615</v>
      </c>
      <c r="C961" s="1"/>
      <c r="J961" s="1"/>
      <c r="M961" s="15" t="s">
        <v>484</v>
      </c>
      <c r="N961" s="15" t="s">
        <v>1489</v>
      </c>
      <c r="O961" s="15">
        <v>2</v>
      </c>
      <c r="P961" s="15" t="str" cm="1">
        <f t="array" ref="P9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1" s="15" t="str" cm="1">
        <f t="array" ref="Q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canciones/kairoi/rock_de_paz.html</v>
      </c>
      <c r="S961" s="1"/>
      <c r="T961" s="1"/>
      <c r="U961" s="1"/>
      <c r="V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href="canciones/kairoi/rock_de_paz.html"&gt;Rock de paz&lt;/a&gt;&lt;/li&gt;</v>
      </c>
      <c r="W961" s="15" t="str">
        <f>_xlfn.TEXTBEFORE(_xlfn.TEXTAFTER(CantoralDB[[#This Row],[index.html]],"&gt;"),"&gt;")&amp;"&gt;"</f>
        <v>&lt;a href="canciones/kairoi/rock_de_paz.html"&gt;</v>
      </c>
    </row>
    <row r="962" spans="1:23" x14ac:dyDescent="0.3">
      <c r="A962" s="1">
        <f>ROW(CantoralDB[[#This Row],[Título]])-1</f>
        <v>961</v>
      </c>
      <c r="B962" s="1" t="s">
        <v>1489</v>
      </c>
      <c r="C962" s="1"/>
      <c r="J962" s="1"/>
      <c r="M962" s="15" t="s">
        <v>484</v>
      </c>
      <c r="N962" s="15" t="s">
        <v>1489</v>
      </c>
      <c r="O962" s="15">
        <v>3</v>
      </c>
      <c r="P962" s="15" t="str" cm="1">
        <f t="array" ref="P9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2" s="15" t="str" cm="1">
        <f t="array" ref="Q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canciones/kairoi/amigos.html</v>
      </c>
      <c r="S962" s="1"/>
      <c r="T962" s="1"/>
      <c r="U962" s="1"/>
      <c r="V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href="canciones/kairoi/amigos.html"&gt;Amigos&lt;/a&gt;&lt;/li&gt;</v>
      </c>
      <c r="W962" s="15" t="str">
        <f>_xlfn.TEXTBEFORE(_xlfn.TEXTAFTER(CantoralDB[[#This Row],[index.html]],"&gt;"),"&gt;")&amp;"&gt;"</f>
        <v>&lt;a href="canciones/kairoi/amigos.html"&gt;</v>
      </c>
    </row>
    <row r="963" spans="1:23" x14ac:dyDescent="0.3">
      <c r="A963" s="1">
        <f>ROW(CantoralDB[[#This Row],[Título]])-1</f>
        <v>962</v>
      </c>
      <c r="B963" s="1" t="s">
        <v>1616</v>
      </c>
      <c r="C963" s="1"/>
      <c r="J963" s="1"/>
      <c r="M963" s="15" t="s">
        <v>484</v>
      </c>
      <c r="N963" s="15" t="s">
        <v>1489</v>
      </c>
      <c r="O963" s="15">
        <v>4</v>
      </c>
      <c r="P963" s="15" t="str" cm="1">
        <f t="array" ref="P9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3" s="15" t="str" cm="1">
        <f t="array" ref="Q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canciones/kairoi/kua_kua_kua.html</v>
      </c>
      <c r="S963" s="1"/>
      <c r="T963" s="1"/>
      <c r="U963" s="1"/>
      <c r="V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href="canciones/kairoi/kua_kua_kua.html"&gt;Kua, kua, kua&lt;/a&gt;&lt;/li&gt;</v>
      </c>
      <c r="W963" s="15" t="str">
        <f>_xlfn.TEXTBEFORE(_xlfn.TEXTAFTER(CantoralDB[[#This Row],[index.html]],"&gt;"),"&gt;")&amp;"&gt;"</f>
        <v>&lt;a href="canciones/kairoi/kua_kua_kua.html"&gt;</v>
      </c>
    </row>
    <row r="964" spans="1:23" x14ac:dyDescent="0.3">
      <c r="A964" s="1">
        <f>ROW(CantoralDB[[#This Row],[Título]])-1</f>
        <v>963</v>
      </c>
      <c r="B964" s="1" t="s">
        <v>1617</v>
      </c>
      <c r="C964" s="1"/>
      <c r="J964" s="1"/>
      <c r="M964" s="15" t="s">
        <v>484</v>
      </c>
      <c r="N964" s="15" t="s">
        <v>1489</v>
      </c>
      <c r="O964" s="15">
        <v>5</v>
      </c>
      <c r="P964" s="15" t="str" cm="1">
        <f t="array" ref="P9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4" s="15" t="str" cm="1">
        <f t="array" ref="Q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canciones/kairoi/el_dinosaurio.html</v>
      </c>
      <c r="S964" s="1"/>
      <c r="T964" s="1"/>
      <c r="U964" s="1"/>
      <c r="V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href="canciones/kairoi/el_dinosaurio.html"&gt;El dinosaurio&lt;/a&gt;&lt;/li&gt;</v>
      </c>
      <c r="W964" s="15" t="str">
        <f>_xlfn.TEXTBEFORE(_xlfn.TEXTAFTER(CantoralDB[[#This Row],[index.html]],"&gt;"),"&gt;")&amp;"&gt;"</f>
        <v>&lt;a href="canciones/kairoi/el_dinosaurio.html"&gt;</v>
      </c>
    </row>
    <row r="965" spans="1:23" x14ac:dyDescent="0.3">
      <c r="A965" s="1">
        <f>ROW(CantoralDB[[#This Row],[Título]])-1</f>
        <v>964</v>
      </c>
      <c r="B965" s="1" t="s">
        <v>1618</v>
      </c>
      <c r="C965" s="1"/>
      <c r="J965" s="1"/>
      <c r="M965" s="15" t="s">
        <v>484</v>
      </c>
      <c r="N965" s="15" t="s">
        <v>1489</v>
      </c>
      <c r="O965" s="15">
        <v>6</v>
      </c>
      <c r="P965" s="15" t="str" cm="1">
        <f t="array" ref="P9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5" s="15" t="str" cm="1">
        <f t="array" ref="Q9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canciones/kairoi/noche_silenciosa.html</v>
      </c>
      <c r="S965" s="1"/>
      <c r="T965" s="1"/>
      <c r="U965" s="1"/>
      <c r="V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href="canciones/kairoi/noche_silenciosa.html"&gt;Noche silenciosa&lt;/a&gt;&lt;/li&gt;</v>
      </c>
      <c r="W965" s="15" t="str">
        <f>_xlfn.TEXTBEFORE(_xlfn.TEXTAFTER(CantoralDB[[#This Row],[index.html]],"&gt;"),"&gt;")&amp;"&gt;"</f>
        <v>&lt;a href="canciones/kairoi/noche_silenciosa.html"&gt;</v>
      </c>
    </row>
    <row r="966" spans="1:23" x14ac:dyDescent="0.3">
      <c r="A966" s="1">
        <f>ROW(CantoralDB[[#This Row],[Título]])-1</f>
        <v>965</v>
      </c>
      <c r="B966" s="1" t="s">
        <v>1619</v>
      </c>
      <c r="C966" s="1"/>
      <c r="J966" s="1"/>
      <c r="M966" s="15" t="s">
        <v>484</v>
      </c>
      <c r="N966" s="15" t="s">
        <v>1489</v>
      </c>
      <c r="O966" s="15">
        <v>7</v>
      </c>
      <c r="P966" s="15" t="str" cm="1">
        <f t="array" ref="P9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6" s="15" t="str" cm="1">
        <f t="array" ref="Q9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canciones/kairoi/con_los_niños.html</v>
      </c>
      <c r="S966" s="1"/>
      <c r="T966" s="1"/>
      <c r="U966" s="1"/>
      <c r="V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href="canciones/kairoi/con_los_niños.html"&gt;Con los niños&lt;/a&gt;&lt;/li&gt;</v>
      </c>
      <c r="W966" s="15" t="str">
        <f>_xlfn.TEXTBEFORE(_xlfn.TEXTAFTER(CantoralDB[[#This Row],[index.html]],"&gt;"),"&gt;")&amp;"&gt;"</f>
        <v>&lt;a href="canciones/kairoi/con_los_niños.html"&gt;</v>
      </c>
    </row>
    <row r="967" spans="1:23" x14ac:dyDescent="0.3">
      <c r="A967" s="1">
        <f>ROW(CantoralDB[[#This Row],[Título]])-1</f>
        <v>966</v>
      </c>
      <c r="B967" s="1" t="s">
        <v>1620</v>
      </c>
      <c r="C967" s="1"/>
      <c r="J967" s="1"/>
      <c r="M967" s="15" t="s">
        <v>484</v>
      </c>
      <c r="N967" s="15" t="s">
        <v>1489</v>
      </c>
      <c r="O967" s="15">
        <v>8</v>
      </c>
      <c r="P967" s="15" t="str" cm="1">
        <f t="array" ref="P9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7" s="15" t="str" cm="1">
        <f t="array" ref="Q9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canciones/kairoi/kenee_chineke_nna.html</v>
      </c>
      <c r="S967" s="1"/>
      <c r="T967" s="1"/>
      <c r="U967" s="1"/>
      <c r="V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href="canciones/kairoi/kenee_chineke_nna.html"&gt;Kenee Chineke nna&lt;/a&gt;&lt;/li&gt;</v>
      </c>
      <c r="W967" s="15" t="str">
        <f>_xlfn.TEXTBEFORE(_xlfn.TEXTAFTER(CantoralDB[[#This Row],[index.html]],"&gt;"),"&gt;")&amp;"&gt;"</f>
        <v>&lt;a href="canciones/kairoi/kenee_chineke_nna.html"&gt;</v>
      </c>
    </row>
    <row r="968" spans="1:23" x14ac:dyDescent="0.3">
      <c r="A968" s="1">
        <f>ROW(CantoralDB[[#This Row],[Título]])-1</f>
        <v>967</v>
      </c>
      <c r="B968" s="1" t="s">
        <v>1621</v>
      </c>
      <c r="C968" s="1"/>
      <c r="J968" s="1"/>
      <c r="M968" s="15" t="s">
        <v>484</v>
      </c>
      <c r="N968" s="15" t="s">
        <v>1489</v>
      </c>
      <c r="O968" s="15">
        <v>9</v>
      </c>
      <c r="P968" s="15" t="str" cm="1">
        <f t="array" ref="P9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8" s="15" t="str" cm="1">
        <f t="array" ref="Q9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canciones/kairoi/al_nacer_el_nuevo_dia.html</v>
      </c>
      <c r="S968" s="1"/>
      <c r="T968" s="1"/>
      <c r="U968" s="1"/>
      <c r="V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href="canciones/kairoi/al_nacer_el_nuevo_dia.html"&gt;Al nacer el nuevo día&lt;/a&gt;&lt;/li&gt;</v>
      </c>
      <c r="W968" s="15" t="str">
        <f>_xlfn.TEXTBEFORE(_xlfn.TEXTAFTER(CantoralDB[[#This Row],[index.html]],"&gt;"),"&gt;")&amp;"&gt;"</f>
        <v>&lt;a href="canciones/kairoi/al_nacer_el_nuevo_dia.html"&gt;</v>
      </c>
    </row>
    <row r="969" spans="1:23" x14ac:dyDescent="0.3">
      <c r="A969" s="1">
        <f>ROW(CantoralDB[[#This Row],[Título]])-1</f>
        <v>968</v>
      </c>
      <c r="B969" s="1" t="s">
        <v>1622</v>
      </c>
      <c r="C969" s="1"/>
      <c r="J969" s="1"/>
      <c r="M969" s="15" t="s">
        <v>484</v>
      </c>
      <c r="N969" s="15" t="s">
        <v>1489</v>
      </c>
      <c r="O969" s="15">
        <v>10</v>
      </c>
      <c r="P969" s="15" t="str" cm="1">
        <f t="array" ref="P9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69" s="15" t="str" cm="1">
        <f t="array" ref="Q9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canciones/kairoi/ki_ki_ki.html</v>
      </c>
      <c r="S969" s="1"/>
      <c r="T969" s="1"/>
      <c r="U969" s="1"/>
      <c r="V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href="canciones/kairoi/ki_ki_ki.html"&gt;Ki ki ki&lt;/a&gt;&lt;/li&gt;</v>
      </c>
      <c r="W969" s="15" t="str">
        <f>_xlfn.TEXTBEFORE(_xlfn.TEXTAFTER(CantoralDB[[#This Row],[index.html]],"&gt;"),"&gt;")&amp;"&gt;"</f>
        <v>&lt;a href="canciones/kairoi/ki_ki_ki.html"&gt;</v>
      </c>
    </row>
    <row r="970" spans="1:23" x14ac:dyDescent="0.3">
      <c r="A970" s="1">
        <f>ROW(CantoralDB[[#This Row],[Título]])-1</f>
        <v>969</v>
      </c>
      <c r="B970" s="1" t="s">
        <v>1623</v>
      </c>
      <c r="C970" s="1"/>
      <c r="J970" s="1"/>
      <c r="M970" s="15" t="s">
        <v>484</v>
      </c>
      <c r="N970" s="15" t="s">
        <v>1489</v>
      </c>
      <c r="O970" s="15">
        <v>11</v>
      </c>
      <c r="P970" s="15" t="str" cm="1">
        <f t="array" ref="P9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0" s="15" t="str" cm="1">
        <f t="array" ref="Q9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canciones/kairoi/al_señor_cantad.html</v>
      </c>
      <c r="S970" s="1"/>
      <c r="T970" s="1"/>
      <c r="U970" s="1"/>
      <c r="V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href="canciones/kairoi/al_señor_cantad.html"&gt;Al Señor cantad&lt;/a&gt;&lt;/li&gt;</v>
      </c>
      <c r="W970" s="15" t="str">
        <f>_xlfn.TEXTBEFORE(_xlfn.TEXTAFTER(CantoralDB[[#This Row],[index.html]],"&gt;"),"&gt;")&amp;"&gt;"</f>
        <v>&lt;a href="canciones/kairoi/al_señor_cantad.html"&gt;</v>
      </c>
    </row>
    <row r="971" spans="1:23" x14ac:dyDescent="0.3">
      <c r="A971" s="1">
        <f>ROW(CantoralDB[[#This Row],[Título]])-1</f>
        <v>970</v>
      </c>
      <c r="B971" s="1" t="s">
        <v>1624</v>
      </c>
      <c r="C971" s="1"/>
      <c r="J971" s="1"/>
      <c r="M971" s="15" t="s">
        <v>484</v>
      </c>
      <c r="N971" s="15" t="s">
        <v>1489</v>
      </c>
      <c r="O971" s="15">
        <v>12</v>
      </c>
      <c r="P971" s="15" t="str" cm="1">
        <f t="array" ref="P9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1" s="15" t="str" cm="1">
        <f t="array" ref="Q9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canciones/kairoi/xerinola.html</v>
      </c>
      <c r="S971" s="1"/>
      <c r="T971" s="1"/>
      <c r="U971" s="1"/>
      <c r="V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href="canciones/kairoi/xerinola.html"&gt;Xerinola&lt;/a&gt;&lt;/li&gt;</v>
      </c>
      <c r="W971" s="15" t="str">
        <f>_xlfn.TEXTBEFORE(_xlfn.TEXTAFTER(CantoralDB[[#This Row],[index.html]],"&gt;"),"&gt;")&amp;"&gt;"</f>
        <v>&lt;a href="canciones/kairoi/xerinola.html"&gt;</v>
      </c>
    </row>
    <row r="972" spans="1:23" x14ac:dyDescent="0.3">
      <c r="A972" s="1">
        <f>ROW(CantoralDB[[#This Row],[Título]])-1</f>
        <v>971</v>
      </c>
      <c r="B972" s="1" t="s">
        <v>1667</v>
      </c>
      <c r="C972" s="1"/>
      <c r="J972" s="1"/>
      <c r="M972" s="15" t="s">
        <v>484</v>
      </c>
      <c r="N972" s="15" t="s">
        <v>1496</v>
      </c>
      <c r="O972" s="15">
        <v>1</v>
      </c>
      <c r="P972" s="15" t="str" cm="1">
        <f t="array" ref="P9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2" s="15" t="str" cm="1">
        <f t="array" ref="Q9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canciones/kairoi/testigos_del_señor.html</v>
      </c>
      <c r="S972" s="1"/>
      <c r="T972" s="1"/>
      <c r="U972" s="1"/>
      <c r="V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href="canciones/kairoi/testigos_del_señor.html"&gt;Testigos del Señor&lt;/a&gt;&lt;/li&gt;</v>
      </c>
      <c r="W972" s="15" t="str">
        <f>_xlfn.TEXTBEFORE(_xlfn.TEXTAFTER(CantoralDB[[#This Row],[index.html]],"&gt;"),"&gt;")&amp;"&gt;"</f>
        <v>&lt;a href="canciones/kairoi/testigos_del_señor.html"&gt;</v>
      </c>
    </row>
    <row r="973" spans="1:23" x14ac:dyDescent="0.3">
      <c r="A973" s="1">
        <f>ROW(CantoralDB[[#This Row],[Título]])-1</f>
        <v>972</v>
      </c>
      <c r="B973" s="1" t="s">
        <v>1668</v>
      </c>
      <c r="C973" s="1"/>
      <c r="H973" s="1" t="s">
        <v>2967</v>
      </c>
      <c r="J973" s="1" t="s">
        <v>608</v>
      </c>
      <c r="M973" s="15" t="s">
        <v>484</v>
      </c>
      <c r="N973" s="15" t="s">
        <v>1496</v>
      </c>
      <c r="O973" s="15">
        <v>2</v>
      </c>
      <c r="P973" s="15" t="str" cm="1">
        <f t="array" ref="P9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3" s="15" t="str" cm="1">
        <f t="array" ref="Q9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canciones/kairoi/confianza_en_dios.html</v>
      </c>
      <c r="S973" s="1"/>
      <c r="T973" s="1"/>
      <c r="U973" s="1"/>
      <c r="V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href="canciones/kairoi/confianza_en_dios.html"&gt;Confianza en Dios&lt;/a&gt;&lt;/li&gt;</v>
      </c>
      <c r="W973" s="15" t="str">
        <f>_xlfn.TEXTBEFORE(_xlfn.TEXTAFTER(CantoralDB[[#This Row],[index.html]],"&gt;"),"&gt;")&amp;"&gt;"</f>
        <v>&lt;a href="canciones/kairoi/confianza_en_dios.html"&gt;</v>
      </c>
    </row>
    <row r="974" spans="1:23" x14ac:dyDescent="0.3">
      <c r="A974" s="1">
        <f>ROW(CantoralDB[[#This Row],[Título]])-1</f>
        <v>973</v>
      </c>
      <c r="B974" s="1" t="s">
        <v>1669</v>
      </c>
      <c r="C974" s="1"/>
      <c r="H974" s="1" t="s">
        <v>1029</v>
      </c>
      <c r="J974" s="1" t="s">
        <v>608</v>
      </c>
      <c r="M974" s="15" t="s">
        <v>484</v>
      </c>
      <c r="N974" s="15" t="s">
        <v>1496</v>
      </c>
      <c r="O974" s="15">
        <v>3</v>
      </c>
      <c r="P974" s="15" t="str" cm="1">
        <f t="array" ref="P9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4" s="15" t="str" cm="1">
        <f t="array" ref="Q9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canciones/kairoi/en_la_esperanza_madre.html</v>
      </c>
      <c r="S974" s="1"/>
      <c r="T974" s="1"/>
      <c r="U974" s="1"/>
      <c r="V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href="canciones/kairoi/en_la_esperanza_madre.html"&gt;En la esperanza, Madre&lt;/a&gt;&lt;/li&gt;</v>
      </c>
      <c r="W974" s="15" t="str">
        <f>_xlfn.TEXTBEFORE(_xlfn.TEXTAFTER(CantoralDB[[#This Row],[index.html]],"&gt;"),"&gt;")&amp;"&gt;"</f>
        <v>&lt;a href="canciones/kairoi/en_la_esperanza_madre.html"&gt;</v>
      </c>
    </row>
    <row r="975" spans="1:23" x14ac:dyDescent="0.3">
      <c r="A975" s="1">
        <f>ROW(CantoralDB[[#This Row],[Título]])-1</f>
        <v>974</v>
      </c>
      <c r="B975" s="1" t="s">
        <v>1670</v>
      </c>
      <c r="C975" s="1"/>
      <c r="H975" s="1" t="s">
        <v>531</v>
      </c>
      <c r="J975" s="1" t="s">
        <v>608</v>
      </c>
      <c r="M975" s="15" t="s">
        <v>484</v>
      </c>
      <c r="N975" s="15" t="s">
        <v>1496</v>
      </c>
      <c r="O975" s="15">
        <v>4</v>
      </c>
      <c r="P975" s="15" t="str" cm="1">
        <f t="array" ref="P9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5" s="15" t="str" cm="1">
        <f t="array" ref="Q9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canciones/kairoi/con_sencillo_corazon.html</v>
      </c>
      <c r="S975" s="1"/>
      <c r="T975" s="1"/>
      <c r="U975" s="1"/>
      <c r="V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href="canciones/kairoi/con_sencillo_corazon.html"&gt;Con sencillo corazón&lt;/a&gt;&lt;/li&gt;</v>
      </c>
      <c r="W975" s="15" t="str">
        <f>_xlfn.TEXTBEFORE(_xlfn.TEXTAFTER(CantoralDB[[#This Row],[index.html]],"&gt;"),"&gt;")&amp;"&gt;"</f>
        <v>&lt;a href="canciones/kairoi/con_sencillo_corazon.html"&gt;</v>
      </c>
    </row>
    <row r="976" spans="1:23" x14ac:dyDescent="0.3">
      <c r="A976" s="1">
        <f>ROW(CantoralDB[[#This Row],[Título]])-1</f>
        <v>975</v>
      </c>
      <c r="B976" s="1" t="s">
        <v>1671</v>
      </c>
      <c r="C976" s="1"/>
      <c r="H976" s="1" t="s">
        <v>1029</v>
      </c>
      <c r="J976" s="1" t="s">
        <v>608</v>
      </c>
      <c r="M976" s="15" t="s">
        <v>484</v>
      </c>
      <c r="N976" s="15" t="s">
        <v>1496</v>
      </c>
      <c r="O976" s="15">
        <v>5</v>
      </c>
      <c r="P976" s="15" t="str" cm="1">
        <f t="array" ref="P9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6" s="15" t="str" cm="1">
        <f t="array" ref="Q9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canciones/kairoi/fraternidad.html</v>
      </c>
      <c r="S976" s="1"/>
      <c r="T976" s="1"/>
      <c r="U976" s="1"/>
      <c r="V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href="canciones/kairoi/fraternidad.html"&gt;Fraternidad&lt;/a&gt;&lt;/li&gt;</v>
      </c>
      <c r="W976" s="15" t="str">
        <f>_xlfn.TEXTBEFORE(_xlfn.TEXTAFTER(CantoralDB[[#This Row],[index.html]],"&gt;"),"&gt;")&amp;"&gt;"</f>
        <v>&lt;a href="canciones/kairoi/fraternidad.html"&gt;</v>
      </c>
    </row>
    <row r="977" spans="1:23" x14ac:dyDescent="0.3">
      <c r="A977" s="1">
        <f>ROW(CantoralDB[[#This Row],[Título]])-1</f>
        <v>976</v>
      </c>
      <c r="B977" s="1" t="s">
        <v>1672</v>
      </c>
      <c r="C977" s="1"/>
      <c r="J977" s="1"/>
      <c r="M977" s="15" t="s">
        <v>484</v>
      </c>
      <c r="N977" s="15" t="s">
        <v>1496</v>
      </c>
      <c r="O977" s="15">
        <v>6</v>
      </c>
      <c r="P977" s="15" t="str" cm="1">
        <f t="array" ref="P9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7" s="15" t="str" cm="1">
        <f t="array" ref="Q9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canciones/kairoi/teresa_toda.html</v>
      </c>
      <c r="S977" s="1"/>
      <c r="T977" s="1"/>
      <c r="U977" s="1"/>
      <c r="V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href="canciones/kairoi/teresa_toda.html"&gt;Teresa Toda&lt;/a&gt;&lt;/li&gt;</v>
      </c>
      <c r="W977" s="15" t="str">
        <f>_xlfn.TEXTBEFORE(_xlfn.TEXTAFTER(CantoralDB[[#This Row],[index.html]],"&gt;"),"&gt;")&amp;"&gt;"</f>
        <v>&lt;a href="canciones/kairoi/teresa_toda.html"&gt;</v>
      </c>
    </row>
    <row r="978" spans="1:23" x14ac:dyDescent="0.3">
      <c r="A978" s="1">
        <f>ROW(CantoralDB[[#This Row],[Título]])-1</f>
        <v>977</v>
      </c>
      <c r="B978" s="1" t="s">
        <v>1673</v>
      </c>
      <c r="C978" s="1"/>
      <c r="J978" s="1"/>
      <c r="M978" s="15" t="s">
        <v>484</v>
      </c>
      <c r="N978" s="15" t="s">
        <v>1496</v>
      </c>
      <c r="O978" s="15">
        <v>7</v>
      </c>
      <c r="P978" s="15" t="str" cm="1">
        <f t="array" ref="P9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8" s="15" t="str" cm="1">
        <f t="array" ref="Q9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canciones/kairoi/pinta_de_luz.html</v>
      </c>
      <c r="S978" s="1"/>
      <c r="T978" s="1"/>
      <c r="U978" s="1"/>
      <c r="V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href="canciones/kairoi/pinta_de_luz.html"&gt;Pinta de luz&lt;/a&gt;&lt;/li&gt;</v>
      </c>
      <c r="W978" s="15" t="str">
        <f>_xlfn.TEXTBEFORE(_xlfn.TEXTAFTER(CantoralDB[[#This Row],[index.html]],"&gt;"),"&gt;")&amp;"&gt;"</f>
        <v>&lt;a href="canciones/kairoi/pinta_de_luz.html"&gt;</v>
      </c>
    </row>
    <row r="979" spans="1:23" x14ac:dyDescent="0.3">
      <c r="A979" s="1">
        <f>ROW(CantoralDB[[#This Row],[Título]])-1</f>
        <v>978</v>
      </c>
      <c r="B979" s="1" t="s">
        <v>1674</v>
      </c>
      <c r="C979" s="1"/>
      <c r="H979" s="1" t="s">
        <v>1030</v>
      </c>
      <c r="J979" s="1" t="s">
        <v>608</v>
      </c>
      <c r="M979" s="15" t="s">
        <v>484</v>
      </c>
      <c r="N979" s="15" t="s">
        <v>1496</v>
      </c>
      <c r="O979" s="15">
        <v>8</v>
      </c>
      <c r="P979" s="15" t="str" cm="1">
        <f t="array" ref="P9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79" s="15" t="str" cm="1">
        <f t="array" ref="Q9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canciones/kairoi/mantas_de_carton.html</v>
      </c>
      <c r="S979" s="1"/>
      <c r="T979" s="1"/>
      <c r="U979" s="1"/>
      <c r="V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href="canciones/kairoi/mantas_de_carton.html"&gt;Mantas de cartón&lt;/a&gt;&lt;/li&gt;</v>
      </c>
      <c r="W979" s="15" t="str">
        <f>_xlfn.TEXTBEFORE(_xlfn.TEXTAFTER(CantoralDB[[#This Row],[index.html]],"&gt;"),"&gt;")&amp;"&gt;"</f>
        <v>&lt;a href="canciones/kairoi/mantas_de_carton.html"&gt;</v>
      </c>
    </row>
    <row r="980" spans="1:23" x14ac:dyDescent="0.3">
      <c r="A980" s="1">
        <f>ROW(CantoralDB[[#This Row],[Título]])-1</f>
        <v>979</v>
      </c>
      <c r="B980" s="1" t="s">
        <v>1675</v>
      </c>
      <c r="C980" s="1"/>
      <c r="H980" s="1" t="s">
        <v>1029</v>
      </c>
      <c r="J980" s="1" t="s">
        <v>608</v>
      </c>
      <c r="M980" s="15" t="s">
        <v>484</v>
      </c>
      <c r="N980" s="15" t="s">
        <v>1496</v>
      </c>
      <c r="O980" s="15">
        <v>9</v>
      </c>
      <c r="P980" s="15" t="str" cm="1">
        <f t="array" ref="P9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0" s="15" t="str" cm="1">
        <f t="array" ref="Q9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canciones/kairoi/soñar_un_mundo_mas_feliz.html</v>
      </c>
      <c r="S980" s="1"/>
      <c r="T980" s="1"/>
      <c r="U980" s="1"/>
      <c r="V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href="canciones/kairoi/soñar_un_mundo_mas_feliz.html"&gt;Soñar un mundo más feliz&lt;/a&gt;&lt;/li&gt;</v>
      </c>
      <c r="W980" s="15" t="str">
        <f>_xlfn.TEXTBEFORE(_xlfn.TEXTAFTER(CantoralDB[[#This Row],[index.html]],"&gt;"),"&gt;")&amp;"&gt;"</f>
        <v>&lt;a href="canciones/kairoi/soñar_un_mundo_mas_feliz.html"&gt;</v>
      </c>
    </row>
    <row r="981" spans="1:23" x14ac:dyDescent="0.3">
      <c r="A981" s="1">
        <f>ROW(CantoralDB[[#This Row],[Título]])-1</f>
        <v>980</v>
      </c>
      <c r="B981" s="1" t="s">
        <v>1676</v>
      </c>
      <c r="C981" s="1"/>
      <c r="J981" s="1"/>
      <c r="M981" s="15" t="s">
        <v>484</v>
      </c>
      <c r="N981" s="15" t="s">
        <v>1496</v>
      </c>
      <c r="O981" s="15">
        <v>10</v>
      </c>
      <c r="P981" s="15" t="str" cm="1">
        <f t="array" ref="P9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1" s="15" t="str" cm="1">
        <f t="array" ref="Q9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canciones/kairoi/hacia_la_luz.html</v>
      </c>
      <c r="S981" s="1"/>
      <c r="T981" s="1"/>
      <c r="U981" s="1"/>
      <c r="V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href="canciones/kairoi/hacia_la_luz.html"&gt;Hacia la luz&lt;/a&gt;&lt;/li&gt;</v>
      </c>
      <c r="W981" s="15" t="str">
        <f>_xlfn.TEXTBEFORE(_xlfn.TEXTAFTER(CantoralDB[[#This Row],[index.html]],"&gt;"),"&gt;")&amp;"&gt;"</f>
        <v>&lt;a href="canciones/kairoi/hacia_la_luz.html"&gt;</v>
      </c>
    </row>
    <row r="982" spans="1:23" x14ac:dyDescent="0.3">
      <c r="A982" s="1">
        <f>ROW(CantoralDB[[#This Row],[Título]])-1</f>
        <v>981</v>
      </c>
      <c r="B982" s="1" t="s">
        <v>1731</v>
      </c>
      <c r="C982" s="1"/>
      <c r="J982" s="1"/>
      <c r="M982" s="15" t="s">
        <v>484</v>
      </c>
      <c r="N982" s="15" t="s">
        <v>1503</v>
      </c>
      <c r="O982" s="15">
        <v>1</v>
      </c>
      <c r="P982" s="15" t="str" cm="1">
        <f t="array" ref="P9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2" s="15" t="str" cm="1">
        <f t="array" ref="Q9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canciones/kairoi/corazones_nomadas.html</v>
      </c>
      <c r="S982" s="1"/>
      <c r="T982" s="1"/>
      <c r="U982" s="1"/>
      <c r="V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href="canciones/kairoi/corazones_nomadas.html"&gt;Corazones nómadas&lt;/a&gt;&lt;/li&gt;</v>
      </c>
      <c r="W982" s="15" t="str">
        <f>_xlfn.TEXTBEFORE(_xlfn.TEXTAFTER(CantoralDB[[#This Row],[index.html]],"&gt;"),"&gt;")&amp;"&gt;"</f>
        <v>&lt;a href="canciones/kairoi/corazones_nomadas.html"&gt;</v>
      </c>
    </row>
    <row r="983" spans="1:23" x14ac:dyDescent="0.3">
      <c r="A983" s="1">
        <f>ROW(CantoralDB[[#This Row],[Título]])-1</f>
        <v>982</v>
      </c>
      <c r="B983" s="1" t="s">
        <v>1732</v>
      </c>
      <c r="C983" s="1"/>
      <c r="J983" s="1"/>
      <c r="M983" s="15" t="s">
        <v>484</v>
      </c>
      <c r="N983" s="15" t="s">
        <v>1503</v>
      </c>
      <c r="O983" s="15">
        <v>2</v>
      </c>
      <c r="P983" s="15" t="str" cm="1">
        <f t="array" ref="P9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3" s="15" t="str" cm="1">
        <f t="array" ref="Q9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canciones/kairoi/de_la_mano.html</v>
      </c>
      <c r="S983" s="1"/>
      <c r="T983" s="1"/>
      <c r="U983" s="1"/>
      <c r="V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href="canciones/kairoi/de_la_mano.html"&gt;De la mano&lt;/a&gt;&lt;/li&gt;</v>
      </c>
      <c r="W983" s="15" t="str">
        <f>_xlfn.TEXTBEFORE(_xlfn.TEXTAFTER(CantoralDB[[#This Row],[index.html]],"&gt;"),"&gt;")&amp;"&gt;"</f>
        <v>&lt;a href="canciones/kairoi/de_la_mano.html"&gt;</v>
      </c>
    </row>
    <row r="984" spans="1:23" x14ac:dyDescent="0.3">
      <c r="A984" s="1">
        <f>ROW(CantoralDB[[#This Row],[Título]])-1</f>
        <v>983</v>
      </c>
      <c r="B984" s="1" t="s">
        <v>1733</v>
      </c>
      <c r="C984" s="1"/>
      <c r="J984" s="1"/>
      <c r="M984" s="15" t="s">
        <v>484</v>
      </c>
      <c r="N984" s="15" t="s">
        <v>1503</v>
      </c>
      <c r="O984" s="15">
        <v>3</v>
      </c>
      <c r="P984" s="15" t="str" cm="1">
        <f t="array" ref="P9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4" s="15" t="str" cm="1">
        <f t="array" ref="Q9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canciones/kairoi/plegaria.html</v>
      </c>
      <c r="S984" s="1"/>
      <c r="T984" s="1"/>
      <c r="U984" s="1"/>
      <c r="V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href="canciones/kairoi/plegaria.html"&gt;Plegaria&lt;/a&gt;&lt;/li&gt;</v>
      </c>
      <c r="W984" s="15" t="str">
        <f>_xlfn.TEXTBEFORE(_xlfn.TEXTAFTER(CantoralDB[[#This Row],[index.html]],"&gt;"),"&gt;")&amp;"&gt;"</f>
        <v>&lt;a href="canciones/kairoi/plegaria.html"&gt;</v>
      </c>
    </row>
    <row r="985" spans="1:23" x14ac:dyDescent="0.3">
      <c r="A985" s="1">
        <f>ROW(CantoralDB[[#This Row],[Título]])-1</f>
        <v>984</v>
      </c>
      <c r="B985" s="1" t="s">
        <v>1734</v>
      </c>
      <c r="C985" s="1"/>
      <c r="J985" s="1"/>
      <c r="M985" s="15" t="s">
        <v>484</v>
      </c>
      <c r="N985" s="15" t="s">
        <v>1503</v>
      </c>
      <c r="O985" s="15">
        <v>4</v>
      </c>
      <c r="P985" s="15" t="str" cm="1">
        <f t="array" ref="P9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5" s="15" t="str" cm="1">
        <f t="array" ref="Q9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canciones/kairoi/somos_iglesia.html</v>
      </c>
      <c r="S985" s="1"/>
      <c r="T985" s="1"/>
      <c r="U985" s="1"/>
      <c r="V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href="canciones/kairoi/somos_iglesia.html"&gt;Somos Iglesia&lt;/a&gt;&lt;/li&gt;</v>
      </c>
      <c r="W985" s="15" t="str">
        <f>_xlfn.TEXTBEFORE(_xlfn.TEXTAFTER(CantoralDB[[#This Row],[index.html]],"&gt;"),"&gt;")&amp;"&gt;"</f>
        <v>&lt;a href="canciones/kairoi/somos_iglesia.html"&gt;</v>
      </c>
    </row>
    <row r="986" spans="1:23" x14ac:dyDescent="0.3">
      <c r="A986" s="1">
        <f>ROW(CantoralDB[[#This Row],[Título]])-1</f>
        <v>985</v>
      </c>
      <c r="B986" s="1" t="s">
        <v>1735</v>
      </c>
      <c r="C986" s="1"/>
      <c r="J986" s="1"/>
      <c r="M986" s="15" t="s">
        <v>484</v>
      </c>
      <c r="N986" s="15" t="s">
        <v>1503</v>
      </c>
      <c r="O986" s="15">
        <v>5</v>
      </c>
      <c r="P986" s="15" t="str" cm="1">
        <f t="array" ref="P9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6" s="15" t="str" cm="1">
        <f t="array" ref="Q9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canciones/kairoi/decir_tu_nombre_maria.html</v>
      </c>
      <c r="S986" s="1"/>
      <c r="T986" s="1"/>
      <c r="U986" s="1"/>
      <c r="V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href="canciones/kairoi/decir_tu_nombre_maria.html"&gt;Decir tu nombre, María&lt;/a&gt;&lt;/li&gt;</v>
      </c>
      <c r="W986" s="15" t="str">
        <f>_xlfn.TEXTBEFORE(_xlfn.TEXTAFTER(CantoralDB[[#This Row],[index.html]],"&gt;"),"&gt;")&amp;"&gt;"</f>
        <v>&lt;a href="canciones/kairoi/decir_tu_nombre_maria.html"&gt;</v>
      </c>
    </row>
    <row r="987" spans="1:23" x14ac:dyDescent="0.3">
      <c r="A987" s="1">
        <f>ROW(CantoralDB[[#This Row],[Título]])-1</f>
        <v>986</v>
      </c>
      <c r="B987" s="1" t="s">
        <v>1736</v>
      </c>
      <c r="C987" s="1"/>
      <c r="J987" s="1"/>
      <c r="M987" s="15" t="s">
        <v>484</v>
      </c>
      <c r="N987" s="15" t="s">
        <v>1503</v>
      </c>
      <c r="O987" s="15">
        <v>6</v>
      </c>
      <c r="P987" s="15" t="str" cm="1">
        <f t="array" ref="P9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7" s="15" t="str" cm="1">
        <f t="array" ref="Q9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canciones/kairoi/rebosando_nombres.html</v>
      </c>
      <c r="S987" s="1"/>
      <c r="T987" s="1"/>
      <c r="U987" s="1"/>
      <c r="V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href="canciones/kairoi/rebosando_nombres.html"&gt;Rebosando nombres&lt;/a&gt;&lt;/li&gt;</v>
      </c>
      <c r="W987" s="15" t="str">
        <f>_xlfn.TEXTBEFORE(_xlfn.TEXTAFTER(CantoralDB[[#This Row],[index.html]],"&gt;"),"&gt;")&amp;"&gt;"</f>
        <v>&lt;a href="canciones/kairoi/rebosando_nombres.html"&gt;</v>
      </c>
    </row>
    <row r="988" spans="1:23" x14ac:dyDescent="0.3">
      <c r="A988" s="1">
        <f>ROW(CantoralDB[[#This Row],[Título]])-1</f>
        <v>987</v>
      </c>
      <c r="B988" s="1" t="s">
        <v>1737</v>
      </c>
      <c r="C988" s="1"/>
      <c r="J988" s="1"/>
      <c r="M988" s="15" t="s">
        <v>484</v>
      </c>
      <c r="N988" s="15" t="s">
        <v>1503</v>
      </c>
      <c r="O988" s="15">
        <v>7</v>
      </c>
      <c r="P988" s="15" t="str" cm="1">
        <f t="array" ref="P9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8" s="15" t="str" cm="1">
        <f t="array" ref="Q9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canciones/kairoi/perdona_que_te_lo_diga.html</v>
      </c>
      <c r="S988" s="1"/>
      <c r="T988" s="1"/>
      <c r="U988" s="1"/>
      <c r="V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href="canciones/kairoi/perdona_que_te_lo_diga.html"&gt;Perdona que te lo diga&lt;/a&gt;&lt;/li&gt;</v>
      </c>
      <c r="W988" s="15" t="str">
        <f>_xlfn.TEXTBEFORE(_xlfn.TEXTAFTER(CantoralDB[[#This Row],[index.html]],"&gt;"),"&gt;")&amp;"&gt;"</f>
        <v>&lt;a href="canciones/kairoi/perdona_que_te_lo_diga.html"&gt;</v>
      </c>
    </row>
    <row r="989" spans="1:23" x14ac:dyDescent="0.3">
      <c r="A989" s="1">
        <f>ROW(CantoralDB[[#This Row],[Título]])-1</f>
        <v>988</v>
      </c>
      <c r="B989" s="1" t="s">
        <v>1738</v>
      </c>
      <c r="C989" s="1"/>
      <c r="J989" s="1"/>
      <c r="M989" s="15" t="s">
        <v>484</v>
      </c>
      <c r="N989" s="15" t="s">
        <v>1503</v>
      </c>
      <c r="O989" s="15">
        <v>8</v>
      </c>
      <c r="P989" s="15" t="str" cm="1">
        <f t="array" ref="P9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89" s="15" t="str" cm="1">
        <f t="array" ref="Q9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canciones/kairoi/padre_del_hombre.html</v>
      </c>
      <c r="S989" s="1"/>
      <c r="T989" s="1"/>
      <c r="U989" s="1"/>
      <c r="V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href="canciones/kairoi/padre_del_hombre.html"&gt;Padre del hombre&lt;/a&gt;&lt;/li&gt;</v>
      </c>
      <c r="W989" s="15" t="str">
        <f>_xlfn.TEXTBEFORE(_xlfn.TEXTAFTER(CantoralDB[[#This Row],[index.html]],"&gt;"),"&gt;")&amp;"&gt;"</f>
        <v>&lt;a href="canciones/kairoi/padre_del_hombre.html"&gt;</v>
      </c>
    </row>
    <row r="990" spans="1:23" x14ac:dyDescent="0.3">
      <c r="A990" s="1">
        <f>ROW(CantoralDB[[#This Row],[Título]])-1</f>
        <v>989</v>
      </c>
      <c r="B990" s="1" t="s">
        <v>1739</v>
      </c>
      <c r="C990" s="1"/>
      <c r="J990" s="1"/>
      <c r="M990" s="15" t="s">
        <v>484</v>
      </c>
      <c r="N990" s="15" t="s">
        <v>1503</v>
      </c>
      <c r="O990" s="15">
        <v>9</v>
      </c>
      <c r="P990" s="15" t="str" cm="1">
        <f t="array" ref="P9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0" s="15" t="str" cm="1">
        <f t="array" ref="Q9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canciones/kairoi/marcelino.html</v>
      </c>
      <c r="S990" s="1"/>
      <c r="T990" s="1"/>
      <c r="U990" s="1"/>
      <c r="V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href="canciones/kairoi/marcelino.html"&gt;Marcelino&lt;/a&gt;&lt;/li&gt;</v>
      </c>
      <c r="W990" s="15" t="str">
        <f>_xlfn.TEXTBEFORE(_xlfn.TEXTAFTER(CantoralDB[[#This Row],[index.html]],"&gt;"),"&gt;")&amp;"&gt;"</f>
        <v>&lt;a href="canciones/kairoi/marcelino.html"&gt;</v>
      </c>
    </row>
    <row r="991" spans="1:23" x14ac:dyDescent="0.3">
      <c r="A991" s="1">
        <f>ROW(CantoralDB[[#This Row],[Título]])-1</f>
        <v>990</v>
      </c>
      <c r="B991" s="1" t="s">
        <v>1740</v>
      </c>
      <c r="C991" s="1"/>
      <c r="J991" s="1"/>
      <c r="M991" s="15" t="s">
        <v>484</v>
      </c>
      <c r="N991" s="15" t="s">
        <v>1503</v>
      </c>
      <c r="O991" s="15">
        <v>10</v>
      </c>
      <c r="P991" s="15" t="str" cm="1">
        <f t="array" ref="P9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1" s="15" t="str" cm="1">
        <f t="array" ref="Q9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canciones/kairoi/siento_tu_dolor.html</v>
      </c>
      <c r="S991" s="1"/>
      <c r="T991" s="1"/>
      <c r="U991" s="1"/>
      <c r="V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href="canciones/kairoi/siento_tu_dolor.html"&gt;Siento tu dolor&lt;/a&gt;&lt;/li&gt;</v>
      </c>
      <c r="W991" s="15" t="str">
        <f>_xlfn.TEXTBEFORE(_xlfn.TEXTAFTER(CantoralDB[[#This Row],[index.html]],"&gt;"),"&gt;")&amp;"&gt;"</f>
        <v>&lt;a href="canciones/kairoi/siento_tu_dolor.html"&gt;</v>
      </c>
    </row>
    <row r="992" spans="1:23" x14ac:dyDescent="0.3">
      <c r="A992" s="1">
        <f>ROW(CantoralDB[[#This Row],[Título]])-1</f>
        <v>991</v>
      </c>
      <c r="B992" s="1" t="s">
        <v>1741</v>
      </c>
      <c r="C992" s="1"/>
      <c r="J992" s="1"/>
      <c r="M992" s="15" t="s">
        <v>484</v>
      </c>
      <c r="N992" s="15" t="s">
        <v>1503</v>
      </c>
      <c r="O992" s="15">
        <v>11</v>
      </c>
      <c r="P992" s="15" t="str" cm="1">
        <f t="array" ref="P9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2" s="15" t="str" cm="1">
        <f t="array" ref="Q9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canciones/kairoi/si_yo_cambiara.html</v>
      </c>
      <c r="S992" s="1"/>
      <c r="T992" s="1"/>
      <c r="U992" s="1"/>
      <c r="V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href="canciones/kairoi/si_yo_cambiara.html"&gt;Si yo cambiara&lt;/a&gt;&lt;/li&gt;</v>
      </c>
      <c r="W992" s="15" t="str">
        <f>_xlfn.TEXTBEFORE(_xlfn.TEXTAFTER(CantoralDB[[#This Row],[index.html]],"&gt;"),"&gt;")&amp;"&gt;"</f>
        <v>&lt;a href="canciones/kairoi/si_yo_cambiara.html"&gt;</v>
      </c>
    </row>
    <row r="993" spans="1:23" x14ac:dyDescent="0.3">
      <c r="A993" s="1">
        <f>ROW(CantoralDB[[#This Row],[Título]])-1</f>
        <v>992</v>
      </c>
      <c r="B993" s="1" t="s">
        <v>1742</v>
      </c>
      <c r="C993" s="1"/>
      <c r="J993" s="1"/>
      <c r="M993" s="15" t="s">
        <v>484</v>
      </c>
      <c r="N993" s="15" t="s">
        <v>1503</v>
      </c>
      <c r="O993" s="15">
        <v>12</v>
      </c>
      <c r="P993" s="15" t="str" cm="1">
        <f t="array" ref="P9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3" s="15" t="str" cm="1">
        <f t="array" ref="Q9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canciones/kairoi/no_pasa_na.html</v>
      </c>
      <c r="S993" s="1"/>
      <c r="T993" s="1"/>
      <c r="U993" s="1"/>
      <c r="V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href="canciones/kairoi/no_pasa_na.html"&gt;No pasa ná&lt;/a&gt;&lt;/li&gt;</v>
      </c>
      <c r="W993" s="15" t="str">
        <f>_xlfn.TEXTBEFORE(_xlfn.TEXTAFTER(CantoralDB[[#This Row],[index.html]],"&gt;"),"&gt;")&amp;"&gt;"</f>
        <v>&lt;a href="canciones/kairoi/no_pasa_na.html"&gt;</v>
      </c>
    </row>
    <row r="994" spans="1:23" x14ac:dyDescent="0.3">
      <c r="A994" s="1">
        <f>ROW(CantoralDB[[#This Row],[Título]])-1</f>
        <v>993</v>
      </c>
      <c r="B994" s="1" t="s">
        <v>1718</v>
      </c>
      <c r="C994" s="1"/>
      <c r="J994" s="1"/>
      <c r="M994" s="15" t="s">
        <v>484</v>
      </c>
      <c r="N994" s="15" t="s">
        <v>1502</v>
      </c>
      <c r="O994" s="15">
        <v>1</v>
      </c>
      <c r="P994" s="15" t="str" cm="1">
        <f t="array" ref="P9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4" s="15" t="str" cm="1">
        <f t="array" ref="Q9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canciones/kairoi/mundo_de_ensueño.html</v>
      </c>
      <c r="S994" s="1"/>
      <c r="T994" s="1"/>
      <c r="U994" s="1"/>
      <c r="V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href="canciones/kairoi/mundo_de_ensueño.html"&gt;Mundo de ensueño&lt;/a&gt;&lt;/li&gt;</v>
      </c>
      <c r="W994" s="15" t="str">
        <f>_xlfn.TEXTBEFORE(_xlfn.TEXTAFTER(CantoralDB[[#This Row],[index.html]],"&gt;"),"&gt;")&amp;"&gt;"</f>
        <v>&lt;a href="canciones/kairoi/mundo_de_ensueño.html"&gt;</v>
      </c>
    </row>
    <row r="995" spans="1:23" x14ac:dyDescent="0.3">
      <c r="A995" s="1">
        <f>ROW(CantoralDB[[#This Row],[Título]])-1</f>
        <v>994</v>
      </c>
      <c r="B995" s="1" t="s">
        <v>1719</v>
      </c>
      <c r="C995" s="1"/>
      <c r="J995" s="1"/>
      <c r="M995" s="15" t="s">
        <v>484</v>
      </c>
      <c r="N995" s="15" t="s">
        <v>1502</v>
      </c>
      <c r="O995" s="15">
        <v>2</v>
      </c>
      <c r="P995" s="15" t="str" cm="1">
        <f t="array" ref="P9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5" s="15" t="str" cm="1">
        <f t="array" ref="Q9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canciones/kairoi/tras_el_cristal.html</v>
      </c>
      <c r="S995" s="1"/>
      <c r="T995" s="1"/>
      <c r="U995" s="1"/>
      <c r="V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href="canciones/kairoi/tras_el_cristal.html"&gt;Tras el cristal&lt;/a&gt;&lt;/li&gt;</v>
      </c>
      <c r="W995" s="15" t="str">
        <f>_xlfn.TEXTBEFORE(_xlfn.TEXTAFTER(CantoralDB[[#This Row],[index.html]],"&gt;"),"&gt;")&amp;"&gt;"</f>
        <v>&lt;a href="canciones/kairoi/tras_el_cristal.html"&gt;</v>
      </c>
    </row>
    <row r="996" spans="1:23" x14ac:dyDescent="0.3">
      <c r="A996" s="1">
        <f>ROW(CantoralDB[[#This Row],[Título]])-1</f>
        <v>995</v>
      </c>
      <c r="B996" s="1" t="s">
        <v>1720</v>
      </c>
      <c r="C996" s="1"/>
      <c r="J996" s="1"/>
      <c r="M996" s="15" t="s">
        <v>484</v>
      </c>
      <c r="N996" s="15" t="s">
        <v>1502</v>
      </c>
      <c r="O996" s="15">
        <v>3</v>
      </c>
      <c r="P996" s="15" t="str" cm="1">
        <f t="array" ref="P9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6" s="15" t="str" cm="1">
        <f t="array" ref="Q9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canciones/kairoi/carta_a_un_general.html</v>
      </c>
      <c r="S996" s="1"/>
      <c r="T996" s="1"/>
      <c r="U996" s="1"/>
      <c r="V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href="canciones/kairoi/carta_a_un_general.html"&gt;Carta a un general&lt;/a&gt;&lt;/li&gt;</v>
      </c>
      <c r="W996" s="15" t="str">
        <f>_xlfn.TEXTBEFORE(_xlfn.TEXTAFTER(CantoralDB[[#This Row],[index.html]],"&gt;"),"&gt;")&amp;"&gt;"</f>
        <v>&lt;a href="canciones/kairoi/carta_a_un_general.html"&gt;</v>
      </c>
    </row>
    <row r="997" spans="1:23" x14ac:dyDescent="0.3">
      <c r="A997" s="1">
        <f>ROW(CantoralDB[[#This Row],[Título]])-1</f>
        <v>996</v>
      </c>
      <c r="B997" s="1" t="s">
        <v>1721</v>
      </c>
      <c r="C997" s="1"/>
      <c r="J997" s="1"/>
      <c r="M997" s="15" t="s">
        <v>484</v>
      </c>
      <c r="N997" s="15" t="s">
        <v>1502</v>
      </c>
      <c r="O997" s="15">
        <v>4</v>
      </c>
      <c r="P997" s="15" t="str" cm="1">
        <f t="array" ref="P9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7" s="15" t="str" cm="1">
        <f t="array" ref="Q9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canciones/kairoi/un_gesto.html</v>
      </c>
      <c r="S997" s="1"/>
      <c r="T997" s="1"/>
      <c r="U997" s="1"/>
      <c r="V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href="canciones/kairoi/un_gesto.html"&gt;Un gesto&lt;/a&gt;&lt;/li&gt;</v>
      </c>
      <c r="W997" s="15" t="str">
        <f>_xlfn.TEXTBEFORE(_xlfn.TEXTAFTER(CantoralDB[[#This Row],[index.html]],"&gt;"),"&gt;")&amp;"&gt;"</f>
        <v>&lt;a href="canciones/kairoi/un_gesto.html"&gt;</v>
      </c>
    </row>
    <row r="998" spans="1:23" x14ac:dyDescent="0.3">
      <c r="A998" s="1">
        <f>ROW(CantoralDB[[#This Row],[Título]])-1</f>
        <v>997</v>
      </c>
      <c r="B998" s="1" t="s">
        <v>1722</v>
      </c>
      <c r="C998" s="1"/>
      <c r="J998" s="1"/>
      <c r="M998" s="15" t="s">
        <v>484</v>
      </c>
      <c r="N998" s="15" t="s">
        <v>1502</v>
      </c>
      <c r="O998" s="15">
        <v>5</v>
      </c>
      <c r="P998" s="15" t="str" cm="1">
        <f t="array" ref="P9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8" s="15" t="str" cm="1">
        <f t="array" ref="Q9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canciones/kairoi/angel.html</v>
      </c>
      <c r="S998" s="1"/>
      <c r="T998" s="1"/>
      <c r="U998" s="1"/>
      <c r="V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href="canciones/kairoi/angel.html"&gt;Ángel&lt;/a&gt;&lt;/li&gt;</v>
      </c>
      <c r="W998" s="15" t="str">
        <f>_xlfn.TEXTBEFORE(_xlfn.TEXTAFTER(CantoralDB[[#This Row],[index.html]],"&gt;"),"&gt;")&amp;"&gt;"</f>
        <v>&lt;a href="canciones/kairoi/angel.html"&gt;</v>
      </c>
    </row>
    <row r="999" spans="1:23" x14ac:dyDescent="0.3">
      <c r="A999" s="1">
        <f>ROW(CantoralDB[[#This Row],[Título]])-1</f>
        <v>998</v>
      </c>
      <c r="B999" s="1" t="s">
        <v>1723</v>
      </c>
      <c r="C999" s="1"/>
      <c r="J999" s="1"/>
      <c r="M999" s="15" t="s">
        <v>484</v>
      </c>
      <c r="N999" s="15" t="s">
        <v>1502</v>
      </c>
      <c r="O999" s="15">
        <v>6</v>
      </c>
      <c r="P999" s="15" t="str" cm="1">
        <f t="array" ref="P9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999" s="15" t="str" cm="1">
        <f t="array" ref="Q9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9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canciones/kairoi/scaramouche.html</v>
      </c>
      <c r="S999" s="1"/>
      <c r="T999" s="1"/>
      <c r="U999" s="1"/>
      <c r="V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href="canciones/kairoi/scaramouche.html"&gt;Scaramouche&lt;/a&gt;&lt;/li&gt;</v>
      </c>
      <c r="W999" s="15" t="str">
        <f>_xlfn.TEXTBEFORE(_xlfn.TEXTAFTER(CantoralDB[[#This Row],[index.html]],"&gt;"),"&gt;")&amp;"&gt;"</f>
        <v>&lt;a href="canciones/kairoi/scaramouche.html"&gt;</v>
      </c>
    </row>
    <row r="1000" spans="1:23" x14ac:dyDescent="0.3">
      <c r="A1000" s="1">
        <f>ROW(CantoralDB[[#This Row],[Título]])-1</f>
        <v>999</v>
      </c>
      <c r="B1000" s="1" t="s">
        <v>1725</v>
      </c>
      <c r="C1000" s="1"/>
      <c r="J1000" s="1"/>
      <c r="M1000" s="15" t="s">
        <v>484</v>
      </c>
      <c r="N1000" s="15" t="s">
        <v>1502</v>
      </c>
      <c r="O1000" s="15">
        <v>8</v>
      </c>
      <c r="P1000" s="15" t="str" cm="1">
        <f t="array" ref="P10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0" s="15" t="str" cm="1">
        <f t="array" ref="Q10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canciones/kairoi/en_que_mundo_vives.html</v>
      </c>
      <c r="S1000" s="1"/>
      <c r="T1000" s="1"/>
      <c r="U1000" s="1"/>
      <c r="V1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href="canciones/kairoi/en_que_mundo_vives.html"&gt;En qué mundo vives&lt;/a&gt;&lt;/li&gt;</v>
      </c>
      <c r="W1000" s="15" t="str">
        <f>_xlfn.TEXTBEFORE(_xlfn.TEXTAFTER(CantoralDB[[#This Row],[index.html]],"&gt;"),"&gt;")&amp;"&gt;"</f>
        <v>&lt;a href="canciones/kairoi/en_que_mundo_vives.html"&gt;</v>
      </c>
    </row>
    <row r="1001" spans="1:23" x14ac:dyDescent="0.3">
      <c r="A1001" s="1">
        <f>ROW(CantoralDB[[#This Row],[Título]])-1</f>
        <v>1000</v>
      </c>
      <c r="B1001" s="1" t="s">
        <v>1726</v>
      </c>
      <c r="C1001" s="1"/>
      <c r="J1001" s="1"/>
      <c r="M1001" s="15" t="s">
        <v>484</v>
      </c>
      <c r="N1001" s="15" t="s">
        <v>1502</v>
      </c>
      <c r="O1001" s="15">
        <v>9</v>
      </c>
      <c r="P1001" s="15" t="str" cm="1">
        <f t="array" ref="P10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1" s="15" t="str" cm="1">
        <f t="array" ref="Q10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canciones/kairoi/una_iglesia_de_excluidos.html</v>
      </c>
      <c r="S1001" s="1"/>
      <c r="T1001" s="1"/>
      <c r="U1001" s="1"/>
      <c r="V1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href="canciones/kairoi/una_iglesia_de_excluidos.html"&gt;Una iglesia de excluidos&lt;/a&gt;&lt;/li&gt;</v>
      </c>
      <c r="W1001" s="15" t="str">
        <f>_xlfn.TEXTBEFORE(_xlfn.TEXTAFTER(CantoralDB[[#This Row],[index.html]],"&gt;"),"&gt;")&amp;"&gt;"</f>
        <v>&lt;a href="canciones/kairoi/una_iglesia_de_excluidos.html"&gt;</v>
      </c>
    </row>
    <row r="1002" spans="1:23" x14ac:dyDescent="0.3">
      <c r="A1002" s="1">
        <f>ROW(CantoralDB[[#This Row],[Título]])-1</f>
        <v>1001</v>
      </c>
      <c r="B1002" s="1" t="s">
        <v>1727</v>
      </c>
      <c r="C1002" s="1"/>
      <c r="J1002" s="1"/>
      <c r="M1002" s="15" t="s">
        <v>484</v>
      </c>
      <c r="N1002" s="15" t="s">
        <v>1502</v>
      </c>
      <c r="O1002" s="15">
        <v>10</v>
      </c>
      <c r="P1002" s="15" t="str" cm="1">
        <f t="array" ref="P10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2" s="15" t="str" cm="1">
        <f t="array" ref="Q10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canciones/kairoi/un_dios_que_huele.html</v>
      </c>
      <c r="S1002" s="1"/>
      <c r="T1002" s="1"/>
      <c r="U1002" s="1"/>
      <c r="V1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href="canciones/kairoi/un_dios_que_huele.html"&gt;Un Dios que huele&lt;/a&gt;&lt;/li&gt;</v>
      </c>
      <c r="W1002" s="15" t="str">
        <f>_xlfn.TEXTBEFORE(_xlfn.TEXTAFTER(CantoralDB[[#This Row],[index.html]],"&gt;"),"&gt;")&amp;"&gt;"</f>
        <v>&lt;a href="canciones/kairoi/un_dios_que_huele.html"&gt;</v>
      </c>
    </row>
    <row r="1003" spans="1:23" x14ac:dyDescent="0.3">
      <c r="A1003" s="1">
        <f>ROW(CantoralDB[[#This Row],[Título]])-1</f>
        <v>1002</v>
      </c>
      <c r="B1003" s="1" t="s">
        <v>1728</v>
      </c>
      <c r="C1003" s="1"/>
      <c r="J1003" s="1"/>
      <c r="M1003" s="15" t="s">
        <v>484</v>
      </c>
      <c r="N1003" s="15" t="s">
        <v>1502</v>
      </c>
      <c r="O1003" s="15">
        <v>11</v>
      </c>
      <c r="P1003" s="15" t="str" cm="1">
        <f t="array" ref="P10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3" s="15" t="str" cm="1">
        <f t="array" ref="Q10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canciones/kairoi/a_su_imagen_y_semejanza.html</v>
      </c>
      <c r="S1003" s="1"/>
      <c r="T1003" s="1"/>
      <c r="U1003" s="1"/>
      <c r="V1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href="canciones/kairoi/a_su_imagen_y_semejanza.html"&gt;A su imagen y semejanza&lt;/a&gt;&lt;/li&gt;</v>
      </c>
      <c r="W1003" s="15" t="str">
        <f>_xlfn.TEXTBEFORE(_xlfn.TEXTAFTER(CantoralDB[[#This Row],[index.html]],"&gt;"),"&gt;")&amp;"&gt;"</f>
        <v>&lt;a href="canciones/kairoi/a_su_imagen_y_semejanza.html"&gt;</v>
      </c>
    </row>
    <row r="1004" spans="1:23" x14ac:dyDescent="0.3">
      <c r="A1004" s="1">
        <f>ROW(CantoralDB[[#This Row],[Título]])-1</f>
        <v>1003</v>
      </c>
      <c r="B1004" s="1" t="s">
        <v>1729</v>
      </c>
      <c r="C1004" s="1"/>
      <c r="J1004" s="1"/>
      <c r="M1004" s="15" t="s">
        <v>484</v>
      </c>
      <c r="N1004" s="15" t="s">
        <v>1502</v>
      </c>
      <c r="O1004" s="15">
        <v>12</v>
      </c>
      <c r="P1004" s="15" t="str" cm="1">
        <f t="array" ref="P10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4" s="15" t="str" cm="1">
        <f t="array" ref="Q10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canciones/kairoi/ante_el_espejo.html</v>
      </c>
      <c r="S1004" s="1"/>
      <c r="T1004" s="1"/>
      <c r="U1004" s="1"/>
      <c r="V1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href="canciones/kairoi/ante_el_espejo.html"&gt;Ante el espejo&lt;/a&gt;&lt;/li&gt;</v>
      </c>
      <c r="W1004" s="15" t="str">
        <f>_xlfn.TEXTBEFORE(_xlfn.TEXTAFTER(CantoralDB[[#This Row],[index.html]],"&gt;"),"&gt;")&amp;"&gt;"</f>
        <v>&lt;a href="canciones/kairoi/ante_el_espejo.html"&gt;</v>
      </c>
    </row>
    <row r="1005" spans="1:23" x14ac:dyDescent="0.3">
      <c r="A1005" s="1">
        <f>ROW(CantoralDB[[#This Row],[Título]])-1</f>
        <v>1004</v>
      </c>
      <c r="B1005" s="1" t="s">
        <v>1730</v>
      </c>
      <c r="C1005" s="1"/>
      <c r="J1005" s="1"/>
      <c r="M1005" s="15" t="s">
        <v>484</v>
      </c>
      <c r="N1005" s="15" t="s">
        <v>1502</v>
      </c>
      <c r="O1005" s="15">
        <v>13</v>
      </c>
      <c r="P1005" s="15" t="str" cm="1">
        <f t="array" ref="P10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5" s="15" t="str" cm="1">
        <f t="array" ref="Q10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canciones/kairoi/angel_remix.html</v>
      </c>
      <c r="S1005" s="1"/>
      <c r="T1005" s="1"/>
      <c r="U1005" s="1"/>
      <c r="V1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href="canciones/kairoi/angel_remix.html"&gt;Angel Remix&lt;/a&gt;&lt;/li&gt;</v>
      </c>
      <c r="W1005" s="15" t="str">
        <f>_xlfn.TEXTBEFORE(_xlfn.TEXTAFTER(CantoralDB[[#This Row],[index.html]],"&gt;"),"&gt;")&amp;"&gt;"</f>
        <v>&lt;a href="canciones/kairoi/angel_remix.html"&gt;</v>
      </c>
    </row>
    <row r="1006" spans="1:23" x14ac:dyDescent="0.3">
      <c r="A1006" s="1">
        <f>ROW(CantoralDB[[#This Row],[Título]])-1</f>
        <v>1005</v>
      </c>
      <c r="B1006" s="1" t="s">
        <v>1908</v>
      </c>
      <c r="C1006" s="1"/>
      <c r="H1006" s="1" t="s">
        <v>473</v>
      </c>
      <c r="J1006" s="1" t="s">
        <v>608</v>
      </c>
      <c r="M1006" s="15" t="s">
        <v>484</v>
      </c>
      <c r="N1006" s="15" t="s">
        <v>1495</v>
      </c>
      <c r="O1006" s="15">
        <v>1</v>
      </c>
      <c r="P1006" s="15" t="str" cm="1">
        <f t="array" ref="P10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6" s="15" t="str" cm="1">
        <f t="array" ref="Q10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canciones/kairoi/somos_cancion.html</v>
      </c>
      <c r="S1006" s="1"/>
      <c r="T1006" s="1"/>
      <c r="U1006" s="1"/>
      <c r="V1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href="canciones/kairoi/somos_cancion.html"&gt;Somos canción&lt;/a&gt;&lt;/li&gt;</v>
      </c>
      <c r="W1006" s="15" t="str">
        <f>_xlfn.TEXTBEFORE(_xlfn.TEXTAFTER(CantoralDB[[#This Row],[index.html]],"&gt;"),"&gt;")&amp;"&gt;"</f>
        <v>&lt;a href="canciones/kairoi/somos_cancion.html"&gt;</v>
      </c>
    </row>
    <row r="1007" spans="1:23" x14ac:dyDescent="0.3">
      <c r="A1007" s="1">
        <f>ROW(CantoralDB[[#This Row],[Título]])-1</f>
        <v>1006</v>
      </c>
      <c r="B1007" s="1" t="s">
        <v>2028</v>
      </c>
      <c r="C1007" s="1"/>
      <c r="H1007" s="1" t="s">
        <v>531</v>
      </c>
      <c r="J1007" s="1" t="s">
        <v>608</v>
      </c>
      <c r="M1007" s="15" t="s">
        <v>484</v>
      </c>
      <c r="N1007" s="15" t="s">
        <v>1495</v>
      </c>
      <c r="O1007" s="15">
        <v>2</v>
      </c>
      <c r="P1007" s="15" t="str" cm="1">
        <f t="array" ref="P10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7" s="15" t="str" cm="1">
        <f t="array" ref="Q10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canciones/kairoi/ten_piedad_de_mi.html</v>
      </c>
      <c r="S1007" s="1"/>
      <c r="T1007" s="1"/>
      <c r="U1007" s="1"/>
      <c r="V1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href="canciones/kairoi/ten_piedad_de_mi.html"&gt;Ten piedad de mí&lt;/a&gt;&lt;/li&gt;</v>
      </c>
      <c r="W1007" s="15" t="str">
        <f>_xlfn.TEXTBEFORE(_xlfn.TEXTAFTER(CantoralDB[[#This Row],[index.html]],"&gt;"),"&gt;")&amp;"&gt;"</f>
        <v>&lt;a href="canciones/kairoi/ten_piedad_de_mi.html"&gt;</v>
      </c>
    </row>
    <row r="1008" spans="1:23" x14ac:dyDescent="0.3">
      <c r="A1008" s="1">
        <f>ROW(CantoralDB[[#This Row],[Título]])-1</f>
        <v>1007</v>
      </c>
      <c r="B1008" s="1" t="s">
        <v>193</v>
      </c>
      <c r="C1008" s="1"/>
      <c r="H1008" s="1" t="s">
        <v>1029</v>
      </c>
      <c r="J1008" s="1" t="s">
        <v>608</v>
      </c>
      <c r="M1008" s="15" t="s">
        <v>484</v>
      </c>
      <c r="N1008" s="15" t="s">
        <v>1495</v>
      </c>
      <c r="O1008" s="15">
        <v>3</v>
      </c>
      <c r="P1008" s="15" t="str" cm="1">
        <f t="array" ref="P10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8" s="15" t="str" cm="1">
        <f t="array" ref="Q10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canciones/kairoi/gloria.html</v>
      </c>
      <c r="S1008" s="1"/>
      <c r="T1008" s="1"/>
      <c r="U1008" s="1"/>
      <c r="V1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href="canciones/kairoi/gloria.html"&gt;Gloria&lt;/a&gt;&lt;/li&gt;</v>
      </c>
      <c r="W1008" s="15" t="str">
        <f>_xlfn.TEXTBEFORE(_xlfn.TEXTAFTER(CantoralDB[[#This Row],[index.html]],"&gt;"),"&gt;")&amp;"&gt;"</f>
        <v>&lt;a href="canciones/kairoi/gloria.html"&gt;</v>
      </c>
    </row>
    <row r="1009" spans="1:23" x14ac:dyDescent="0.3">
      <c r="A1009" s="1">
        <f>ROW(CantoralDB[[#This Row],[Título]])-1</f>
        <v>1008</v>
      </c>
      <c r="B1009" s="1" t="s">
        <v>1663</v>
      </c>
      <c r="C1009" s="1"/>
      <c r="J1009" s="1"/>
      <c r="M1009" s="15" t="s">
        <v>484</v>
      </c>
      <c r="N1009" s="15" t="s">
        <v>1495</v>
      </c>
      <c r="O1009" s="15">
        <v>4</v>
      </c>
      <c r="P1009" s="15" t="str" cm="1">
        <f t="array" ref="P10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09" s="15" t="str" cm="1">
        <f t="array" ref="Q10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canciones/kairoi/salmo.html</v>
      </c>
      <c r="S1009" s="1"/>
      <c r="T1009" s="1"/>
      <c r="U1009" s="1"/>
      <c r="V1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href="canciones/kairoi/salmo.html"&gt;Salmo&lt;/a&gt;&lt;/li&gt;</v>
      </c>
      <c r="W1009" s="15" t="str">
        <f>_xlfn.TEXTBEFORE(_xlfn.TEXTAFTER(CantoralDB[[#This Row],[index.html]],"&gt;"),"&gt;")&amp;"&gt;"</f>
        <v>&lt;a href="canciones/kairoi/salmo.html"&gt;</v>
      </c>
    </row>
    <row r="1010" spans="1:23" x14ac:dyDescent="0.3">
      <c r="A1010" s="1">
        <f>ROW(CantoralDB[[#This Row],[Título]])-1</f>
        <v>1009</v>
      </c>
      <c r="B1010" s="1" t="s">
        <v>194</v>
      </c>
      <c r="C1010" s="1"/>
      <c r="H1010" s="1" t="s">
        <v>1029</v>
      </c>
      <c r="J1010" s="1" t="s">
        <v>608</v>
      </c>
      <c r="M1010" s="15" t="s">
        <v>484</v>
      </c>
      <c r="N1010" s="15" t="s">
        <v>1495</v>
      </c>
      <c r="O1010" s="15">
        <v>5</v>
      </c>
      <c r="P1010" s="15" t="str" cm="1">
        <f t="array" ref="P10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0" s="15" t="str" cm="1">
        <f t="array" ref="Q10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canciones/kairoi/aleluya.html</v>
      </c>
      <c r="S1010" s="1"/>
      <c r="T1010" s="1"/>
      <c r="U1010" s="1"/>
      <c r="V1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href="canciones/kairoi/aleluya.html"&gt;Aleluya&lt;/a&gt;&lt;/li&gt;</v>
      </c>
      <c r="W1010" s="15" t="str">
        <f>_xlfn.TEXTBEFORE(_xlfn.TEXTAFTER(CantoralDB[[#This Row],[index.html]],"&gt;"),"&gt;")&amp;"&gt;"</f>
        <v>&lt;a href="canciones/kairoi/aleluya.html"&gt;</v>
      </c>
    </row>
    <row r="1011" spans="1:23" x14ac:dyDescent="0.3">
      <c r="A1011" s="1">
        <f>ROW(CantoralDB[[#This Row],[Título]])-1</f>
        <v>1010</v>
      </c>
      <c r="B1011" s="1" t="s">
        <v>1915</v>
      </c>
      <c r="C1011" s="1"/>
      <c r="H1011" s="1" t="s">
        <v>1030</v>
      </c>
      <c r="J1011" s="1" t="s">
        <v>608</v>
      </c>
      <c r="M1011" s="15" t="s">
        <v>484</v>
      </c>
      <c r="N1011" s="15" t="s">
        <v>1495</v>
      </c>
      <c r="O1011" s="15">
        <v>6</v>
      </c>
      <c r="P1011" s="15" t="str" cm="1">
        <f t="array" ref="P10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1" s="15" t="str" cm="1">
        <f t="array" ref="Q10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canciones/kairoi/estoy_creyendo_en_ti_(credo).html</v>
      </c>
      <c r="S1011" s="1"/>
      <c r="T1011" s="1"/>
      <c r="U1011" s="1"/>
      <c r="V1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href="canciones/kairoi/estoy_creyendo_en_ti_(credo).html"&gt;Estoy creyendo en ti (credo)&lt;/a&gt;&lt;/li&gt;</v>
      </c>
      <c r="W1011" s="15" t="str">
        <f>_xlfn.TEXTBEFORE(_xlfn.TEXTAFTER(CantoralDB[[#This Row],[index.html]],"&gt;"),"&gt;")&amp;"&gt;"</f>
        <v>&lt;a href="canciones/kairoi/estoy_creyendo_en_ti_(credo).html"&gt;</v>
      </c>
    </row>
    <row r="1012" spans="1:23" x14ac:dyDescent="0.3">
      <c r="A1012" s="1">
        <f>ROW(CantoralDB[[#This Row],[Título]])-1</f>
        <v>1011</v>
      </c>
      <c r="B1012" s="1" t="s">
        <v>196</v>
      </c>
      <c r="C1012" s="1"/>
      <c r="J1012" s="1"/>
      <c r="M1012" s="15" t="s">
        <v>484</v>
      </c>
      <c r="N1012" s="15" t="s">
        <v>1495</v>
      </c>
      <c r="O1012" s="15">
        <v>8</v>
      </c>
      <c r="P1012" s="15" t="str" cm="1">
        <f t="array" ref="P10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2" s="15" t="str" cm="1">
        <f t="array" ref="Q10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canciones/kairoi/santo.html</v>
      </c>
      <c r="S1012" s="1"/>
      <c r="T1012" s="1"/>
      <c r="U1012" s="1"/>
      <c r="V1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href="canciones/kairoi/santo.html"&gt;Santo&lt;/a&gt;&lt;/li&gt;</v>
      </c>
      <c r="W1012" s="15" t="str">
        <f>_xlfn.TEXTBEFORE(_xlfn.TEXTAFTER(CantoralDB[[#This Row],[index.html]],"&gt;"),"&gt;")&amp;"&gt;"</f>
        <v>&lt;a href="canciones/kairoi/santo.html"&gt;</v>
      </c>
    </row>
    <row r="1013" spans="1:23" x14ac:dyDescent="0.3">
      <c r="A1013" s="1">
        <f>ROW(CantoralDB[[#This Row],[Título]])-1</f>
        <v>1012</v>
      </c>
      <c r="B1013" s="1" t="s">
        <v>1916</v>
      </c>
      <c r="C1013" s="1"/>
      <c r="H1013" s="1" t="s">
        <v>1030</v>
      </c>
      <c r="J1013" s="1" t="s">
        <v>608</v>
      </c>
      <c r="M1013" s="15" t="s">
        <v>484</v>
      </c>
      <c r="N1013" s="15" t="s">
        <v>1495</v>
      </c>
      <c r="O1013" s="15">
        <v>8</v>
      </c>
      <c r="P1013" s="15" t="str" cm="1">
        <f t="array" ref="P10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3" s="15" t="str" cm="1">
        <f t="array" ref="Q10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canciones/kairoi/conviviendo_en_armonia.html</v>
      </c>
      <c r="S1013" s="1"/>
      <c r="T1013" s="1"/>
      <c r="U1013" s="1"/>
      <c r="V1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href="canciones/kairoi/conviviendo_en_armonia.html"&gt;Conviviendo en armonía&lt;/a&gt;&lt;/li&gt;</v>
      </c>
      <c r="W1013" s="15" t="str">
        <f>_xlfn.TEXTBEFORE(_xlfn.TEXTAFTER(CantoralDB[[#This Row],[index.html]],"&gt;"),"&gt;")&amp;"&gt;"</f>
        <v>&lt;a href="canciones/kairoi/conviviendo_en_armonia.html"&gt;</v>
      </c>
    </row>
    <row r="1014" spans="1:23" x14ac:dyDescent="0.3">
      <c r="A1014" s="1">
        <f>ROW(CantoralDB[[#This Row],[Título]])-1</f>
        <v>1013</v>
      </c>
      <c r="B1014" s="1" t="s">
        <v>1665</v>
      </c>
      <c r="C1014" s="1"/>
      <c r="J1014" s="1"/>
      <c r="M1014" s="15" t="s">
        <v>484</v>
      </c>
      <c r="N1014" s="15" t="s">
        <v>1495</v>
      </c>
      <c r="O1014" s="15">
        <v>10</v>
      </c>
      <c r="P1014" s="15" t="str" cm="1">
        <f t="array" ref="P10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4" s="15" t="str" cm="1">
        <f t="array" ref="Q10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canciones/kairoi/cancion_de_paz.html</v>
      </c>
      <c r="S1014" s="1"/>
      <c r="T1014" s="1"/>
      <c r="U1014" s="1"/>
      <c r="V1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href="canciones/kairoi/cancion_de_paz.html"&gt;Canción de paz&lt;/a&gt;&lt;/li&gt;</v>
      </c>
      <c r="W1014" s="15" t="str">
        <f>_xlfn.TEXTBEFORE(_xlfn.TEXTAFTER(CantoralDB[[#This Row],[index.html]],"&gt;"),"&gt;")&amp;"&gt;"</f>
        <v>&lt;a href="canciones/kairoi/cancion_de_paz.html"&gt;</v>
      </c>
    </row>
    <row r="1015" spans="1:23" x14ac:dyDescent="0.3">
      <c r="A1015" s="1">
        <f>ROW(CantoralDB[[#This Row],[Título]])-1</f>
        <v>1014</v>
      </c>
      <c r="B1015" s="1" t="s">
        <v>2148</v>
      </c>
      <c r="C1015" s="1"/>
      <c r="H1015" s="1" t="s">
        <v>1030</v>
      </c>
      <c r="J1015" s="1" t="s">
        <v>608</v>
      </c>
      <c r="M1015" s="15" t="s">
        <v>484</v>
      </c>
      <c r="N1015" s="15" t="s">
        <v>1495</v>
      </c>
      <c r="O1015" s="15">
        <v>10</v>
      </c>
      <c r="P1015" s="15" t="str" cm="1">
        <f t="array" ref="P10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5" s="15" t="str" cm="1">
        <f t="array" ref="Q10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canciones/kairoi/padre_nuestro_ii.html</v>
      </c>
      <c r="S1015" s="1"/>
      <c r="T1015" s="1"/>
      <c r="U1015" s="1"/>
      <c r="V1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href="canciones/kairoi/padre_nuestro_ii.html"&gt;Padre nuestro II&lt;/a&gt;&lt;/li&gt;</v>
      </c>
      <c r="W1015" s="15" t="str">
        <f>_xlfn.TEXTBEFORE(_xlfn.TEXTAFTER(CantoralDB[[#This Row],[index.html]],"&gt;"),"&gt;")&amp;"&gt;"</f>
        <v>&lt;a href="canciones/kairoi/padre_nuestro_ii.html"&gt;</v>
      </c>
    </row>
    <row r="1016" spans="1:23" x14ac:dyDescent="0.3">
      <c r="A1016" s="1">
        <f>ROW(CantoralDB[[#This Row],[Título]])-1</f>
        <v>1015</v>
      </c>
      <c r="B1016" s="1" t="s">
        <v>1666</v>
      </c>
      <c r="C1016" s="1"/>
      <c r="H1016" s="1" t="s">
        <v>473</v>
      </c>
      <c r="I1016" s="1" t="s">
        <v>2959</v>
      </c>
      <c r="J1016" s="1" t="s">
        <v>608</v>
      </c>
      <c r="M1016" s="15" t="s">
        <v>484</v>
      </c>
      <c r="N1016" s="15" t="s">
        <v>1495</v>
      </c>
      <c r="O1016" s="15">
        <v>12</v>
      </c>
      <c r="P1016" s="15" t="str" cm="1">
        <f t="array" ref="P10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6" s="15" t="str" cm="1">
        <f t="array" ref="Q10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canciones/kairoi/te_agradezco.html</v>
      </c>
      <c r="S1016" s="1"/>
      <c r="T1016" s="1"/>
      <c r="U1016" s="1"/>
      <c r="V1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href="canciones/kairoi/te_agradezco.html"&gt;Te agradezco&lt;/a&gt;&lt;/li&gt;</v>
      </c>
      <c r="W1016" s="15" t="str">
        <f>_xlfn.TEXTBEFORE(_xlfn.TEXTAFTER(CantoralDB[[#This Row],[index.html]],"&gt;"),"&gt;")&amp;"&gt;"</f>
        <v>&lt;a href="canciones/kairoi/te_agradezco.html"&gt;</v>
      </c>
    </row>
    <row r="1017" spans="1:23" x14ac:dyDescent="0.3">
      <c r="A1017" s="1">
        <f>ROW(CantoralDB[[#This Row],[Título]])-1</f>
        <v>1016</v>
      </c>
      <c r="B1017" s="1" t="s">
        <v>2892</v>
      </c>
      <c r="C1017" s="1"/>
      <c r="H1017" s="1" t="s">
        <v>1030</v>
      </c>
      <c r="J1017" s="1" t="s">
        <v>608</v>
      </c>
      <c r="M1017" s="15" t="s">
        <v>484</v>
      </c>
      <c r="N1017" s="15" t="s">
        <v>1495</v>
      </c>
      <c r="O1017" s="15">
        <v>13</v>
      </c>
      <c r="P1017" s="15" t="str" cm="1">
        <f t="array" ref="P10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7" s="15" t="str" cm="1">
        <f t="array" ref="Q10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canciones/kairoi/escucha_maria.html</v>
      </c>
      <c r="S1017" s="1"/>
      <c r="T1017" s="1"/>
      <c r="U1017" s="1"/>
      <c r="V1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href="canciones/kairoi/escucha_maria.html"&gt;Escucha, María&lt;/a&gt;&lt;/li&gt;</v>
      </c>
      <c r="W1017" s="15" t="str">
        <f>_xlfn.TEXTBEFORE(_xlfn.TEXTAFTER(CantoralDB[[#This Row],[index.html]],"&gt;"),"&gt;")&amp;"&gt;"</f>
        <v>&lt;a href="canciones/kairoi/escucha_maria.html"&gt;</v>
      </c>
    </row>
    <row r="1018" spans="1:23" x14ac:dyDescent="0.3">
      <c r="A1018" s="1">
        <f>ROW(CantoralDB[[#This Row],[Título]])-1</f>
        <v>1017</v>
      </c>
      <c r="B1018" s="1" t="s">
        <v>1643</v>
      </c>
      <c r="C1018" s="1"/>
      <c r="J1018" s="1"/>
      <c r="M1018" s="15" t="s">
        <v>484</v>
      </c>
      <c r="N1018" s="15" t="s">
        <v>1493</v>
      </c>
      <c r="O1018" s="15">
        <v>1</v>
      </c>
      <c r="P1018" s="15" t="str" cm="1">
        <f t="array" ref="P10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8" s="15" t="str" cm="1">
        <f t="array" ref="Q10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canciones/kairoi/clara_hija_de_la_luz.html</v>
      </c>
      <c r="S1018" s="1"/>
      <c r="T1018" s="1"/>
      <c r="U1018" s="1"/>
      <c r="V1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href="canciones/kairoi/clara_hija_de_la_luz.html"&gt;Clara, hija de la luz&lt;/a&gt;&lt;/li&gt;</v>
      </c>
      <c r="W1018" s="15" t="str">
        <f>_xlfn.TEXTBEFORE(_xlfn.TEXTAFTER(CantoralDB[[#This Row],[index.html]],"&gt;"),"&gt;")&amp;"&gt;"</f>
        <v>&lt;a href="canciones/kairoi/clara_hija_de_la_luz.html"&gt;</v>
      </c>
    </row>
    <row r="1019" spans="1:23" x14ac:dyDescent="0.3">
      <c r="A1019" s="1">
        <f>ROW(CantoralDB[[#This Row],[Título]])-1</f>
        <v>1018</v>
      </c>
      <c r="B1019" s="1" t="s">
        <v>1644</v>
      </c>
      <c r="C1019" s="1"/>
      <c r="J1019" s="1"/>
      <c r="M1019" s="15" t="s">
        <v>484</v>
      </c>
      <c r="N1019" s="15" t="s">
        <v>1493</v>
      </c>
      <c r="O1019" s="15">
        <v>2</v>
      </c>
      <c r="P1019" s="15" t="str" cm="1">
        <f t="array" ref="P10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19" s="15" t="str" cm="1">
        <f t="array" ref="Q10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canciones/kairoi/clara_imagen_de_dios.html</v>
      </c>
      <c r="S1019" s="1"/>
      <c r="T1019" s="1"/>
      <c r="U1019" s="1"/>
      <c r="V1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href="canciones/kairoi/clara_imagen_de_dios.html"&gt;Clara, imagen de Dios&lt;/a&gt;&lt;/li&gt;</v>
      </c>
      <c r="W1019" s="15" t="str">
        <f>_xlfn.TEXTBEFORE(_xlfn.TEXTAFTER(CantoralDB[[#This Row],[index.html]],"&gt;"),"&gt;")&amp;"&gt;"</f>
        <v>&lt;a href="canciones/kairoi/clara_imagen_de_dios.html"&gt;</v>
      </c>
    </row>
    <row r="1020" spans="1:23" x14ac:dyDescent="0.3">
      <c r="A1020" s="1">
        <f>ROW(CantoralDB[[#This Row],[Título]])-1</f>
        <v>1019</v>
      </c>
      <c r="B1020" s="1" t="s">
        <v>1312</v>
      </c>
      <c r="C1020" s="1"/>
      <c r="E1020" s="1">
        <v>226</v>
      </c>
      <c r="H1020" s="1" t="s">
        <v>1030</v>
      </c>
      <c r="J1020" s="1" t="s">
        <v>608</v>
      </c>
      <c r="M1020" s="15" t="s">
        <v>484</v>
      </c>
      <c r="N1020" s="15" t="s">
        <v>1493</v>
      </c>
      <c r="O1020" s="15">
        <v>3</v>
      </c>
      <c r="P1020" s="15" t="str" cm="1">
        <f t="array" ref="P10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0" s="15" t="str" cm="1">
        <f t="array" ref="Q10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canciones/kairoi/rezar_no_es_otra_cosa.html</v>
      </c>
      <c r="S1020" s="1"/>
      <c r="T1020" s="1"/>
      <c r="U1020" s="1"/>
      <c r="V1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data-nold="226"&gt;&lt;a href="canciones/kairoi/rezar_no_es_otra_cosa.html"&gt;Rezar no es otra cosa&lt;/a&gt;&lt;/li&gt;</v>
      </c>
      <c r="W1020" s="15" t="str">
        <f>_xlfn.TEXTBEFORE(_xlfn.TEXTAFTER(CantoralDB[[#This Row],[index.html]],"&gt;"),"&gt;")&amp;"&gt;"</f>
        <v>&lt;a href="canciones/kairoi/rezar_no_es_otra_cosa.html"&gt;</v>
      </c>
    </row>
    <row r="1021" spans="1:23" x14ac:dyDescent="0.3">
      <c r="A1021" s="1">
        <f>ROW(CantoralDB[[#This Row],[Título]])-1</f>
        <v>1020</v>
      </c>
      <c r="B1021" s="1" t="s">
        <v>1645</v>
      </c>
      <c r="C1021" s="1"/>
      <c r="H1021" s="1" t="s">
        <v>473</v>
      </c>
      <c r="J1021" s="1" t="s">
        <v>608</v>
      </c>
      <c r="M1021" s="15" t="s">
        <v>484</v>
      </c>
      <c r="N1021" s="15" t="s">
        <v>1493</v>
      </c>
      <c r="O1021" s="15">
        <v>4</v>
      </c>
      <c r="P1021" s="15" t="str" cm="1">
        <f t="array" ref="P10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1" s="15" t="str" cm="1">
        <f t="array" ref="Q10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canciones/kairoi/jesus_te_ama.html</v>
      </c>
      <c r="S1021" s="1"/>
      <c r="T1021" s="1"/>
      <c r="U1021" s="1"/>
      <c r="V1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href="canciones/kairoi/jesus_te_ama.html"&gt;Jesús te ama&lt;/a&gt;&lt;/li&gt;</v>
      </c>
      <c r="W1021" s="15" t="str">
        <f>_xlfn.TEXTBEFORE(_xlfn.TEXTAFTER(CantoralDB[[#This Row],[index.html]],"&gt;"),"&gt;")&amp;"&gt;"</f>
        <v>&lt;a href="canciones/kairoi/jesus_te_ama.html"&gt;</v>
      </c>
    </row>
    <row r="1022" spans="1:23" x14ac:dyDescent="0.3">
      <c r="A1022" s="1">
        <f>ROW(CantoralDB[[#This Row],[Título]])-1</f>
        <v>1021</v>
      </c>
      <c r="B1022" s="1" t="s">
        <v>1646</v>
      </c>
      <c r="C1022" s="1"/>
      <c r="H1022" s="1" t="s">
        <v>531</v>
      </c>
      <c r="J1022" s="1" t="s">
        <v>608</v>
      </c>
      <c r="M1022" s="15" t="s">
        <v>484</v>
      </c>
      <c r="N1022" s="15" t="s">
        <v>1493</v>
      </c>
      <c r="O1022" s="15">
        <v>5</v>
      </c>
      <c r="P1022" s="15" t="str" cm="1">
        <f t="array" ref="P10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2" s="15" t="str" cm="1">
        <f t="array" ref="Q10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canciones/kairoi/cantico_de_las_criaturas.html</v>
      </c>
      <c r="S1022" s="1"/>
      <c r="T1022" s="1"/>
      <c r="U1022" s="1"/>
      <c r="V1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href="canciones/kairoi/cantico_de_las_criaturas.html"&gt;Cántico de las criaturas&lt;/a&gt;&lt;/li&gt;</v>
      </c>
      <c r="W1022" s="15" t="str">
        <f>_xlfn.TEXTBEFORE(_xlfn.TEXTAFTER(CantoralDB[[#This Row],[index.html]],"&gt;"),"&gt;")&amp;"&gt;"</f>
        <v>&lt;a href="canciones/kairoi/cantico_de_las_criaturas.html"&gt;</v>
      </c>
    </row>
    <row r="1023" spans="1:23" x14ac:dyDescent="0.3">
      <c r="A1023" s="1">
        <f>ROW(CantoralDB[[#This Row],[Título]])-1</f>
        <v>1022</v>
      </c>
      <c r="B1023" s="1" t="s">
        <v>1912</v>
      </c>
      <c r="C1023" s="1"/>
      <c r="H1023" s="1" t="s">
        <v>473</v>
      </c>
      <c r="J1023" s="1" t="s">
        <v>608</v>
      </c>
      <c r="M1023" s="15" t="s">
        <v>484</v>
      </c>
      <c r="N1023" s="15" t="s">
        <v>1493</v>
      </c>
      <c r="O1023" s="15">
        <v>6</v>
      </c>
      <c r="P1023" s="15" t="str" cm="1">
        <f t="array" ref="P10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3" s="15" t="str" cm="1">
        <f t="array" ref="Q10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canciones/kairoi/ya_no_te_queda_tiempo.html</v>
      </c>
      <c r="S1023" s="1"/>
      <c r="T1023" s="1"/>
      <c r="U1023" s="1"/>
      <c r="V1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href="canciones/kairoi/ya_no_te_queda_tiempo.html"&gt;Ya no te queda tiempo&lt;/a&gt;&lt;/li&gt;</v>
      </c>
      <c r="W1023" s="15" t="str">
        <f>_xlfn.TEXTBEFORE(_xlfn.TEXTAFTER(CantoralDB[[#This Row],[index.html]],"&gt;"),"&gt;")&amp;"&gt;"</f>
        <v>&lt;a href="canciones/kairoi/ya_no_te_queda_tiempo.html"&gt;</v>
      </c>
    </row>
    <row r="1024" spans="1:23" x14ac:dyDescent="0.3">
      <c r="A1024" s="1">
        <f>ROW(CantoralDB[[#This Row],[Título]])-1</f>
        <v>1023</v>
      </c>
      <c r="B1024" s="1" t="s">
        <v>1647</v>
      </c>
      <c r="C1024" s="1"/>
      <c r="J1024" s="1"/>
      <c r="M1024" s="15" t="s">
        <v>484</v>
      </c>
      <c r="N1024" s="15" t="s">
        <v>1493</v>
      </c>
      <c r="O1024" s="15">
        <v>7</v>
      </c>
      <c r="P1024" s="15" t="str" cm="1">
        <f t="array" ref="P10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4" s="15" t="str" cm="1">
        <f t="array" ref="Q10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canciones/kairoi/oracion_a_san_francisco.html</v>
      </c>
      <c r="S1024" s="1"/>
      <c r="T1024" s="1"/>
      <c r="U1024" s="1"/>
      <c r="V1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href="canciones/kairoi/oracion_a_san_francisco.html"&gt;Oración a San Francisco&lt;/a&gt;&lt;/li&gt;</v>
      </c>
      <c r="W1024" s="15" t="str">
        <f>_xlfn.TEXTBEFORE(_xlfn.TEXTAFTER(CantoralDB[[#This Row],[index.html]],"&gt;"),"&gt;")&amp;"&gt;"</f>
        <v>&lt;a href="canciones/kairoi/oracion_a_san_francisco.html"&gt;</v>
      </c>
    </row>
    <row r="1025" spans="1:23" x14ac:dyDescent="0.3">
      <c r="A1025" s="1">
        <f>ROW(CantoralDB[[#This Row],[Título]])-1</f>
        <v>1024</v>
      </c>
      <c r="B1025" s="1" t="s">
        <v>1298</v>
      </c>
      <c r="C1025" s="1"/>
      <c r="E1025" s="1">
        <v>196</v>
      </c>
      <c r="H1025" s="1" t="s">
        <v>1029</v>
      </c>
      <c r="J1025" s="1" t="s">
        <v>608</v>
      </c>
      <c r="M1025" s="15" t="s">
        <v>484</v>
      </c>
      <c r="N1025" s="15" t="s">
        <v>1493</v>
      </c>
      <c r="O1025" s="15">
        <v>8</v>
      </c>
      <c r="P1025" s="15" t="str" cm="1">
        <f t="array" ref="P10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5" s="15" t="str" cm="1">
        <f t="array" ref="Q10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canciones/kairoi/padre_de_las_misericordias.html</v>
      </c>
      <c r="S1025" s="1"/>
      <c r="T1025" s="1"/>
      <c r="U1025" s="1"/>
      <c r="V1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data-nold="196"&gt;&lt;a href="canciones/kairoi/padre_de_las_misericordias.html"&gt;Padre de las misericordias&lt;/a&gt;&lt;/li&gt;</v>
      </c>
      <c r="W1025" s="15" t="str">
        <f>_xlfn.TEXTBEFORE(_xlfn.TEXTAFTER(CantoralDB[[#This Row],[index.html]],"&gt;"),"&gt;")&amp;"&gt;"</f>
        <v>&lt;a href="canciones/kairoi/padre_de_las_misericordias.html"&gt;</v>
      </c>
    </row>
    <row r="1026" spans="1:23" x14ac:dyDescent="0.3">
      <c r="A1026" s="1">
        <f>ROW(CantoralDB[[#This Row],[Título]])-1</f>
        <v>1025</v>
      </c>
      <c r="B1026" s="1" t="s">
        <v>1329</v>
      </c>
      <c r="C1026" s="1"/>
      <c r="E1026" s="1">
        <v>252</v>
      </c>
      <c r="H1026" s="1" t="s">
        <v>1027</v>
      </c>
      <c r="J1026" s="1" t="s">
        <v>608</v>
      </c>
      <c r="M1026" s="15" t="s">
        <v>484</v>
      </c>
      <c r="N1026" s="15" t="s">
        <v>1493</v>
      </c>
      <c r="O1026" s="15">
        <v>9</v>
      </c>
      <c r="P1026" s="15" t="str" cm="1">
        <f t="array" ref="P10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6" s="15" t="str" cm="1">
        <f t="array" ref="Q10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canciones/kairoi/te_alabo_señor.html</v>
      </c>
      <c r="S1026" s="1"/>
      <c r="T1026" s="1"/>
      <c r="U1026" s="1"/>
      <c r="V1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data-nold="252"&gt;&lt;a href="canciones/kairoi/te_alabo_señor.html"&gt;Te alabo, Señor&lt;/a&gt;&lt;/li&gt;</v>
      </c>
      <c r="W1026" s="15" t="str">
        <f>_xlfn.TEXTBEFORE(_xlfn.TEXTAFTER(CantoralDB[[#This Row],[index.html]],"&gt;"),"&gt;")&amp;"&gt;"</f>
        <v>&lt;a href="canciones/kairoi/te_alabo_señor.html"&gt;</v>
      </c>
    </row>
    <row r="1027" spans="1:23" x14ac:dyDescent="0.3">
      <c r="A1027" s="1">
        <f>ROW(CantoralDB[[#This Row],[Título]])-1</f>
        <v>1026</v>
      </c>
      <c r="B1027" s="1" t="s">
        <v>1648</v>
      </c>
      <c r="C1027" s="1"/>
      <c r="J1027" s="1"/>
      <c r="M1027" s="15" t="s">
        <v>484</v>
      </c>
      <c r="N1027" s="15" t="s">
        <v>1493</v>
      </c>
      <c r="O1027" s="15">
        <v>10</v>
      </c>
      <c r="P1027" s="15" t="str" cm="1">
        <f t="array" ref="P10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7" s="15" t="str" cm="1">
        <f t="array" ref="Q10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canciones/kairoi/si_vamos_desnudos_por_cristo.html</v>
      </c>
      <c r="S1027" s="1"/>
      <c r="T1027" s="1"/>
      <c r="U1027" s="1"/>
      <c r="V1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href="canciones/kairoi/si_vamos_desnudos_por_cristo.html"&gt;Si vamos desnudos por Cristo&lt;/a&gt;&lt;/li&gt;</v>
      </c>
      <c r="W1027" s="15" t="str">
        <f>_xlfn.TEXTBEFORE(_xlfn.TEXTAFTER(CantoralDB[[#This Row],[index.html]],"&gt;"),"&gt;")&amp;"&gt;"</f>
        <v>&lt;a href="canciones/kairoi/si_vamos_desnudos_por_cristo.html"&gt;</v>
      </c>
    </row>
    <row r="1028" spans="1:23" x14ac:dyDescent="0.3">
      <c r="A1028" s="1">
        <f>ROW(CantoralDB[[#This Row],[Título]])-1</f>
        <v>1027</v>
      </c>
      <c r="B1028" s="1" t="s">
        <v>1649</v>
      </c>
      <c r="C1028" s="1"/>
      <c r="H1028" s="1" t="s">
        <v>1030</v>
      </c>
      <c r="J1028" s="1" t="s">
        <v>608</v>
      </c>
      <c r="M1028" s="15" t="s">
        <v>484</v>
      </c>
      <c r="N1028" s="15" t="s">
        <v>1493</v>
      </c>
      <c r="O1028" s="15">
        <v>11</v>
      </c>
      <c r="P1028" s="15" t="str" cm="1">
        <f t="array" ref="P10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8" s="15" t="str" cm="1">
        <f t="array" ref="Q10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canciones/kairoi/el_don_de_la_fraternidad.html</v>
      </c>
      <c r="S1028" s="1"/>
      <c r="T1028" s="1"/>
      <c r="U1028" s="1"/>
      <c r="V1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href="canciones/kairoi/el_don_de_la_fraternidad.html"&gt;El don de la fraternidad&lt;/a&gt;&lt;/li&gt;</v>
      </c>
      <c r="W1028" s="15" t="str">
        <f>_xlfn.TEXTBEFORE(_xlfn.TEXTAFTER(CantoralDB[[#This Row],[index.html]],"&gt;"),"&gt;")&amp;"&gt;"</f>
        <v>&lt;a href="canciones/kairoi/el_don_de_la_fraternidad.html"&gt;</v>
      </c>
    </row>
    <row r="1029" spans="1:23" x14ac:dyDescent="0.3">
      <c r="A1029" s="1">
        <f>ROW(CantoralDB[[#This Row],[Título]])-1</f>
        <v>1028</v>
      </c>
      <c r="B1029" s="1" t="s">
        <v>1569</v>
      </c>
      <c r="C1029" s="1"/>
      <c r="H1029" s="1" t="s">
        <v>1027</v>
      </c>
      <c r="J1029" s="1" t="s">
        <v>608</v>
      </c>
      <c r="M1029" s="15" t="s">
        <v>484</v>
      </c>
      <c r="N1029" s="15" t="s">
        <v>1488</v>
      </c>
      <c r="O1029" s="15">
        <v>1</v>
      </c>
      <c r="P1029" s="15" t="str" cm="1">
        <f t="array" ref="P10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29" s="15" t="str" cm="1">
        <f t="array" ref="Q10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canciones/kairoi/jesus_es_verdad.html</v>
      </c>
      <c r="S1029" s="1"/>
      <c r="T1029" s="1"/>
      <c r="U1029" s="1"/>
      <c r="V1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href="canciones/kairoi/jesus_es_verdad.html"&gt;Jesús es verdad&lt;/a&gt;&lt;/li&gt;</v>
      </c>
      <c r="W1029" s="15" t="str">
        <f>_xlfn.TEXTBEFORE(_xlfn.TEXTAFTER(CantoralDB[[#This Row],[index.html]],"&gt;"),"&gt;")&amp;"&gt;"</f>
        <v>&lt;a href="canciones/kairoi/jesus_es_verdad.html"&gt;</v>
      </c>
    </row>
    <row r="1030" spans="1:23" x14ac:dyDescent="0.3">
      <c r="A1030" s="1">
        <f>ROW(CantoralDB[[#This Row],[Título]])-1</f>
        <v>1029</v>
      </c>
      <c r="B1030" s="1" t="s">
        <v>1604</v>
      </c>
      <c r="C1030" s="1"/>
      <c r="J1030" s="1"/>
      <c r="M1030" s="15" t="s">
        <v>484</v>
      </c>
      <c r="N1030" s="15" t="s">
        <v>1488</v>
      </c>
      <c r="O1030" s="15">
        <v>3</v>
      </c>
      <c r="P1030" s="15" t="str" cm="1">
        <f t="array" ref="P10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0" s="15" t="str" cm="1">
        <f t="array" ref="Q10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canciones/kairoi/como_marcelino.html</v>
      </c>
      <c r="S1030" s="1"/>
      <c r="T1030" s="1"/>
      <c r="U1030" s="1"/>
      <c r="V1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href="canciones/kairoi/como_marcelino.html"&gt;Como Marcelino&lt;/a&gt;&lt;/li&gt;</v>
      </c>
      <c r="W1030" s="15" t="str">
        <f>_xlfn.TEXTBEFORE(_xlfn.TEXTAFTER(CantoralDB[[#This Row],[index.html]],"&gt;"),"&gt;")&amp;"&gt;"</f>
        <v>&lt;a href="canciones/kairoi/como_marcelino.html"&gt;</v>
      </c>
    </row>
    <row r="1031" spans="1:23" x14ac:dyDescent="0.3">
      <c r="A1031" s="1">
        <f>ROW(CantoralDB[[#This Row],[Título]])-1</f>
        <v>1030</v>
      </c>
      <c r="B1031" s="1" t="s">
        <v>1605</v>
      </c>
      <c r="C1031" s="1"/>
      <c r="H1031" s="1" t="s">
        <v>1030</v>
      </c>
      <c r="J1031" s="1" t="s">
        <v>608</v>
      </c>
      <c r="M1031" s="15" t="s">
        <v>484</v>
      </c>
      <c r="N1031" s="15" t="s">
        <v>1488</v>
      </c>
      <c r="O1031" s="15">
        <v>4</v>
      </c>
      <c r="P1031" s="15" t="str" cm="1">
        <f t="array" ref="P10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1" s="15" t="str" cm="1">
        <f t="array" ref="Q10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canciones/kairoi/niño.html</v>
      </c>
      <c r="S1031" s="1"/>
      <c r="T1031" s="1"/>
      <c r="U1031" s="1"/>
      <c r="V1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href="canciones/kairoi/niño.html"&gt;Niño&lt;/a&gt;&lt;/li&gt;</v>
      </c>
      <c r="W1031" s="15" t="str">
        <f>_xlfn.TEXTBEFORE(_xlfn.TEXTAFTER(CantoralDB[[#This Row],[index.html]],"&gt;"),"&gt;")&amp;"&gt;"</f>
        <v>&lt;a href="canciones/kairoi/niño.html"&gt;</v>
      </c>
    </row>
    <row r="1032" spans="1:23" x14ac:dyDescent="0.3">
      <c r="A1032" s="1">
        <f>ROW(CantoralDB[[#This Row],[Título]])-1</f>
        <v>1031</v>
      </c>
      <c r="B1032" s="1" t="s">
        <v>1607</v>
      </c>
      <c r="C1032" s="1"/>
      <c r="H1032" s="1" t="s">
        <v>1027</v>
      </c>
      <c r="J1032" s="1" t="s">
        <v>608</v>
      </c>
      <c r="M1032" s="15" t="s">
        <v>484</v>
      </c>
      <c r="N1032" s="15" t="s">
        <v>1488</v>
      </c>
      <c r="O1032" s="15">
        <v>6</v>
      </c>
      <c r="P1032" s="15" t="str" cm="1">
        <f t="array" ref="P10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2" s="15" t="str" cm="1">
        <f t="array" ref="Q10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canciones/kairoi/una_vida.html</v>
      </c>
      <c r="S1032" s="1"/>
      <c r="T1032" s="1"/>
      <c r="U1032" s="1"/>
      <c r="V1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href="canciones/kairoi/una_vida.html"&gt;Una vida&lt;/a&gt;&lt;/li&gt;</v>
      </c>
      <c r="W1032" s="15" t="str">
        <f>_xlfn.TEXTBEFORE(_xlfn.TEXTAFTER(CantoralDB[[#This Row],[index.html]],"&gt;"),"&gt;")&amp;"&gt;"</f>
        <v>&lt;a href="canciones/kairoi/una_vida.html"&gt;</v>
      </c>
    </row>
    <row r="1033" spans="1:23" x14ac:dyDescent="0.3">
      <c r="A1033" s="1">
        <f>ROW(CantoralDB[[#This Row],[Título]])-1</f>
        <v>1032</v>
      </c>
      <c r="B1033" s="1" t="s">
        <v>1610</v>
      </c>
      <c r="C1033" s="1"/>
      <c r="H1033" s="1" t="s">
        <v>473</v>
      </c>
      <c r="J1033" s="1" t="s">
        <v>608</v>
      </c>
      <c r="M1033" s="15" t="s">
        <v>484</v>
      </c>
      <c r="N1033" s="15" t="s">
        <v>1488</v>
      </c>
      <c r="O1033" s="15">
        <v>9</v>
      </c>
      <c r="P1033" s="15" t="str" cm="1">
        <f t="array" ref="P10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3" s="15" t="str" cm="1">
        <f t="array" ref="Q10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canciones/kairoi/dios_en_la_ciudad.html</v>
      </c>
      <c r="S1033" s="1"/>
      <c r="T1033" s="1"/>
      <c r="U1033" s="1"/>
      <c r="V1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href="canciones/kairoi/dios_en_la_ciudad.html"&gt;Dios en la ciudad&lt;/a&gt;&lt;/li&gt;</v>
      </c>
      <c r="W1033" s="15" t="str">
        <f>_xlfn.TEXTBEFORE(_xlfn.TEXTAFTER(CantoralDB[[#This Row],[index.html]],"&gt;"),"&gt;")&amp;"&gt;"</f>
        <v>&lt;a href="canciones/kairoi/dios_en_la_ciudad.html"&gt;</v>
      </c>
    </row>
    <row r="1034" spans="1:23" x14ac:dyDescent="0.3">
      <c r="A1034" s="1">
        <f>ROW(CantoralDB[[#This Row],[Título]])-1</f>
        <v>1033</v>
      </c>
      <c r="B1034" s="1" t="s">
        <v>1612</v>
      </c>
      <c r="C1034" s="1"/>
      <c r="H1034" s="1" t="s">
        <v>531</v>
      </c>
      <c r="J1034" s="1" t="s">
        <v>608</v>
      </c>
      <c r="M1034" s="15" t="s">
        <v>484</v>
      </c>
      <c r="N1034" s="15" t="s">
        <v>1488</v>
      </c>
      <c r="O1034" s="15">
        <v>11</v>
      </c>
      <c r="P1034" s="15" t="str" cm="1">
        <f t="array" ref="P10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4" s="15" t="str" cm="1">
        <f t="array" ref="Q10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canciones/kairoi/somos_una_familia.html</v>
      </c>
      <c r="S1034" s="1"/>
      <c r="T1034" s="1"/>
      <c r="U1034" s="1"/>
      <c r="V1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href="canciones/kairoi/somos_una_familia.html"&gt;Somos una familia&lt;/a&gt;&lt;/li&gt;</v>
      </c>
      <c r="W1034" s="15" t="str">
        <f>_xlfn.TEXTBEFORE(_xlfn.TEXTAFTER(CantoralDB[[#This Row],[index.html]],"&gt;"),"&gt;")&amp;"&gt;"</f>
        <v>&lt;a href="canciones/kairoi/somos_una_familia.html"&gt;</v>
      </c>
    </row>
    <row r="1035" spans="1:23" x14ac:dyDescent="0.3">
      <c r="A1035" s="1">
        <f>ROW(CantoralDB[[#This Row],[Título]])-1</f>
        <v>1034</v>
      </c>
      <c r="B1035" s="1" t="s">
        <v>61</v>
      </c>
      <c r="C1035" s="1" t="s">
        <v>191</v>
      </c>
      <c r="D1035" s="1" t="s">
        <v>739</v>
      </c>
      <c r="E1035" s="1">
        <v>111</v>
      </c>
      <c r="G1035" s="1" t="s">
        <v>209</v>
      </c>
      <c r="H1035" s="1" t="s">
        <v>531</v>
      </c>
      <c r="I1035" s="1" t="s">
        <v>2963</v>
      </c>
      <c r="J1035" s="1" t="s">
        <v>608</v>
      </c>
      <c r="M1035" s="15" t="s">
        <v>484</v>
      </c>
      <c r="N1035" s="15" t="s">
        <v>1492</v>
      </c>
      <c r="O1035" s="15">
        <v>1</v>
      </c>
      <c r="P1035" s="15" t="str" cm="1">
        <f t="array" ref="P10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5" s="15" t="str" cm="1">
        <f t="array" ref="Q10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canciones/kairoi/eres_el_fuego_el_amor.html</v>
      </c>
      <c r="S1035" s="1" t="s">
        <v>832</v>
      </c>
      <c r="T1035" s="1"/>
      <c r="U1035" s="1"/>
      <c r="V1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data-nnew="A19" data-nold="111"&gt;&lt;a href="canciones/kairoi/eres_el_fuego_el_amor.html"&gt;Eres el fuego, el amor&lt;/a&gt;&lt;/li&gt;</v>
      </c>
      <c r="W1035" s="15" t="str">
        <f>_xlfn.TEXTBEFORE(_xlfn.TEXTAFTER(CantoralDB[[#This Row],[index.html]],"&gt;"),"&gt;")&amp;"&gt;"</f>
        <v>&lt;a href="canciones/kairoi/eres_el_fuego_el_amor.html"&gt;</v>
      </c>
    </row>
    <row r="1036" spans="1:23" x14ac:dyDescent="0.3">
      <c r="A1036" s="1">
        <f>ROW(CantoralDB[[#This Row],[Título]])-1</f>
        <v>1035</v>
      </c>
      <c r="B1036" s="1" t="s">
        <v>1574</v>
      </c>
      <c r="C1036" s="1"/>
      <c r="H1036" s="1" t="s">
        <v>1027</v>
      </c>
      <c r="J1036" s="1" t="s">
        <v>608</v>
      </c>
      <c r="M1036" s="15" t="s">
        <v>484</v>
      </c>
      <c r="N1036" s="15" t="s">
        <v>1492</v>
      </c>
      <c r="O1036" s="15">
        <v>2</v>
      </c>
      <c r="P1036" s="15" t="str" cm="1">
        <f t="array" ref="P10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6" s="15" t="str" cm="1">
        <f t="array" ref="Q10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canciones/kairoi/me_has_seducido_señor.html</v>
      </c>
      <c r="S1036" s="1"/>
      <c r="T1036" s="1"/>
      <c r="U1036" s="1"/>
      <c r="V1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href="canciones/kairoi/me_has_seducido_señor.html"&gt;Me has seducido, Señor&lt;/a&gt;&lt;/li&gt;</v>
      </c>
      <c r="W1036" s="15" t="str">
        <f>_xlfn.TEXTBEFORE(_xlfn.TEXTAFTER(CantoralDB[[#This Row],[index.html]],"&gt;"),"&gt;")&amp;"&gt;"</f>
        <v>&lt;a href="canciones/kairoi/me_has_seducido_señor.html"&gt;</v>
      </c>
    </row>
    <row r="1037" spans="1:23" x14ac:dyDescent="0.3">
      <c r="A1037" s="1">
        <f>ROW(CantoralDB[[#This Row],[Título]])-1</f>
        <v>1036</v>
      </c>
      <c r="B1037" s="1" t="s">
        <v>1637</v>
      </c>
      <c r="C1037" s="1"/>
      <c r="J1037" s="1"/>
      <c r="M1037" s="15" t="s">
        <v>484</v>
      </c>
      <c r="N1037" s="15" t="s">
        <v>1492</v>
      </c>
      <c r="O1037" s="15">
        <v>3</v>
      </c>
      <c r="P1037" s="15" t="str" cm="1">
        <f t="array" ref="P10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7" s="15" t="str" cm="1">
        <f t="array" ref="Q10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canciones/kairoi/deseo_paz.html</v>
      </c>
      <c r="S1037" s="1"/>
      <c r="T1037" s="1"/>
      <c r="U1037" s="1"/>
      <c r="V1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href="canciones/kairoi/deseo_paz.html"&gt;Deseo paz&lt;/a&gt;&lt;/li&gt;</v>
      </c>
      <c r="W1037" s="15" t="str">
        <f>_xlfn.TEXTBEFORE(_xlfn.TEXTAFTER(CantoralDB[[#This Row],[index.html]],"&gt;"),"&gt;")&amp;"&gt;"</f>
        <v>&lt;a href="canciones/kairoi/deseo_paz.html"&gt;</v>
      </c>
    </row>
    <row r="1038" spans="1:23" x14ac:dyDescent="0.3">
      <c r="A1038" s="1">
        <f>ROW(CantoralDB[[#This Row],[Título]])-1</f>
        <v>1037</v>
      </c>
      <c r="B1038" s="1" t="s">
        <v>1575</v>
      </c>
      <c r="C1038" s="1"/>
      <c r="H1038" s="1" t="s">
        <v>473</v>
      </c>
      <c r="J1038" s="1" t="s">
        <v>608</v>
      </c>
      <c r="M1038" s="15" t="s">
        <v>484</v>
      </c>
      <c r="N1038" s="15" t="s">
        <v>1492</v>
      </c>
      <c r="O1038" s="15">
        <v>4</v>
      </c>
      <c r="P1038" s="15" t="str" cm="1">
        <f t="array" ref="P10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8" s="15" t="str" cm="1">
        <f t="array" ref="Q10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canciones/kairoi/una_vida_que_busca_libertad.html</v>
      </c>
      <c r="S1038" s="1"/>
      <c r="T1038" s="1"/>
      <c r="U1038" s="1"/>
      <c r="V1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href="canciones/kairoi/una_vida_que_busca_libertad.html"&gt;Una vida que busca libertad&lt;/a&gt;&lt;/li&gt;</v>
      </c>
      <c r="W1038" s="15" t="str">
        <f>_xlfn.TEXTBEFORE(_xlfn.TEXTAFTER(CantoralDB[[#This Row],[index.html]],"&gt;"),"&gt;")&amp;"&gt;"</f>
        <v>&lt;a href="canciones/kairoi/una_vida_que_busca_libertad.html"&gt;</v>
      </c>
    </row>
    <row r="1039" spans="1:23" x14ac:dyDescent="0.3">
      <c r="A1039" s="1">
        <f>ROW(CantoralDB[[#This Row],[Título]])-1</f>
        <v>1038</v>
      </c>
      <c r="B1039" s="1" t="s">
        <v>1638</v>
      </c>
      <c r="C1039" s="1"/>
      <c r="H1039" s="1" t="s">
        <v>1028</v>
      </c>
      <c r="J1039" s="1" t="s">
        <v>608</v>
      </c>
      <c r="M1039" s="15" t="s">
        <v>484</v>
      </c>
      <c r="N1039" s="15" t="s">
        <v>1492</v>
      </c>
      <c r="O1039" s="15">
        <v>5</v>
      </c>
      <c r="P1039" s="15" t="str" cm="1">
        <f t="array" ref="P10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39" s="15" t="str" cm="1">
        <f t="array" ref="Q10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canciones/kairoi/nuestra_buena_madre.html</v>
      </c>
      <c r="S1039" s="1"/>
      <c r="T1039" s="1"/>
      <c r="U1039" s="1"/>
      <c r="V1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href="canciones/kairoi/nuestra_buena_madre.html"&gt;Nuestra buena madre&lt;/a&gt;&lt;/li&gt;</v>
      </c>
      <c r="W1039" s="15" t="str">
        <f>_xlfn.TEXTBEFORE(_xlfn.TEXTAFTER(CantoralDB[[#This Row],[index.html]],"&gt;"),"&gt;")&amp;"&gt;"</f>
        <v>&lt;a href="canciones/kairoi/nuestra_buena_madre.html"&gt;</v>
      </c>
    </row>
    <row r="1040" spans="1:23" x14ac:dyDescent="0.3">
      <c r="A1040" s="1">
        <f>ROW(CantoralDB[[#This Row],[Título]])-1</f>
        <v>1039</v>
      </c>
      <c r="B1040" s="1" t="s">
        <v>1576</v>
      </c>
      <c r="C1040" s="1"/>
      <c r="H1040" s="1" t="s">
        <v>1027</v>
      </c>
      <c r="J1040" s="1" t="s">
        <v>608</v>
      </c>
      <c r="M1040" s="15" t="s">
        <v>484</v>
      </c>
      <c r="N1040" s="15" t="s">
        <v>1492</v>
      </c>
      <c r="O1040" s="15">
        <v>6</v>
      </c>
      <c r="P1040" s="15" t="str" cm="1">
        <f t="array" ref="P10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0" s="15" t="str" cm="1">
        <f t="array" ref="Q10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canciones/kairoi/señor_yo_no_soy_digno.html</v>
      </c>
      <c r="S1040" s="1"/>
      <c r="T1040" s="1"/>
      <c r="U1040" s="1"/>
      <c r="V1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href="canciones/kairoi/señor_yo_no_soy_digno.html"&gt;Señor, yo no soy digno&lt;/a&gt;&lt;/li&gt;</v>
      </c>
      <c r="W1040" s="15" t="str">
        <f>_xlfn.TEXTBEFORE(_xlfn.TEXTAFTER(CantoralDB[[#This Row],[index.html]],"&gt;"),"&gt;")&amp;"&gt;"</f>
        <v>&lt;a href="canciones/kairoi/señor_yo_no_soy_digno.html"&gt;</v>
      </c>
    </row>
    <row r="1041" spans="1:23" x14ac:dyDescent="0.3">
      <c r="A1041" s="1">
        <f>ROW(CantoralDB[[#This Row],[Título]])-1</f>
        <v>1040</v>
      </c>
      <c r="B1041" s="1" t="s">
        <v>1639</v>
      </c>
      <c r="C1041" s="1"/>
      <c r="H1041" s="1" t="s">
        <v>473</v>
      </c>
      <c r="J1041" s="1" t="s">
        <v>608</v>
      </c>
      <c r="M1041" s="15" t="s">
        <v>484</v>
      </c>
      <c r="N1041" s="15" t="s">
        <v>1492</v>
      </c>
      <c r="O1041" s="15">
        <v>7</v>
      </c>
      <c r="P1041" s="15" t="str" cm="1">
        <f t="array" ref="P10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1" s="15" t="str" cm="1">
        <f t="array" ref="Q10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canciones/kairoi/no_durmais.html</v>
      </c>
      <c r="S1041" s="1"/>
      <c r="T1041" s="1"/>
      <c r="U1041" s="1"/>
      <c r="V1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href="canciones/kairoi/no_durmais.html"&gt;No durmáis&lt;/a&gt;&lt;/li&gt;</v>
      </c>
      <c r="W1041" s="15" t="str">
        <f>_xlfn.TEXTBEFORE(_xlfn.TEXTAFTER(CantoralDB[[#This Row],[index.html]],"&gt;"),"&gt;")&amp;"&gt;"</f>
        <v>&lt;a href="canciones/kairoi/no_durmais.html"&gt;</v>
      </c>
    </row>
    <row r="1042" spans="1:23" x14ac:dyDescent="0.3">
      <c r="A1042" s="1">
        <f>ROW(CantoralDB[[#This Row],[Título]])-1</f>
        <v>1041</v>
      </c>
      <c r="B1042" s="1" t="s">
        <v>1911</v>
      </c>
      <c r="C1042" s="1"/>
      <c r="H1042" s="1" t="s">
        <v>1030</v>
      </c>
      <c r="J1042" s="1" t="s">
        <v>608</v>
      </c>
      <c r="M1042" s="15" t="s">
        <v>484</v>
      </c>
      <c r="N1042" s="15" t="s">
        <v>1492</v>
      </c>
      <c r="O1042" s="15">
        <v>8</v>
      </c>
      <c r="P1042" s="15" t="str" cm="1">
        <f t="array" ref="P10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2" s="15" t="str" cm="1">
        <f t="array" ref="Q10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canciones/kairoi/señor_dios_me_tienes_ante_ti.html</v>
      </c>
      <c r="S1042" s="1"/>
      <c r="T1042" s="1"/>
      <c r="U1042" s="1"/>
      <c r="V1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href="canciones/kairoi/señor_dios_me_tienes_ante_ti.html"&gt;Señor Dios, me tienes ante ti&lt;/a&gt;&lt;/li&gt;</v>
      </c>
      <c r="W1042" s="15" t="str">
        <f>_xlfn.TEXTBEFORE(_xlfn.TEXTAFTER(CantoralDB[[#This Row],[index.html]],"&gt;"),"&gt;")&amp;"&gt;"</f>
        <v>&lt;a href="canciones/kairoi/señor_dios_me_tienes_ante_ti.html"&gt;</v>
      </c>
    </row>
    <row r="1043" spans="1:23" x14ac:dyDescent="0.3">
      <c r="A1043" s="1">
        <f>ROW(CantoralDB[[#This Row],[Título]])-1</f>
        <v>1042</v>
      </c>
      <c r="B1043" s="1" t="s">
        <v>174</v>
      </c>
      <c r="C1043" s="1" t="s">
        <v>993</v>
      </c>
      <c r="D1043" s="1" t="s">
        <v>685</v>
      </c>
      <c r="G1043" s="1" t="s">
        <v>209</v>
      </c>
      <c r="H1043" s="1" t="s">
        <v>1030</v>
      </c>
      <c r="J1043" s="1" t="s">
        <v>608</v>
      </c>
      <c r="M1043" s="15" t="s">
        <v>484</v>
      </c>
      <c r="N1043" s="15" t="s">
        <v>1492</v>
      </c>
      <c r="O1043" s="15">
        <v>9</v>
      </c>
      <c r="P1043" s="15" t="str" cm="1">
        <f t="array" ref="P10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3" s="15" t="str" cm="1">
        <f t="array" ref="Q10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canciones/kairoi/bienaventuranzas_(kairoi).html</v>
      </c>
      <c r="S1043" s="1" t="s">
        <v>810</v>
      </c>
      <c r="T1043" s="1"/>
      <c r="U1043" s="1"/>
      <c r="V1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data-nnew="K12"&gt;&lt;a href="canciones/kairoi/bienaventuranzas_(kairoi).html"&gt;Bienaventuranzas (Kairoi)&lt;/a&gt;&lt;/li&gt;</v>
      </c>
      <c r="W1043" s="15" t="str">
        <f>_xlfn.TEXTBEFORE(_xlfn.TEXTAFTER(CantoralDB[[#This Row],[index.html]],"&gt;"),"&gt;")&amp;"&gt;"</f>
        <v>&lt;a href="canciones/kairoi/bienaventuranzas_(kairoi).html"&gt;</v>
      </c>
    </row>
    <row r="1044" spans="1:23" x14ac:dyDescent="0.3">
      <c r="A1044" s="1">
        <f>ROW(CantoralDB[[#This Row],[Título]])-1</f>
        <v>1043</v>
      </c>
      <c r="B1044" s="1" t="s">
        <v>1640</v>
      </c>
      <c r="C1044" s="1"/>
      <c r="H1044" s="1" t="s">
        <v>473</v>
      </c>
      <c r="J1044" s="1" t="s">
        <v>608</v>
      </c>
      <c r="M1044" s="15" t="s">
        <v>484</v>
      </c>
      <c r="N1044" s="15" t="s">
        <v>1492</v>
      </c>
      <c r="O1044" s="15">
        <v>10</v>
      </c>
      <c r="P1044" s="15" t="str" cm="1">
        <f t="array" ref="P10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4" s="15" t="str" cm="1">
        <f t="array" ref="Q10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canciones/kairoi/tu_llamada.html</v>
      </c>
      <c r="S1044" s="1"/>
      <c r="T1044" s="1"/>
      <c r="U1044" s="1"/>
      <c r="V1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href="canciones/kairoi/tu_llamada.html"&gt;Tu llamada&lt;/a&gt;&lt;/li&gt;</v>
      </c>
      <c r="W1044" s="15" t="str">
        <f>_xlfn.TEXTBEFORE(_xlfn.TEXTAFTER(CantoralDB[[#This Row],[index.html]],"&gt;"),"&gt;")&amp;"&gt;"</f>
        <v>&lt;a href="canciones/kairoi/tu_llamada.html"&gt;</v>
      </c>
    </row>
    <row r="1045" spans="1:23" x14ac:dyDescent="0.3">
      <c r="A1045" s="1">
        <f>ROW(CantoralDB[[#This Row],[Título]])-1</f>
        <v>1044</v>
      </c>
      <c r="B1045" s="1" t="s">
        <v>1641</v>
      </c>
      <c r="C1045" s="1"/>
      <c r="H1045" s="1" t="s">
        <v>531</v>
      </c>
      <c r="J1045" s="1" t="s">
        <v>608</v>
      </c>
      <c r="M1045" s="15" t="s">
        <v>484</v>
      </c>
      <c r="N1045" s="15" t="s">
        <v>1492</v>
      </c>
      <c r="O1045" s="15">
        <v>11</v>
      </c>
      <c r="P1045" s="15" t="str" cm="1">
        <f t="array" ref="P10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5" s="15" t="str" cm="1">
        <f t="array" ref="Q10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canciones/kairoi/no_es_facil.html</v>
      </c>
      <c r="S1045" s="1"/>
      <c r="T1045" s="1"/>
      <c r="U1045" s="1"/>
      <c r="V1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href="canciones/kairoi/no_es_facil.html"&gt;No es fácil&lt;/a&gt;&lt;/li&gt;</v>
      </c>
      <c r="W1045" s="15" t="str">
        <f>_xlfn.TEXTBEFORE(_xlfn.TEXTAFTER(CantoralDB[[#This Row],[index.html]],"&gt;"),"&gt;")&amp;"&gt;"</f>
        <v>&lt;a href="canciones/kairoi/no_es_facil.html"&gt;</v>
      </c>
    </row>
    <row r="1046" spans="1:23" x14ac:dyDescent="0.3">
      <c r="A1046" s="1">
        <f>ROW(CantoralDB[[#This Row],[Título]])-1</f>
        <v>1045</v>
      </c>
      <c r="B1046" s="1" t="s">
        <v>1642</v>
      </c>
      <c r="C1046" s="1"/>
      <c r="H1046" s="1" t="s">
        <v>1028</v>
      </c>
      <c r="J1046" s="1" t="s">
        <v>608</v>
      </c>
      <c r="M1046" s="15" t="s">
        <v>484</v>
      </c>
      <c r="N1046" s="15" t="s">
        <v>1492</v>
      </c>
      <c r="O1046" s="15">
        <v>12</v>
      </c>
      <c r="P1046" s="15" t="str" cm="1">
        <f t="array" ref="P10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6" s="15" t="str" cm="1">
        <f t="array" ref="Q10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canciones/kairoi/nacidos_de_la_cruz.html</v>
      </c>
      <c r="S1046" s="1"/>
      <c r="T1046" s="1"/>
      <c r="U1046" s="1"/>
      <c r="V1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href="canciones/kairoi/nacidos_de_la_cruz.html"&gt;Nacidos de la cruz&lt;/a&gt;&lt;/li&gt;</v>
      </c>
      <c r="W1046" s="15" t="str">
        <f>_xlfn.TEXTBEFORE(_xlfn.TEXTAFTER(CantoralDB[[#This Row],[index.html]],"&gt;"),"&gt;")&amp;"&gt;"</f>
        <v>&lt;a href="canciones/kairoi/nacidos_de_la_cruz.html"&gt;</v>
      </c>
    </row>
    <row r="1047" spans="1:23" x14ac:dyDescent="0.3">
      <c r="A1047" s="1">
        <f>ROW(CantoralDB[[#This Row],[Título]])-1</f>
        <v>1046</v>
      </c>
      <c r="B1047" s="1" t="s">
        <v>259</v>
      </c>
      <c r="C1047" s="1" t="s">
        <v>191</v>
      </c>
      <c r="D1047" s="1" t="s">
        <v>741</v>
      </c>
      <c r="F1047" s="1">
        <v>1</v>
      </c>
      <c r="G1047" s="1" t="s">
        <v>213</v>
      </c>
      <c r="H1047" s="1" t="s">
        <v>531</v>
      </c>
      <c r="J1047" s="1" t="s">
        <v>608</v>
      </c>
      <c r="M1047" s="15" t="s">
        <v>484</v>
      </c>
      <c r="N1047" s="15" t="s">
        <v>1483</v>
      </c>
      <c r="O1047" s="15">
        <v>1</v>
      </c>
      <c r="P1047" s="15" t="str" cm="1">
        <f t="array" ref="P10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7" s="15" t="str" cm="1">
        <f t="array" ref="Q10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canciones/kairoi/jesus_es_señor.html</v>
      </c>
      <c r="S1047" s="1" t="s">
        <v>840</v>
      </c>
      <c r="T1047" s="1"/>
      <c r="U1047" s="1"/>
      <c r="V1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data-nnew="A21"&gt;&lt;a href="canciones/kairoi/jesus_es_señor.html"&gt;Jesús es Señor&lt;/a&gt;&lt;/li&gt;</v>
      </c>
      <c r="W1047" s="15" t="str">
        <f>_xlfn.TEXTBEFORE(_xlfn.TEXTAFTER(CantoralDB[[#This Row],[index.html]],"&gt;"),"&gt;")&amp;"&gt;"</f>
        <v>&lt;a href="canciones/kairoi/jesus_es_señor.html"&gt;</v>
      </c>
    </row>
    <row r="1048" spans="1:23" x14ac:dyDescent="0.3">
      <c r="A1048" s="1">
        <f>ROW(CantoralDB[[#This Row],[Título]])-1</f>
        <v>1047</v>
      </c>
      <c r="B1048" s="1" t="s">
        <v>166</v>
      </c>
      <c r="C1048" s="1" t="s">
        <v>200</v>
      </c>
      <c r="D1048" s="1" t="s">
        <v>1058</v>
      </c>
      <c r="E1048" s="1">
        <v>474</v>
      </c>
      <c r="F1048" s="1">
        <v>60</v>
      </c>
      <c r="G1048" s="1" t="s">
        <v>209</v>
      </c>
      <c r="H1048" s="1" t="s">
        <v>1027</v>
      </c>
      <c r="J1048" s="1" t="s">
        <v>608</v>
      </c>
      <c r="M1048" s="15" t="s">
        <v>484</v>
      </c>
      <c r="N1048" s="15" t="s">
        <v>1483</v>
      </c>
      <c r="O1048" s="15">
        <v>2</v>
      </c>
      <c r="P1048" s="15" t="str" cm="1">
        <f t="array" ref="P10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8" s="15" t="str" cm="1">
        <f t="array" ref="Q10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canciones/kairoi/yo_cantare_(magnificat).html</v>
      </c>
      <c r="S1048" s="1" t="s">
        <v>868</v>
      </c>
      <c r="T1048" s="1"/>
      <c r="U1048" s="1"/>
      <c r="V1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data-nnew="M24" data-nold="474"&gt;&lt;a href="canciones/kairoi/yo_cantare_(magnificat).html"&gt;Yo cantaré (Magnificat)&lt;/a&gt;&lt;/li&gt;</v>
      </c>
      <c r="W1048" s="15" t="str">
        <f>_xlfn.TEXTBEFORE(_xlfn.TEXTAFTER(CantoralDB[[#This Row],[index.html]],"&gt;"),"&gt;")&amp;"&gt;"</f>
        <v>&lt;a href="canciones/kairoi/yo_cantare_(magnificat).html"&gt;</v>
      </c>
    </row>
    <row r="1049" spans="1:23" x14ac:dyDescent="0.3">
      <c r="A1049" s="1">
        <f>ROW(CantoralDB[[#This Row],[Título]])-1</f>
        <v>1048</v>
      </c>
      <c r="B1049" s="1" t="s">
        <v>225</v>
      </c>
      <c r="C1049" s="1" t="s">
        <v>191</v>
      </c>
      <c r="D1049" s="1" t="s">
        <v>742</v>
      </c>
      <c r="F1049" s="1">
        <v>11</v>
      </c>
      <c r="G1049" s="1" t="s">
        <v>216</v>
      </c>
      <c r="H1049" s="1" t="s">
        <v>531</v>
      </c>
      <c r="J1049" s="1" t="s">
        <v>608</v>
      </c>
      <c r="M1049" s="15" t="s">
        <v>484</v>
      </c>
      <c r="N1049" s="15" t="s">
        <v>1483</v>
      </c>
      <c r="O1049" s="15">
        <v>3</v>
      </c>
      <c r="P1049" s="15" t="str" cm="1">
        <f t="array" ref="P10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49" s="15" t="str" cm="1">
        <f t="array" ref="Q10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canciones/kairoi/jesus_esta_entre_nosotros.html</v>
      </c>
      <c r="S1049" s="1"/>
      <c r="T1049" s="1"/>
      <c r="U1049" s="1"/>
      <c r="V1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data-nnew="A22"&gt;&lt;a href="canciones/kairoi/jesus_esta_entre_nosotros.html"&gt;Jesús está entre nosotros&lt;/a&gt;&lt;/li&gt;</v>
      </c>
      <c r="W1049" s="15" t="str">
        <f>_xlfn.TEXTBEFORE(_xlfn.TEXTAFTER(CantoralDB[[#This Row],[index.html]],"&gt;"),"&gt;")&amp;"&gt;"</f>
        <v>&lt;a href="canciones/kairoi/jesus_esta_entre_nosotros.html"&gt;</v>
      </c>
    </row>
    <row r="1050" spans="1:23" x14ac:dyDescent="0.3">
      <c r="A1050" s="1">
        <f>ROW(CantoralDB[[#This Row],[Título]])-1</f>
        <v>1049</v>
      </c>
      <c r="B1050" s="1" t="s">
        <v>604</v>
      </c>
      <c r="C1050" s="1" t="s">
        <v>993</v>
      </c>
      <c r="D1050" s="1" t="s">
        <v>707</v>
      </c>
      <c r="F1050" s="1">
        <v>172</v>
      </c>
      <c r="G1050" s="1" t="s">
        <v>213</v>
      </c>
      <c r="H1050" s="1" t="s">
        <v>531</v>
      </c>
      <c r="J1050" s="1" t="s">
        <v>608</v>
      </c>
      <c r="M1050" s="15" t="s">
        <v>484</v>
      </c>
      <c r="N1050" s="15" t="s">
        <v>1483</v>
      </c>
      <c r="O1050" s="15">
        <v>4</v>
      </c>
      <c r="P1050" s="15" t="str" cm="1">
        <f t="array" ref="P10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0" s="15" t="str" cm="1">
        <f t="array" ref="Q10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canciones/kairoi/hablame.html</v>
      </c>
      <c r="S1050" s="1"/>
      <c r="T1050" s="1"/>
      <c r="U1050" s="1"/>
      <c r="V1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data-nnew="K34"&gt;&lt;a href="canciones/kairoi/hablame.html"&gt;Háblame&lt;/a&gt;&lt;/li&gt;</v>
      </c>
      <c r="W1050" s="15" t="str">
        <f>_xlfn.TEXTBEFORE(_xlfn.TEXTAFTER(CantoralDB[[#This Row],[index.html]],"&gt;"),"&gt;")&amp;"&gt;"</f>
        <v>&lt;a href="canciones/kairoi/hablame.html"&gt;</v>
      </c>
    </row>
    <row r="1051" spans="1:23" x14ac:dyDescent="0.3">
      <c r="A1051" s="1">
        <f>ROW(CantoralDB[[#This Row],[Título]])-1</f>
        <v>1050</v>
      </c>
      <c r="B1051" s="1" t="s">
        <v>103</v>
      </c>
      <c r="C1051" s="1" t="s">
        <v>993</v>
      </c>
      <c r="D1051" s="1" t="s">
        <v>725</v>
      </c>
      <c r="E1051" s="1">
        <v>443</v>
      </c>
      <c r="F1051" s="1">
        <v>208</v>
      </c>
      <c r="G1051" s="1" t="s">
        <v>209</v>
      </c>
      <c r="H1051" s="1" t="s">
        <v>531</v>
      </c>
      <c r="I1051" s="1" t="s">
        <v>2962</v>
      </c>
      <c r="J1051" s="1" t="s">
        <v>608</v>
      </c>
      <c r="M1051" s="15" t="s">
        <v>484</v>
      </c>
      <c r="N1051" s="15" t="s">
        <v>1483</v>
      </c>
      <c r="O1051" s="15">
        <v>5</v>
      </c>
      <c r="P1051" s="15" t="str" cm="1">
        <f t="array" ref="P10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1" s="15" t="str" cm="1">
        <f t="array" ref="Q10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canciones/kairoi/oracion_del_pobre.html</v>
      </c>
      <c r="S1051" s="1"/>
      <c r="T1051" s="1"/>
      <c r="U1051" s="1"/>
      <c r="V1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data-nnew="K52" data-nold="443"&gt;&lt;a href="canciones/kairoi/oracion_del_pobre.html"&gt;Oración del pobre&lt;/a&gt;&lt;/li&gt;</v>
      </c>
      <c r="W1051" s="15" t="str">
        <f>_xlfn.TEXTBEFORE(_xlfn.TEXTAFTER(CantoralDB[[#This Row],[index.html]],"&gt;"),"&gt;")&amp;"&gt;"</f>
        <v>&lt;a href="canciones/kairoi/oracion_del_pobre.html"&gt;</v>
      </c>
    </row>
    <row r="1052" spans="1:23" x14ac:dyDescent="0.3">
      <c r="A1052" s="1">
        <f>ROW(CantoralDB[[#This Row],[Título]])-1</f>
        <v>1051</v>
      </c>
      <c r="B1052" s="1" t="s">
        <v>1537</v>
      </c>
      <c r="C1052" s="1"/>
      <c r="F1052" s="1">
        <v>232</v>
      </c>
      <c r="H1052" s="1" t="s">
        <v>1027</v>
      </c>
      <c r="J1052" s="1" t="s">
        <v>608</v>
      </c>
      <c r="M1052" s="15" t="s">
        <v>484</v>
      </c>
      <c r="N1052" s="15" t="s">
        <v>1483</v>
      </c>
      <c r="O1052" s="15">
        <v>6</v>
      </c>
      <c r="P1052" s="15" t="str" cm="1">
        <f t="array" ref="P10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2" s="15" t="str" cm="1">
        <f t="array" ref="Q10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canciones/kairoi/himno_a_dios.html</v>
      </c>
      <c r="S1052" s="1"/>
      <c r="T1052" s="1"/>
      <c r="U1052" s="1"/>
      <c r="V1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href="canciones/kairoi/himno_a_dios.html"&gt;Himno a Dios&lt;/a&gt;&lt;/li&gt;</v>
      </c>
      <c r="W1052" s="15" t="str">
        <f>_xlfn.TEXTBEFORE(_xlfn.TEXTAFTER(CantoralDB[[#This Row],[index.html]],"&gt;"),"&gt;")&amp;"&gt;"</f>
        <v>&lt;a href="canciones/kairoi/himno_a_dios.html"&gt;</v>
      </c>
    </row>
    <row r="1053" spans="1:23" x14ac:dyDescent="0.3">
      <c r="A1053" s="1">
        <f>ROW(CantoralDB[[#This Row],[Título]])-1</f>
        <v>1052</v>
      </c>
      <c r="B1053" s="1" t="s">
        <v>1538</v>
      </c>
      <c r="C1053" s="1"/>
      <c r="H1053" s="1" t="s">
        <v>1029</v>
      </c>
      <c r="J1053" s="1" t="s">
        <v>608</v>
      </c>
      <c r="M1053" s="15" t="s">
        <v>484</v>
      </c>
      <c r="N1053" s="15" t="s">
        <v>1483</v>
      </c>
      <c r="O1053" s="15">
        <v>7</v>
      </c>
      <c r="P1053" s="15" t="str" cm="1">
        <f t="array" ref="P10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3" s="15" t="str" cm="1">
        <f t="array" ref="Q10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canciones/kairoi/ven_señor_jesus.html</v>
      </c>
      <c r="S1053" s="1"/>
      <c r="T1053" s="1"/>
      <c r="U1053" s="1"/>
      <c r="V1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href="canciones/kairoi/ven_señor_jesus.html"&gt;Ven, Señor Jesús&lt;/a&gt;&lt;/li&gt;</v>
      </c>
      <c r="W1053" s="15" t="str">
        <f>_xlfn.TEXTBEFORE(_xlfn.TEXTAFTER(CantoralDB[[#This Row],[index.html]],"&gt;"),"&gt;")&amp;"&gt;"</f>
        <v>&lt;a href="canciones/kairoi/ven_señor_jesus.html"&gt;</v>
      </c>
    </row>
    <row r="1054" spans="1:23" x14ac:dyDescent="0.3">
      <c r="A1054" s="1">
        <f>ROW(CantoralDB[[#This Row],[Título]])-1</f>
        <v>1053</v>
      </c>
      <c r="B1054" s="1" t="s">
        <v>1299</v>
      </c>
      <c r="C1054" s="1"/>
      <c r="F1054" s="1">
        <v>137</v>
      </c>
      <c r="H1054" s="1" t="s">
        <v>531</v>
      </c>
      <c r="J1054" s="1" t="s">
        <v>608</v>
      </c>
      <c r="M1054" s="15" t="s">
        <v>484</v>
      </c>
      <c r="N1054" s="15" t="s">
        <v>1483</v>
      </c>
      <c r="O1054" s="15">
        <v>8</v>
      </c>
      <c r="P1054" s="15" t="str" cm="1">
        <f t="array" ref="P10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4" s="15" t="str" cm="1">
        <f t="array" ref="Q10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canciones/kairoi/padre_me_pongo_en_tus_manos.html</v>
      </c>
      <c r="S1054" s="1"/>
      <c r="T1054" s="1"/>
      <c r="U1054" s="1"/>
      <c r="V1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href="canciones/kairoi/padre_me_pongo_en_tus_manos.html"&gt;Padre, me pongo en tus manos&lt;/a&gt;&lt;/li&gt;</v>
      </c>
      <c r="W1054" s="15" t="str">
        <f>_xlfn.TEXTBEFORE(_xlfn.TEXTAFTER(CantoralDB[[#This Row],[index.html]],"&gt;"),"&gt;")&amp;"&gt;"</f>
        <v>&lt;a href="canciones/kairoi/padre_me_pongo_en_tus_manos.html"&gt;</v>
      </c>
    </row>
    <row r="1055" spans="1:23" x14ac:dyDescent="0.3">
      <c r="A1055" s="1">
        <f>ROW(CantoralDB[[#This Row],[Título]])-1</f>
        <v>1054</v>
      </c>
      <c r="B1055" s="1" t="s">
        <v>609</v>
      </c>
      <c r="C1055" s="1" t="s">
        <v>193</v>
      </c>
      <c r="D1055" s="1" t="s">
        <v>1421</v>
      </c>
      <c r="F1055" s="1">
        <v>241</v>
      </c>
      <c r="G1055" s="1" t="s">
        <v>213</v>
      </c>
      <c r="H1055" s="1" t="s">
        <v>531</v>
      </c>
      <c r="I1055" s="1" t="s">
        <v>2962</v>
      </c>
      <c r="J1055" s="1" t="s">
        <v>608</v>
      </c>
      <c r="M1055" s="15" t="s">
        <v>484</v>
      </c>
      <c r="N1055" s="15" t="s">
        <v>1483</v>
      </c>
      <c r="O1055" s="15">
        <v>9</v>
      </c>
      <c r="P1055" s="15" t="str" cm="1">
        <f t="array" ref="P10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5" s="15" t="str" cm="1">
        <f t="array" ref="Q10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canciones/kairoi/gloria_a_dios_(no_se_como_alabarte).html</v>
      </c>
      <c r="S1055" s="1"/>
      <c r="T1055" s="1"/>
      <c r="U1055" s="1"/>
      <c r="V1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data-momento="Gloria" data-nnew="C01"&gt;&lt;a href="canciones/kairoi/gloria_a_dios_(no_se_como_alabarte).html"&gt;Gloria a Dios (No sé cómo alabarte)&lt;/a&gt;&lt;/li&gt;</v>
      </c>
      <c r="W1055" s="15" t="str">
        <f>_xlfn.TEXTBEFORE(_xlfn.TEXTAFTER(CantoralDB[[#This Row],[index.html]],"&gt;"),"&gt;")&amp;"&gt;"</f>
        <v>&lt;a href="canciones/kairoi/gloria_a_dios_(no_se_como_alabarte).html"&gt;</v>
      </c>
    </row>
    <row r="1056" spans="1:23" x14ac:dyDescent="0.3">
      <c r="A1056" s="1">
        <f>ROW(CantoralDB[[#This Row],[Título]])-1</f>
        <v>1055</v>
      </c>
      <c r="B1056" s="1" t="s">
        <v>1539</v>
      </c>
      <c r="C1056" s="1"/>
      <c r="F1056" s="1">
        <v>265</v>
      </c>
      <c r="H1056" s="1" t="s">
        <v>1027</v>
      </c>
      <c r="J1056" s="1" t="s">
        <v>608</v>
      </c>
      <c r="M1056" s="15" t="s">
        <v>484</v>
      </c>
      <c r="N1056" s="15" t="s">
        <v>1483</v>
      </c>
      <c r="O1056" s="15">
        <v>10</v>
      </c>
      <c r="P1056" s="15" t="str" cm="1">
        <f t="array" ref="P10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6" s="15" t="str" cm="1">
        <f t="array" ref="Q10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canciones/kairoi/tu_me_sondeas.html</v>
      </c>
      <c r="S1056" s="1"/>
      <c r="T1056" s="1"/>
      <c r="U1056" s="1"/>
      <c r="V1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href="canciones/kairoi/tu_me_sondeas.html"&gt;Tú me sondeas&lt;/a&gt;&lt;/li&gt;</v>
      </c>
      <c r="W1056" s="15" t="str">
        <f>_xlfn.TEXTBEFORE(_xlfn.TEXTAFTER(CantoralDB[[#This Row],[index.html]],"&gt;"),"&gt;")&amp;"&gt;"</f>
        <v>&lt;a href="canciones/kairoi/tu_me_sondeas.html"&gt;</v>
      </c>
    </row>
    <row r="1057" spans="1:23" x14ac:dyDescent="0.3">
      <c r="A1057" s="1">
        <f>ROW(CantoralDB[[#This Row],[Título]])-1</f>
        <v>1056</v>
      </c>
      <c r="B1057" s="1" t="s">
        <v>1540</v>
      </c>
      <c r="C1057" s="1"/>
      <c r="F1057" s="1">
        <v>22</v>
      </c>
      <c r="H1057" s="1" t="s">
        <v>1029</v>
      </c>
      <c r="J1057" s="1" t="s">
        <v>608</v>
      </c>
      <c r="M1057" s="15" t="s">
        <v>484</v>
      </c>
      <c r="N1057" s="15" t="s">
        <v>1483</v>
      </c>
      <c r="O1057" s="15">
        <v>11</v>
      </c>
      <c r="P1057" s="15" t="str" cm="1">
        <f t="array" ref="P10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7" s="15" t="str" cm="1">
        <f t="array" ref="Q10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0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canciones/kairoi/el_agua_del_señor.html</v>
      </c>
      <c r="S1057" s="1"/>
      <c r="T1057" s="1"/>
      <c r="U1057" s="1"/>
      <c r="V1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href="canciones/kairoi/el_agua_del_señor.html"&gt;El agua del Señor&lt;/a&gt;&lt;/li&gt;</v>
      </c>
      <c r="W1057" s="15" t="str">
        <f>_xlfn.TEXTBEFORE(_xlfn.TEXTAFTER(CantoralDB[[#This Row],[index.html]],"&gt;"),"&gt;")&amp;"&gt;"</f>
        <v>&lt;a href="canciones/kairoi/el_agua_del_señor.html"&gt;</v>
      </c>
    </row>
    <row r="1058" spans="1:23" x14ac:dyDescent="0.3">
      <c r="A1058" s="1">
        <f>ROW(CantoralDB[[#This Row],[Título]])-1</f>
        <v>1057</v>
      </c>
      <c r="B1058" s="1" t="s">
        <v>1541</v>
      </c>
      <c r="C1058" s="1"/>
      <c r="H1058" s="1" t="s">
        <v>531</v>
      </c>
      <c r="J1058" s="1" t="s">
        <v>608</v>
      </c>
      <c r="M1058" s="15" t="s">
        <v>484</v>
      </c>
      <c r="N1058" s="15" t="s">
        <v>1483</v>
      </c>
      <c r="O1058" s="15">
        <v>12</v>
      </c>
      <c r="P1058" s="15" t="str" cm="1">
        <f t="array" ref="P10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8" s="15" t="str" cm="1">
        <f t="array" ref="Q10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canciones/kairoi/canta_jerusalen.html</v>
      </c>
      <c r="S1058" s="1"/>
      <c r="T1058" s="1"/>
      <c r="U1058" s="1"/>
      <c r="V1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href="canciones/kairoi/canta_jerusalen.html"&gt;Canta Jerusalén&lt;/a&gt;&lt;/li&gt;</v>
      </c>
      <c r="W1058" s="15" t="str">
        <f>_xlfn.TEXTBEFORE(_xlfn.TEXTAFTER(CantoralDB[[#This Row],[index.html]],"&gt;"),"&gt;")&amp;"&gt;"</f>
        <v>&lt;a href="canciones/kairoi/canta_jerusalen.html"&gt;</v>
      </c>
    </row>
    <row r="1059" spans="1:23" x14ac:dyDescent="0.3">
      <c r="A1059" s="1">
        <f>ROW(CantoralDB[[#This Row],[Título]])-1</f>
        <v>1058</v>
      </c>
      <c r="B1059" s="1" t="s">
        <v>1743</v>
      </c>
      <c r="C1059" s="1"/>
      <c r="J1059" s="1"/>
      <c r="M1059" s="15" t="s">
        <v>484</v>
      </c>
      <c r="N1059" s="15" t="s">
        <v>1504</v>
      </c>
      <c r="O1059" s="15">
        <v>3</v>
      </c>
      <c r="P1059" s="15" t="str" cm="1">
        <f t="array" ref="P10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59" s="15" t="str" cm="1">
        <f t="array" ref="Q10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canciones/kairoi/entorno_al_pan.html</v>
      </c>
      <c r="S1059" s="1"/>
      <c r="T1059" s="1"/>
      <c r="U1059" s="1"/>
      <c r="V1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href="canciones/kairoi/entorno_al_pan.html"&gt;Entorno al pan&lt;/a&gt;&lt;/li&gt;</v>
      </c>
      <c r="W1059" s="15" t="str">
        <f>_xlfn.TEXTBEFORE(_xlfn.TEXTAFTER(CantoralDB[[#This Row],[index.html]],"&gt;"),"&gt;")&amp;"&gt;"</f>
        <v>&lt;a href="canciones/kairoi/entorno_al_pan.html"&gt;</v>
      </c>
    </row>
    <row r="1060" spans="1:23" x14ac:dyDescent="0.3">
      <c r="A1060" s="1">
        <f>ROW(CantoralDB[[#This Row],[Título]])-1</f>
        <v>1059</v>
      </c>
      <c r="B1060" s="1" t="s">
        <v>1625</v>
      </c>
      <c r="C1060" s="1"/>
      <c r="H1060" s="1" t="s">
        <v>1027</v>
      </c>
      <c r="J1060" s="1" t="s">
        <v>608</v>
      </c>
      <c r="M1060" s="15" t="s">
        <v>484</v>
      </c>
      <c r="N1060" s="15" t="s">
        <v>1504</v>
      </c>
      <c r="O1060" s="15">
        <v>5</v>
      </c>
      <c r="P1060" s="15" t="str" cm="1">
        <f t="array" ref="P10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60" s="15" t="str" cm="1">
        <f t="array" ref="Q10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canciones/kairoi/diremos_que_si.html</v>
      </c>
      <c r="S1060" s="1"/>
      <c r="T1060" s="1"/>
      <c r="U1060" s="1"/>
      <c r="V1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href="canciones/kairoi/diremos_que_si.html"&gt;Diremos que sí&lt;/a&gt;&lt;/li&gt;</v>
      </c>
      <c r="W1060" s="15" t="str">
        <f>_xlfn.TEXTBEFORE(_xlfn.TEXTAFTER(CantoralDB[[#This Row],[index.html]],"&gt;"),"&gt;")&amp;"&gt;"</f>
        <v>&lt;a href="canciones/kairoi/diremos_que_si.html"&gt;</v>
      </c>
    </row>
    <row r="1061" spans="1:23" x14ac:dyDescent="0.3">
      <c r="A1061" s="1">
        <f>ROW(CantoralDB[[#This Row],[Título]])-1</f>
        <v>1060</v>
      </c>
      <c r="B1061" s="1" t="s">
        <v>1724</v>
      </c>
      <c r="C1061" s="1"/>
      <c r="J1061" s="1"/>
      <c r="M1061" s="15" t="s">
        <v>484</v>
      </c>
      <c r="N1061" s="15" t="s">
        <v>1504</v>
      </c>
      <c r="O1061" s="15">
        <v>6</v>
      </c>
      <c r="P1061" s="15" t="str" cm="1">
        <f t="array" ref="P10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61" s="15" t="str" cm="1">
        <f t="array" ref="Q10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canciones/kairoi/caminar.html</v>
      </c>
      <c r="S1061" s="1"/>
      <c r="T1061" s="1"/>
      <c r="U1061" s="1"/>
      <c r="V1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href="canciones/kairoi/caminar.html"&gt;Caminar&lt;/a&gt;&lt;/li&gt;</v>
      </c>
      <c r="W1061" s="15" t="str">
        <f>_xlfn.TEXTBEFORE(_xlfn.TEXTAFTER(CantoralDB[[#This Row],[index.html]],"&gt;"),"&gt;")&amp;"&gt;"</f>
        <v>&lt;a href="canciones/kairoi/caminar.html"&gt;</v>
      </c>
    </row>
    <row r="1062" spans="1:23" x14ac:dyDescent="0.3">
      <c r="A1062" s="1">
        <f>ROW(CantoralDB[[#This Row],[Título]])-1</f>
        <v>1061</v>
      </c>
      <c r="B1062" s="1" t="s">
        <v>1570</v>
      </c>
      <c r="C1062" s="1"/>
      <c r="H1062" s="1" t="s">
        <v>531</v>
      </c>
      <c r="J1062" s="1" t="s">
        <v>608</v>
      </c>
      <c r="M1062" s="15" t="s">
        <v>484</v>
      </c>
      <c r="N1062" s="15" t="s">
        <v>1504</v>
      </c>
      <c r="O1062" s="15">
        <v>7</v>
      </c>
      <c r="P1062" s="15" t="str" cm="1">
        <f t="array" ref="P10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62" s="15" t="str" cm="1">
        <f t="array" ref="Q10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canciones/kairoi/gracias_por_tu_don.html</v>
      </c>
      <c r="S1062" s="1"/>
      <c r="T1062" s="1"/>
      <c r="U1062" s="1"/>
      <c r="V1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href="canciones/kairoi/gracias_por_tu_don.html"&gt;Gracias por tu don&lt;/a&gt;&lt;/li&gt;</v>
      </c>
      <c r="W1062" s="15" t="str">
        <f>_xlfn.TEXTBEFORE(_xlfn.TEXTAFTER(CantoralDB[[#This Row],[index.html]],"&gt;"),"&gt;")&amp;"&gt;"</f>
        <v>&lt;a href="canciones/kairoi/gracias_por_tu_don.html"&gt;</v>
      </c>
    </row>
    <row r="1063" spans="1:23" x14ac:dyDescent="0.3">
      <c r="A1063" s="1">
        <f>ROW(CantoralDB[[#This Row],[Título]])-1</f>
        <v>1062</v>
      </c>
      <c r="B1063" s="1" t="s">
        <v>1744</v>
      </c>
      <c r="C1063" s="1"/>
      <c r="J1063" s="1"/>
      <c r="M1063" s="15" t="s">
        <v>484</v>
      </c>
      <c r="N1063" s="15" t="s">
        <v>1504</v>
      </c>
      <c r="O1063" s="15">
        <v>9</v>
      </c>
      <c r="P1063" s="15" t="str" cm="1">
        <f t="array" ref="P10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63" s="15" t="str" cm="1">
        <f t="array" ref="Q10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canciones/kairoi/somos.html</v>
      </c>
      <c r="S1063" s="1"/>
      <c r="T1063" s="1"/>
      <c r="U1063" s="1"/>
      <c r="V1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href="canciones/kairoi/somos.html"&gt;Somos&lt;/a&gt;&lt;/li&gt;</v>
      </c>
      <c r="W1063" s="15" t="str">
        <f>_xlfn.TEXTBEFORE(_xlfn.TEXTAFTER(CantoralDB[[#This Row],[index.html]],"&gt;"),"&gt;")&amp;"&gt;"</f>
        <v>&lt;a href="canciones/kairoi/somos.html"&gt;</v>
      </c>
    </row>
    <row r="1064" spans="1:23" x14ac:dyDescent="0.3">
      <c r="A1064" s="1">
        <f>ROW(CantoralDB[[#This Row],[Título]])-1</f>
        <v>1063</v>
      </c>
      <c r="B1064" s="1" t="s">
        <v>1593</v>
      </c>
      <c r="C1064" s="1"/>
      <c r="J1064" s="1"/>
      <c r="M1064" s="15" t="s">
        <v>484</v>
      </c>
      <c r="N1064" s="15" t="s">
        <v>1485</v>
      </c>
      <c r="O1064" s="15">
        <v>1</v>
      </c>
      <c r="P1064" s="15" t="str" cm="1">
        <f t="array" ref="P10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64" s="15" t="str" cm="1">
        <f t="array" ref="Q10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canciones/kairoi/un_himno_surgira.html</v>
      </c>
      <c r="S1064" s="1"/>
      <c r="T1064" s="1"/>
      <c r="U1064" s="1"/>
      <c r="V1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href="canciones/kairoi/un_himno_surgira.html"&gt;Un himno surgirá&lt;/a&gt;&lt;/li&gt;</v>
      </c>
      <c r="W1064" s="15" t="str">
        <f>_xlfn.TEXTBEFORE(_xlfn.TEXTAFTER(CantoralDB[[#This Row],[index.html]],"&gt;"),"&gt;")&amp;"&gt;"</f>
        <v>&lt;a href="canciones/kairoi/un_himno_surgira.html"&gt;</v>
      </c>
    </row>
    <row r="1065" spans="1:23" x14ac:dyDescent="0.3">
      <c r="A1065" s="1">
        <f>ROW(CantoralDB[[#This Row],[Título]])-1</f>
        <v>1064</v>
      </c>
      <c r="B1065" s="1" t="s">
        <v>1594</v>
      </c>
      <c r="C1065" s="1"/>
      <c r="J1065" s="1"/>
      <c r="M1065" s="15" t="s">
        <v>484</v>
      </c>
      <c r="N1065" s="15" t="s">
        <v>1485</v>
      </c>
      <c r="O1065" s="15">
        <v>3</v>
      </c>
      <c r="P1065" s="15" t="str" cm="1">
        <f t="array" ref="P10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65" s="15" t="str" cm="1">
        <f t="array" ref="Q10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canciones/kairoi/hermitage_casa_del_señor.html</v>
      </c>
      <c r="S1065" s="1"/>
      <c r="T1065" s="1"/>
      <c r="U1065" s="1"/>
      <c r="V1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href="canciones/kairoi/hermitage_casa_del_señor.html"&gt;Hermitage, casa del Señor&lt;/a&gt;&lt;/li&gt;</v>
      </c>
      <c r="W1065" s="15" t="str">
        <f>_xlfn.TEXTBEFORE(_xlfn.TEXTAFTER(CantoralDB[[#This Row],[index.html]],"&gt;"),"&gt;")&amp;"&gt;"</f>
        <v>&lt;a href="canciones/kairoi/hermitage_casa_del_señor.html"&gt;</v>
      </c>
    </row>
    <row r="1066" spans="1:23" x14ac:dyDescent="0.3">
      <c r="A1066" s="1">
        <f>ROW(CantoralDB[[#This Row],[Título]])-1</f>
        <v>1065</v>
      </c>
      <c r="B1066" s="1" t="s">
        <v>1595</v>
      </c>
      <c r="C1066" s="1"/>
      <c r="J1066" s="1"/>
      <c r="M1066" s="15" t="s">
        <v>484</v>
      </c>
      <c r="N1066" s="15" t="s">
        <v>1485</v>
      </c>
      <c r="O1066" s="15">
        <v>5</v>
      </c>
      <c r="P1066" s="15" t="str" cm="1">
        <f t="array" ref="P10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66" s="15" t="str" cm="1">
        <f t="array" ref="Q10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canciones/kairoi/donde_haya_un_niño.html</v>
      </c>
      <c r="S1066" s="1"/>
      <c r="T1066" s="1"/>
      <c r="U1066" s="1"/>
      <c r="V1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href="canciones/kairoi/donde_haya_un_niño.html"&gt;Donde haya un niño&lt;/a&gt;&lt;/li&gt;</v>
      </c>
      <c r="W1066" s="15" t="str">
        <f>_xlfn.TEXTBEFORE(_xlfn.TEXTAFTER(CantoralDB[[#This Row],[index.html]],"&gt;"),"&gt;")&amp;"&gt;"</f>
        <v>&lt;a href="canciones/kairoi/donde_haya_un_niño.html"&gt;</v>
      </c>
    </row>
    <row r="1067" spans="1:23" x14ac:dyDescent="0.3">
      <c r="A1067" s="1">
        <f>ROW(CantoralDB[[#This Row],[Título]])-1</f>
        <v>1066</v>
      </c>
      <c r="B1067" s="1" t="s">
        <v>1596</v>
      </c>
      <c r="C1067" s="1"/>
      <c r="J1067" s="1"/>
      <c r="M1067" s="15" t="s">
        <v>484</v>
      </c>
      <c r="N1067" s="15" t="s">
        <v>1485</v>
      </c>
      <c r="O1067" s="15">
        <v>6</v>
      </c>
      <c r="P1067" s="15" t="str" cm="1">
        <f t="array" ref="P10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67" s="15" t="str" cm="1">
        <f t="array" ref="Q10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canciones/kairoi/pienso_en_usted.html</v>
      </c>
      <c r="S1067" s="1"/>
      <c r="T1067" s="1"/>
      <c r="U1067" s="1"/>
      <c r="V1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href="canciones/kairoi/pienso_en_usted.html"&gt;Pienso en usted&lt;/a&gt;&lt;/li&gt;</v>
      </c>
      <c r="W1067" s="15" t="str">
        <f>_xlfn.TEXTBEFORE(_xlfn.TEXTAFTER(CantoralDB[[#This Row],[index.html]],"&gt;"),"&gt;")&amp;"&gt;"</f>
        <v>&lt;a href="canciones/kairoi/pienso_en_usted.html"&gt;</v>
      </c>
    </row>
    <row r="1068" spans="1:23" x14ac:dyDescent="0.3">
      <c r="A1068" s="1">
        <f>ROW(CantoralDB[[#This Row],[Título]])-1</f>
        <v>1067</v>
      </c>
      <c r="B1068" s="1" t="s">
        <v>1598</v>
      </c>
      <c r="C1068" s="1"/>
      <c r="J1068" s="1"/>
      <c r="M1068" s="15" t="s">
        <v>484</v>
      </c>
      <c r="N1068" s="15" t="s">
        <v>1485</v>
      </c>
      <c r="O1068" s="15">
        <v>8</v>
      </c>
      <c r="P1068" s="15" t="str" cm="1">
        <f t="array" ref="P10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68" s="15" t="str" cm="1">
        <f t="array" ref="Q10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canciones/kairoi/confiad_recurrid.html</v>
      </c>
      <c r="S1068" s="1"/>
      <c r="T1068" s="1"/>
      <c r="U1068" s="1"/>
      <c r="V1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href="canciones/kairoi/confiad_recurrid.html"&gt;Confiad, recurrid&lt;/a&gt;&lt;/li&gt;</v>
      </c>
      <c r="W1068" s="15" t="str">
        <f>_xlfn.TEXTBEFORE(_xlfn.TEXTAFTER(CantoralDB[[#This Row],[index.html]],"&gt;"),"&gt;")&amp;"&gt;"</f>
        <v>&lt;a href="canciones/kairoi/confiad_recurrid.html"&gt;</v>
      </c>
    </row>
    <row r="1069" spans="1:23" x14ac:dyDescent="0.3">
      <c r="A1069" s="1">
        <f>ROW(CantoralDB[[#This Row],[Título]])-1</f>
        <v>1068</v>
      </c>
      <c r="B1069" s="1" t="s">
        <v>1599</v>
      </c>
      <c r="C1069" s="1"/>
      <c r="J1069" s="1"/>
      <c r="M1069" s="15" t="s">
        <v>484</v>
      </c>
      <c r="N1069" s="15" t="s">
        <v>1485</v>
      </c>
      <c r="O1069" s="15">
        <v>9</v>
      </c>
      <c r="P1069" s="15" t="str" cm="1">
        <f t="array" ref="P10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69" s="15" t="str" cm="1">
        <f t="array" ref="Q10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canciones/kairoi/hermanitos_de_maria.html</v>
      </c>
      <c r="S1069" s="1"/>
      <c r="T1069" s="1"/>
      <c r="U1069" s="1"/>
      <c r="V10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href="canciones/kairoi/hermanitos_de_maria.html"&gt;Hermanitos de María&lt;/a&gt;&lt;/li&gt;</v>
      </c>
      <c r="W1069" s="15" t="str">
        <f>_xlfn.TEXTBEFORE(_xlfn.TEXTAFTER(CantoralDB[[#This Row],[index.html]],"&gt;"),"&gt;")&amp;"&gt;"</f>
        <v>&lt;a href="canciones/kairoi/hermanitos_de_maria.html"&gt;</v>
      </c>
    </row>
    <row r="1070" spans="1:23" x14ac:dyDescent="0.3">
      <c r="A1070" s="1">
        <f>ROW(CantoralDB[[#This Row],[Título]])-1</f>
        <v>1069</v>
      </c>
      <c r="B1070" s="1" t="s">
        <v>1550</v>
      </c>
      <c r="C1070" s="1"/>
      <c r="H1070" s="1" t="s">
        <v>531</v>
      </c>
      <c r="J1070" s="1" t="s">
        <v>608</v>
      </c>
      <c r="M1070" s="15" t="s">
        <v>484</v>
      </c>
      <c r="N1070" s="15" t="s">
        <v>1485</v>
      </c>
      <c r="O1070" s="15">
        <v>10</v>
      </c>
      <c r="P1070" s="15" t="str" cm="1">
        <f t="array" ref="P10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70" s="15" t="str" cm="1">
        <f t="array" ref="Q10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canciones/kairoi/corto_la_roca.html</v>
      </c>
      <c r="S1070" s="1"/>
      <c r="T1070" s="1"/>
      <c r="U1070" s="1"/>
      <c r="V1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href="canciones/kairoi/corto_la_roca.html"&gt;Cortó la roca&lt;/a&gt;&lt;/li&gt;</v>
      </c>
      <c r="W1070" s="15" t="str">
        <f>_xlfn.TEXTBEFORE(_xlfn.TEXTAFTER(CantoralDB[[#This Row],[index.html]],"&gt;"),"&gt;")&amp;"&gt;"</f>
        <v>&lt;a href="canciones/kairoi/corto_la_roca.html"&gt;</v>
      </c>
    </row>
    <row r="1071" spans="1:23" x14ac:dyDescent="0.3">
      <c r="A1071" s="1">
        <f>ROW(CantoralDB[[#This Row],[Título]])-1</f>
        <v>1070</v>
      </c>
      <c r="B1071" s="1" t="s">
        <v>1600</v>
      </c>
      <c r="C1071" s="1"/>
      <c r="J1071" s="1"/>
      <c r="M1071" s="15" t="s">
        <v>484</v>
      </c>
      <c r="N1071" s="15" t="s">
        <v>1485</v>
      </c>
      <c r="O1071" s="15">
        <v>11</v>
      </c>
      <c r="P1071" s="15" t="str" cm="1">
        <f t="array" ref="P10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71" s="15" t="str" cm="1">
        <f t="array" ref="Q10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canciones/kairoi/testamento_espiritual.html</v>
      </c>
      <c r="S1071" s="1"/>
      <c r="T1071" s="1"/>
      <c r="U1071" s="1"/>
      <c r="V1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href="canciones/kairoi/testamento_espiritual.html"&gt;Testamento espiritual&lt;/a&gt;&lt;/li&gt;</v>
      </c>
      <c r="W1071" s="15" t="str">
        <f>_xlfn.TEXTBEFORE(_xlfn.TEXTAFTER(CantoralDB[[#This Row],[index.html]],"&gt;"),"&gt;")&amp;"&gt;"</f>
        <v>&lt;a href="canciones/kairoi/testamento_espiritual.html"&gt;</v>
      </c>
    </row>
    <row r="1072" spans="1:23" x14ac:dyDescent="0.3">
      <c r="A1072" s="1">
        <f>ROW(CantoralDB[[#This Row],[Título]])-1</f>
        <v>1071</v>
      </c>
      <c r="B1072" s="1" t="s">
        <v>1601</v>
      </c>
      <c r="C1072" s="1"/>
      <c r="J1072" s="1"/>
      <c r="M1072" s="15" t="s">
        <v>484</v>
      </c>
      <c r="N1072" s="15" t="s">
        <v>1485</v>
      </c>
      <c r="O1072" s="15">
        <v>12</v>
      </c>
      <c r="P1072" s="15" t="str" cm="1">
        <f t="array" ref="P10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72" s="15" t="str" cm="1">
        <f t="array" ref="Q10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canciones/kairoi/nuestras_voces_cantan.html</v>
      </c>
      <c r="S1072" s="1"/>
      <c r="T1072" s="1"/>
      <c r="U1072" s="1"/>
      <c r="V1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href="canciones/kairoi/nuestras_voces_cantan.html"&gt;Nuestras voces cantan&lt;/a&gt;&lt;/li&gt;</v>
      </c>
      <c r="W1072" s="15" t="str">
        <f>_xlfn.TEXTBEFORE(_xlfn.TEXTAFTER(CantoralDB[[#This Row],[index.html]],"&gt;"),"&gt;")&amp;"&gt;"</f>
        <v>&lt;a href="canciones/kairoi/nuestras_voces_cantan.html"&gt;</v>
      </c>
    </row>
    <row r="1073" spans="1:23" x14ac:dyDescent="0.3">
      <c r="A1073" s="1">
        <f>ROW(CantoralDB[[#This Row],[Título]])-1</f>
        <v>1072</v>
      </c>
      <c r="B1073" s="1" t="s">
        <v>2885</v>
      </c>
      <c r="C1073" s="1"/>
      <c r="H1073" s="1" t="s">
        <v>531</v>
      </c>
      <c r="J1073" s="1" t="s">
        <v>608</v>
      </c>
      <c r="M1073" s="15" t="s">
        <v>484</v>
      </c>
      <c r="N1073" s="15" t="s">
        <v>92</v>
      </c>
      <c r="O1073" s="15">
        <v>1</v>
      </c>
      <c r="P1073" s="15" t="str" cm="1">
        <f t="array" ref="P10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73" s="15" t="str" cm="1">
        <f t="array" ref="Q10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canciones/kairoi/ave_maria_i.html</v>
      </c>
      <c r="S1073" s="1"/>
      <c r="T1073" s="1"/>
      <c r="U1073" s="1"/>
      <c r="V1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href="canciones/kairoi/ave_maria_i.html"&gt;Ave María I&lt;/a&gt;&lt;/li&gt;</v>
      </c>
      <c r="W1073" s="15" t="str">
        <f>_xlfn.TEXTBEFORE(_xlfn.TEXTAFTER(CantoralDB[[#This Row],[index.html]],"&gt;"),"&gt;")&amp;"&gt;"</f>
        <v>&lt;a href="canciones/kairoi/ave_maria_i.html"&gt;</v>
      </c>
    </row>
    <row r="1074" spans="1:23" x14ac:dyDescent="0.3">
      <c r="A1074" s="1">
        <f>ROW(CantoralDB[[#This Row],[Título]])-1</f>
        <v>1073</v>
      </c>
      <c r="B1074" s="1" t="s">
        <v>1542</v>
      </c>
      <c r="C1074" s="1"/>
      <c r="H1074" s="1" t="s">
        <v>1028</v>
      </c>
      <c r="J1074" s="1" t="s">
        <v>608</v>
      </c>
      <c r="M1074" s="15" t="s">
        <v>484</v>
      </c>
      <c r="N1074" s="15" t="s">
        <v>92</v>
      </c>
      <c r="O1074" s="15">
        <v>2</v>
      </c>
      <c r="P1074" s="15" t="str" cm="1">
        <f t="array" ref="P10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74" s="15" t="str" cm="1">
        <f t="array" ref="Q10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canciones/kairoi/tu_estas_cerca.html</v>
      </c>
      <c r="S1074" s="1"/>
      <c r="T1074" s="1"/>
      <c r="U1074" s="1"/>
      <c r="V1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href="canciones/kairoi/tu_estas_cerca.html"&gt;Tú estás cerca&lt;/a&gt;&lt;/li&gt;</v>
      </c>
      <c r="W1074" s="15" t="str">
        <f>_xlfn.TEXTBEFORE(_xlfn.TEXTAFTER(CantoralDB[[#This Row],[index.html]],"&gt;"),"&gt;")&amp;"&gt;"</f>
        <v>&lt;a href="canciones/kairoi/tu_estas_cerca.html"&gt;</v>
      </c>
    </row>
    <row r="1075" spans="1:23" x14ac:dyDescent="0.3">
      <c r="A1075" s="1">
        <f>ROW(CantoralDB[[#This Row],[Título]])-1</f>
        <v>1074</v>
      </c>
      <c r="B1075" s="1" t="s">
        <v>1543</v>
      </c>
      <c r="C1075" s="1"/>
      <c r="H1075" s="1" t="s">
        <v>531</v>
      </c>
      <c r="J1075" s="1" t="s">
        <v>608</v>
      </c>
      <c r="M1075" s="15" t="s">
        <v>484</v>
      </c>
      <c r="N1075" s="15" t="s">
        <v>92</v>
      </c>
      <c r="O1075" s="15">
        <v>3</v>
      </c>
      <c r="P1075" s="15" t="str" cm="1">
        <f t="array" ref="P10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75" s="15" t="str" cm="1">
        <f t="array" ref="Q10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canciones/kairoi/madre_de_los_hijos_pobres.html</v>
      </c>
      <c r="S1075" s="1"/>
      <c r="T1075" s="1"/>
      <c r="U1075" s="1"/>
      <c r="V1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href="canciones/kairoi/madre_de_los_hijos_pobres.html"&gt;Madre de los hijos pobres&lt;/a&gt;&lt;/li&gt;</v>
      </c>
      <c r="W1075" s="15" t="str">
        <f>_xlfn.TEXTBEFORE(_xlfn.TEXTAFTER(CantoralDB[[#This Row],[index.html]],"&gt;"),"&gt;")&amp;"&gt;"</f>
        <v>&lt;a href="canciones/kairoi/madre_de_los_hijos_pobres.html"&gt;</v>
      </c>
    </row>
    <row r="1076" spans="1:23" x14ac:dyDescent="0.3">
      <c r="A1076" s="1">
        <f>ROW(CantoralDB[[#This Row],[Título]])-1</f>
        <v>1075</v>
      </c>
      <c r="B1076" s="1" t="s">
        <v>1544</v>
      </c>
      <c r="C1076" s="1"/>
      <c r="H1076" s="1" t="s">
        <v>1029</v>
      </c>
      <c r="J1076" s="1" t="s">
        <v>608</v>
      </c>
      <c r="M1076" s="15" t="s">
        <v>484</v>
      </c>
      <c r="N1076" s="15" t="s">
        <v>92</v>
      </c>
      <c r="O1076" s="15">
        <v>4</v>
      </c>
      <c r="P1076" s="15" t="str" cm="1">
        <f t="array" ref="P10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76" s="15" t="str" cm="1">
        <f t="array" ref="Q10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canciones/kairoi/magnificat.html</v>
      </c>
      <c r="S1076" s="1"/>
      <c r="T1076" s="1"/>
      <c r="U1076" s="1"/>
      <c r="V1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href="canciones/kairoi/magnificat.html"&gt;Magnificat&lt;/a&gt;&lt;/li&gt;</v>
      </c>
      <c r="W1076" s="15" t="str">
        <f>_xlfn.TEXTBEFORE(_xlfn.TEXTAFTER(CantoralDB[[#This Row],[index.html]],"&gt;"),"&gt;")&amp;"&gt;"</f>
        <v>&lt;a href="canciones/kairoi/magnificat.html"&gt;</v>
      </c>
    </row>
    <row r="1077" spans="1:23" x14ac:dyDescent="0.3">
      <c r="A1077" s="1">
        <f>ROW(CantoralDB[[#This Row],[Título]])-1</f>
        <v>1076</v>
      </c>
      <c r="B1077" s="1" t="s">
        <v>1545</v>
      </c>
      <c r="C1077" s="1"/>
      <c r="H1077" s="1" t="s">
        <v>1030</v>
      </c>
      <c r="J1077" s="1" t="s">
        <v>608</v>
      </c>
      <c r="M1077" s="15" t="s">
        <v>484</v>
      </c>
      <c r="N1077" s="15" t="s">
        <v>92</v>
      </c>
      <c r="O1077" s="15">
        <v>5</v>
      </c>
      <c r="P1077" s="15" t="str" cm="1">
        <f t="array" ref="P10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77" s="15" t="str" cm="1">
        <f t="array" ref="Q10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canciones/kairoi/angelus.html</v>
      </c>
      <c r="S1077" s="1"/>
      <c r="T1077" s="1"/>
      <c r="U1077" s="1"/>
      <c r="V1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href="canciones/kairoi/angelus.html"&gt;Angelus&lt;/a&gt;&lt;/li&gt;</v>
      </c>
      <c r="W1077" s="15" t="str">
        <f>_xlfn.TEXTBEFORE(_xlfn.TEXTAFTER(CantoralDB[[#This Row],[index.html]],"&gt;"),"&gt;")&amp;"&gt;"</f>
        <v>&lt;a href="canciones/kairoi/angelus.html"&gt;</v>
      </c>
    </row>
    <row r="1078" spans="1:23" x14ac:dyDescent="0.3">
      <c r="A1078" s="1">
        <f>ROW(CantoralDB[[#This Row],[Título]])-1</f>
        <v>1077</v>
      </c>
      <c r="B1078" s="1" t="s">
        <v>2893</v>
      </c>
      <c r="C1078" s="1"/>
      <c r="H1078" s="1" t="s">
        <v>1027</v>
      </c>
      <c r="J1078" s="1" t="s">
        <v>608</v>
      </c>
      <c r="M1078" s="15" t="s">
        <v>484</v>
      </c>
      <c r="N1078" s="15" t="s">
        <v>92</v>
      </c>
      <c r="O1078" s="15">
        <v>6</v>
      </c>
      <c r="P1078" s="15" t="str" cm="1">
        <f t="array" ref="P10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78" s="15" t="str" cm="1">
        <f t="array" ref="Q10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canciones/kairoi/gracias_madre.html</v>
      </c>
      <c r="S1078" s="1"/>
      <c r="T1078" s="1"/>
      <c r="U1078" s="1"/>
      <c r="V1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href="canciones/kairoi/gracias_madre.html"&gt;Gracias, Madre&lt;/a&gt;&lt;/li&gt;</v>
      </c>
      <c r="W1078" s="15" t="str">
        <f>_xlfn.TEXTBEFORE(_xlfn.TEXTAFTER(CantoralDB[[#This Row],[index.html]],"&gt;"),"&gt;")&amp;"&gt;"</f>
        <v>&lt;a href="canciones/kairoi/gracias_madre.html"&gt;</v>
      </c>
    </row>
    <row r="1079" spans="1:23" x14ac:dyDescent="0.3">
      <c r="A1079" s="1">
        <f>ROW(CantoralDB[[#This Row],[Título]])-1</f>
        <v>1078</v>
      </c>
      <c r="B1079" s="1" t="s">
        <v>92</v>
      </c>
      <c r="C1079" s="1" t="s">
        <v>200</v>
      </c>
      <c r="D1079" s="1" t="s">
        <v>1049</v>
      </c>
      <c r="E1079" s="1">
        <v>436</v>
      </c>
      <c r="F1079" s="1">
        <v>31</v>
      </c>
      <c r="G1079" s="1" t="s">
        <v>209</v>
      </c>
      <c r="H1079" s="1" t="s">
        <v>531</v>
      </c>
      <c r="I1079" s="1" t="s">
        <v>2962</v>
      </c>
      <c r="J1079" s="1" t="s">
        <v>608</v>
      </c>
      <c r="M1079" s="15" t="s">
        <v>484</v>
      </c>
      <c r="N1079" s="15" t="s">
        <v>92</v>
      </c>
      <c r="O1079" s="15">
        <v>7</v>
      </c>
      <c r="P1079" s="15" t="str" cm="1">
        <f t="array" ref="P10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79" s="15" t="str" cm="1">
        <f t="array" ref="Q10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canciones/kairoi/maria_musica_de_dios.html</v>
      </c>
      <c r="S1079" s="1"/>
      <c r="T1079" s="1"/>
      <c r="U1079" s="1"/>
      <c r="V1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data-nnew="M15" data-nold="436"&gt;&lt;a href="canciones/kairoi/maria_musica_de_dios.html"&gt;María, música de Dios&lt;/a&gt;&lt;/li&gt;</v>
      </c>
      <c r="W1079" s="15" t="str">
        <f>_xlfn.TEXTBEFORE(_xlfn.TEXTAFTER(CantoralDB[[#This Row],[index.html]],"&gt;"),"&gt;")&amp;"&gt;"</f>
        <v>&lt;a href="canciones/kairoi/maria_musica_de_dios.html"&gt;</v>
      </c>
    </row>
    <row r="1080" spans="1:23" x14ac:dyDescent="0.3">
      <c r="A1080" s="1">
        <f>ROW(CantoralDB[[#This Row],[Título]])-1</f>
        <v>1079</v>
      </c>
      <c r="B1080" s="1" t="s">
        <v>1546</v>
      </c>
      <c r="C1080" s="1"/>
      <c r="H1080" s="1" t="s">
        <v>531</v>
      </c>
      <c r="J1080" s="1" t="s">
        <v>608</v>
      </c>
      <c r="M1080" s="15" t="s">
        <v>484</v>
      </c>
      <c r="N1080" s="15" t="s">
        <v>92</v>
      </c>
      <c r="O1080" s="15">
        <v>9</v>
      </c>
      <c r="P1080" s="15" t="str" cm="1">
        <f t="array" ref="P10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80" s="15" t="str" cm="1">
        <f t="array" ref="Q10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canciones/kairoi/arcilla_entre_sus_manos.html</v>
      </c>
      <c r="S1080" s="1"/>
      <c r="T1080" s="1"/>
      <c r="U1080" s="1"/>
      <c r="V10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href="canciones/kairoi/arcilla_entre_sus_manos.html"&gt;Arcilla entre sus manos&lt;/a&gt;&lt;/li&gt;</v>
      </c>
      <c r="W1080" s="15" t="str">
        <f>_xlfn.TEXTBEFORE(_xlfn.TEXTAFTER(CantoralDB[[#This Row],[index.html]],"&gt;"),"&gt;")&amp;"&gt;"</f>
        <v>&lt;a href="canciones/kairoi/arcilla_entre_sus_manos.html"&gt;</v>
      </c>
    </row>
    <row r="1081" spans="1:23" x14ac:dyDescent="0.3">
      <c r="A1081" s="1">
        <f>ROW(CantoralDB[[#This Row],[Título]])-1</f>
        <v>1080</v>
      </c>
      <c r="B1081" s="1" t="s">
        <v>1547</v>
      </c>
      <c r="C1081" s="1"/>
      <c r="H1081" s="1" t="s">
        <v>1028</v>
      </c>
      <c r="J1081" s="1" t="s">
        <v>608</v>
      </c>
      <c r="M1081" s="15" t="s">
        <v>484</v>
      </c>
      <c r="N1081" s="15" t="s">
        <v>92</v>
      </c>
      <c r="O1081" s="15">
        <v>10</v>
      </c>
      <c r="P1081" s="15" t="str" cm="1">
        <f t="array" ref="P10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81" s="15" t="str" cm="1">
        <f t="array" ref="Q10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canciones/kairoi/tu_eres_del_señor.html</v>
      </c>
      <c r="S1081" s="1"/>
      <c r="T1081" s="1"/>
      <c r="U1081" s="1"/>
      <c r="V1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href="canciones/kairoi/tu_eres_del_señor.html"&gt;Tú eres del Señor&lt;/a&gt;&lt;/li&gt;</v>
      </c>
      <c r="W1081" s="15" t="str">
        <f>_xlfn.TEXTBEFORE(_xlfn.TEXTAFTER(CantoralDB[[#This Row],[index.html]],"&gt;"),"&gt;")&amp;"&gt;"</f>
        <v>&lt;a href="canciones/kairoi/tu_eres_del_señor.html"&gt;</v>
      </c>
    </row>
    <row r="1082" spans="1:23" x14ac:dyDescent="0.3">
      <c r="A1082" s="1">
        <f>ROW(CantoralDB[[#This Row],[Título]])-1</f>
        <v>1081</v>
      </c>
      <c r="B1082" s="1" t="s">
        <v>2153</v>
      </c>
      <c r="C1082" s="1" t="s">
        <v>200</v>
      </c>
      <c r="D1082" s="1" t="s">
        <v>1433</v>
      </c>
      <c r="G1082" s="1" t="s">
        <v>216</v>
      </c>
      <c r="H1082" s="1" t="s">
        <v>1027</v>
      </c>
      <c r="J1082" s="1" t="s">
        <v>608</v>
      </c>
      <c r="M1082" s="15" t="s">
        <v>484</v>
      </c>
      <c r="N1082" s="15" t="s">
        <v>92</v>
      </c>
      <c r="O1082" s="15">
        <v>11</v>
      </c>
      <c r="P1082" s="15" t="str" cm="1">
        <f t="array" ref="P10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82" s="15" t="str" cm="1">
        <f t="array" ref="Q10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0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canciones/kairoi/junto_a_ti_maria.html</v>
      </c>
      <c r="S1082" s="1"/>
      <c r="T1082" s="1"/>
      <c r="U1082" s="1"/>
      <c r="V1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data-momento="María" data-nnew="M07"&gt;&lt;a href="canciones/kairoi/junto_a_ti_maria.html"&gt;Junto a ti, María&lt;/a&gt;&lt;/li&gt;</v>
      </c>
      <c r="W1082" s="15" t="str">
        <f>_xlfn.TEXTBEFORE(_xlfn.TEXTAFTER(CantoralDB[[#This Row],[index.html]],"&gt;"),"&gt;")&amp;"&gt;"</f>
        <v>&lt;a href="canciones/kairoi/junto_a_ti_maria.html"&gt;</v>
      </c>
    </row>
    <row r="1083" spans="1:23" x14ac:dyDescent="0.3">
      <c r="A1083" s="1">
        <f>ROW(CantoralDB[[#This Row],[Título]])-1</f>
        <v>1082</v>
      </c>
      <c r="B1083" s="1" t="s">
        <v>1548</v>
      </c>
      <c r="C1083" s="1"/>
      <c r="H1083" s="1" t="s">
        <v>473</v>
      </c>
      <c r="J1083" s="1" t="s">
        <v>608</v>
      </c>
      <c r="M1083" s="15" t="s">
        <v>484</v>
      </c>
      <c r="N1083" s="15" t="s">
        <v>92</v>
      </c>
      <c r="O1083" s="15">
        <v>12</v>
      </c>
      <c r="P1083" s="15" t="str" cm="1">
        <f t="array" ref="P10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83" s="15" t="str" cm="1">
        <f t="array" ref="Q10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canciones/kairoi/tu_eres_maria.html</v>
      </c>
      <c r="S1083" s="1"/>
      <c r="T1083" s="1"/>
      <c r="U1083" s="1"/>
      <c r="V1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href="canciones/kairoi/tu_eres_maria.html"&gt;Tú eres María&lt;/a&gt;&lt;/li&gt;</v>
      </c>
      <c r="W1083" s="15" t="str">
        <f>_xlfn.TEXTBEFORE(_xlfn.TEXTAFTER(CantoralDB[[#This Row],[index.html]],"&gt;"),"&gt;")&amp;"&gt;"</f>
        <v>&lt;a href="canciones/kairoi/tu_eres_maria.html"&gt;</v>
      </c>
    </row>
    <row r="1084" spans="1:23" x14ac:dyDescent="0.3">
      <c r="A1084" s="1">
        <f>ROW(CantoralDB[[#This Row],[Título]])-1</f>
        <v>1083</v>
      </c>
      <c r="B1084" s="1" t="s">
        <v>1913</v>
      </c>
      <c r="C1084" s="1"/>
      <c r="H1084" s="1" t="s">
        <v>1027</v>
      </c>
      <c r="J1084" s="1" t="s">
        <v>608</v>
      </c>
      <c r="M1084" s="15" t="s">
        <v>484</v>
      </c>
      <c r="N1084" s="15" t="s">
        <v>1536</v>
      </c>
      <c r="O1084" s="15">
        <v>1</v>
      </c>
      <c r="P1084" s="15" t="str" cm="1">
        <f t="array" ref="P10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84" s="15" t="str" cm="1">
        <f t="array" ref="Q10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canciones/kairoi/pregon_pascual_(aleluya).html</v>
      </c>
      <c r="S1084" s="1"/>
      <c r="T1084" s="1"/>
      <c r="U1084" s="1"/>
      <c r="V1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href="canciones/kairoi/pregon_pascual_(aleluya).html"&gt;Pregón Pascual (Aleluya)&lt;/a&gt;&lt;/li&gt;</v>
      </c>
      <c r="W1084" s="15" t="str">
        <f>_xlfn.TEXTBEFORE(_xlfn.TEXTAFTER(CantoralDB[[#This Row],[index.html]],"&gt;"),"&gt;")&amp;"&gt;"</f>
        <v>&lt;a href="canciones/kairoi/pregon_pascual_(aleluya).html"&gt;</v>
      </c>
    </row>
    <row r="1085" spans="1:23" x14ac:dyDescent="0.3">
      <c r="A1085" s="1">
        <f>ROW(CantoralDB[[#This Row],[Título]])-1</f>
        <v>1084</v>
      </c>
      <c r="B1085" s="1" t="s">
        <v>1652</v>
      </c>
      <c r="C1085" s="1"/>
      <c r="J1085" s="1"/>
      <c r="M1085" s="15" t="s">
        <v>484</v>
      </c>
      <c r="N1085" s="15" t="s">
        <v>1536</v>
      </c>
      <c r="O1085" s="15">
        <v>2</v>
      </c>
      <c r="P1085" s="15" t="str" cm="1">
        <f t="array" ref="P10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85" s="15" t="str" cm="1">
        <f t="array" ref="Q10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canciones/kairoi/latinoamerica.html</v>
      </c>
      <c r="S1085" s="1"/>
      <c r="T1085" s="1"/>
      <c r="U1085" s="1"/>
      <c r="V1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href="canciones/kairoi/latinoamerica.html"&gt;Latinoamérica&lt;/a&gt;&lt;/li&gt;</v>
      </c>
      <c r="W1085" s="15" t="str">
        <f>_xlfn.TEXTBEFORE(_xlfn.TEXTAFTER(CantoralDB[[#This Row],[index.html]],"&gt;"),"&gt;")&amp;"&gt;"</f>
        <v>&lt;a href="canciones/kairoi/latinoamerica.html"&gt;</v>
      </c>
    </row>
    <row r="1086" spans="1:23" x14ac:dyDescent="0.3">
      <c r="A1086" s="1">
        <f>ROW(CantoralDB[[#This Row],[Título]])-1</f>
        <v>1085</v>
      </c>
      <c r="B1086" s="1" t="s">
        <v>1653</v>
      </c>
      <c r="C1086" s="1"/>
      <c r="J1086" s="1"/>
      <c r="M1086" s="15" t="s">
        <v>484</v>
      </c>
      <c r="N1086" s="15" t="s">
        <v>1536</v>
      </c>
      <c r="O1086" s="15">
        <v>3</v>
      </c>
      <c r="P1086" s="15" t="str" cm="1">
        <f t="array" ref="P10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86" s="15" t="str" cm="1">
        <f t="array" ref="Q10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canciones/kairoi/indigena.html</v>
      </c>
      <c r="S1086" s="1"/>
      <c r="T1086" s="1"/>
      <c r="U1086" s="1"/>
      <c r="V1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href="canciones/kairoi/indigena.html"&gt;Indígena&lt;/a&gt;&lt;/li&gt;</v>
      </c>
      <c r="W1086" s="15" t="str">
        <f>_xlfn.TEXTBEFORE(_xlfn.TEXTAFTER(CantoralDB[[#This Row],[index.html]],"&gt;"),"&gt;")&amp;"&gt;"</f>
        <v>&lt;a href="canciones/kairoi/indigena.html"&gt;</v>
      </c>
    </row>
    <row r="1087" spans="1:23" x14ac:dyDescent="0.3">
      <c r="A1087" s="1">
        <f>ROW(CantoralDB[[#This Row],[Título]])-1</f>
        <v>1086</v>
      </c>
      <c r="B1087" s="1" t="s">
        <v>1654</v>
      </c>
      <c r="C1087" s="1"/>
      <c r="J1087" s="1"/>
      <c r="M1087" s="15" t="s">
        <v>484</v>
      </c>
      <c r="N1087" s="15" t="s">
        <v>1536</v>
      </c>
      <c r="O1087" s="15">
        <v>4</v>
      </c>
      <c r="P1087" s="15" t="str" cm="1">
        <f t="array" ref="P10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87" s="15" t="str" cm="1">
        <f t="array" ref="Q10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canciones/kairoi/nos_precederan.html</v>
      </c>
      <c r="S1087" s="1"/>
      <c r="T1087" s="1"/>
      <c r="U1087" s="1"/>
      <c r="V1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href="canciones/kairoi/nos_precederan.html"&gt;Nos precederán&lt;/a&gt;&lt;/li&gt;</v>
      </c>
      <c r="W1087" s="15" t="str">
        <f>_xlfn.TEXTBEFORE(_xlfn.TEXTAFTER(CantoralDB[[#This Row],[index.html]],"&gt;"),"&gt;")&amp;"&gt;"</f>
        <v>&lt;a href="canciones/kairoi/nos_precederan.html"&gt;</v>
      </c>
    </row>
    <row r="1088" spans="1:23" x14ac:dyDescent="0.3">
      <c r="A1088" s="1">
        <f>ROW(CantoralDB[[#This Row],[Título]])-1</f>
        <v>1087</v>
      </c>
      <c r="B1088" s="1" t="s">
        <v>1655</v>
      </c>
      <c r="C1088" s="1"/>
      <c r="J1088" s="1"/>
      <c r="M1088" s="15" t="s">
        <v>484</v>
      </c>
      <c r="N1088" s="15" t="s">
        <v>1536</v>
      </c>
      <c r="O1088" s="15">
        <v>5</v>
      </c>
      <c r="P1088" s="15" t="str" cm="1">
        <f t="array" ref="P10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88" s="15" t="str" cm="1">
        <f t="array" ref="Q10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canciones/kairoi/un_kirie_mas.html</v>
      </c>
      <c r="S1088" s="1"/>
      <c r="T1088" s="1"/>
      <c r="U1088" s="1"/>
      <c r="V1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href="canciones/kairoi/un_kirie_mas.html"&gt;Un kirie más&lt;/a&gt;&lt;/li&gt;</v>
      </c>
      <c r="W1088" s="15" t="str">
        <f>_xlfn.TEXTBEFORE(_xlfn.TEXTAFTER(CantoralDB[[#This Row],[index.html]],"&gt;"),"&gt;")&amp;"&gt;"</f>
        <v>&lt;a href="canciones/kairoi/un_kirie_mas.html"&gt;</v>
      </c>
    </row>
    <row r="1089" spans="1:23" x14ac:dyDescent="0.3">
      <c r="A1089" s="1">
        <f>ROW(CantoralDB[[#This Row],[Título]])-1</f>
        <v>1088</v>
      </c>
      <c r="B1089" s="1" t="s">
        <v>1656</v>
      </c>
      <c r="C1089" s="1"/>
      <c r="J1089" s="1"/>
      <c r="M1089" s="15" t="s">
        <v>484</v>
      </c>
      <c r="N1089" s="15" t="s">
        <v>1536</v>
      </c>
      <c r="O1089" s="15">
        <v>6</v>
      </c>
      <c r="P1089" s="15" t="str" cm="1">
        <f t="array" ref="P10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89" s="15" t="str" cm="1">
        <f t="array" ref="Q10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canciones/kairoi/la_mula.html</v>
      </c>
      <c r="S1089" s="1"/>
      <c r="T1089" s="1"/>
      <c r="U1089" s="1"/>
      <c r="V1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href="canciones/kairoi/la_mula.html"&gt;La mula&lt;/a&gt;&lt;/li&gt;</v>
      </c>
      <c r="W1089" s="15" t="str">
        <f>_xlfn.TEXTBEFORE(_xlfn.TEXTAFTER(CantoralDB[[#This Row],[index.html]],"&gt;"),"&gt;")&amp;"&gt;"</f>
        <v>&lt;a href="canciones/kairoi/la_mula.html"&gt;</v>
      </c>
    </row>
    <row r="1090" spans="1:23" x14ac:dyDescent="0.3">
      <c r="A1090" s="1">
        <f>ROW(CantoralDB[[#This Row],[Título]])-1</f>
        <v>1089</v>
      </c>
      <c r="B1090" s="1" t="s">
        <v>1536</v>
      </c>
      <c r="C1090" s="1"/>
      <c r="J1090" s="1"/>
      <c r="M1090" s="15" t="s">
        <v>484</v>
      </c>
      <c r="N1090" s="15" t="s">
        <v>1536</v>
      </c>
      <c r="O1090" s="15">
        <v>7</v>
      </c>
      <c r="P1090" s="15" t="str" cm="1">
        <f t="array" ref="P10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90" s="15" t="str" cm="1">
        <f t="array" ref="Q10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canciones/kairoi/mas_cerca_del_sol.html</v>
      </c>
      <c r="S1090" s="1"/>
      <c r="T1090" s="1"/>
      <c r="U1090" s="1"/>
      <c r="V1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href="canciones/kairoi/mas_cerca_del_sol.html"&gt;Más cerca del sol&lt;/a&gt;&lt;/li&gt;</v>
      </c>
      <c r="W1090" s="15" t="str">
        <f>_xlfn.TEXTBEFORE(_xlfn.TEXTAFTER(CantoralDB[[#This Row],[index.html]],"&gt;"),"&gt;")&amp;"&gt;"</f>
        <v>&lt;a href="canciones/kairoi/mas_cerca_del_sol.html"&gt;</v>
      </c>
    </row>
    <row r="1091" spans="1:23" x14ac:dyDescent="0.3">
      <c r="A1091" s="1">
        <f>ROW(CantoralDB[[#This Row],[Título]])-1</f>
        <v>1090</v>
      </c>
      <c r="B1091" s="1" t="s">
        <v>1657</v>
      </c>
      <c r="C1091" s="1"/>
      <c r="J1091" s="1"/>
      <c r="M1091" s="15" t="s">
        <v>484</v>
      </c>
      <c r="N1091" s="15" t="s">
        <v>1536</v>
      </c>
      <c r="O1091" s="15">
        <v>8</v>
      </c>
      <c r="P1091" s="15" t="str" cm="1">
        <f t="array" ref="P10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91" s="15" t="str" cm="1">
        <f t="array" ref="Q10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canciones/kairoi/el_brujo_mugandino.html</v>
      </c>
      <c r="S1091" s="1"/>
      <c r="T1091" s="1"/>
      <c r="U1091" s="1"/>
      <c r="V1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href="canciones/kairoi/el_brujo_mugandino.html"&gt;El brujo Mugandino&lt;/a&gt;&lt;/li&gt;</v>
      </c>
      <c r="W1091" s="15" t="str">
        <f>_xlfn.TEXTBEFORE(_xlfn.TEXTAFTER(CantoralDB[[#This Row],[index.html]],"&gt;"),"&gt;")&amp;"&gt;"</f>
        <v>&lt;a href="canciones/kairoi/el_brujo_mugandino.html"&gt;</v>
      </c>
    </row>
    <row r="1092" spans="1:23" x14ac:dyDescent="0.3">
      <c r="A1092" s="1">
        <f>ROW(CantoralDB[[#This Row],[Título]])-1</f>
        <v>1091</v>
      </c>
      <c r="B1092" s="1" t="s">
        <v>1658</v>
      </c>
      <c r="C1092" s="1"/>
      <c r="J1092" s="1"/>
      <c r="M1092" s="15" t="s">
        <v>484</v>
      </c>
      <c r="N1092" s="15" t="s">
        <v>1536</v>
      </c>
      <c r="O1092" s="15">
        <v>9</v>
      </c>
      <c r="P1092" s="15" t="str" cm="1">
        <f t="array" ref="P10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92" s="15" t="str" cm="1">
        <f t="array" ref="Q10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canciones/kairoi/que_no_nos_den_el_pan_bañado_en_sangre.html</v>
      </c>
      <c r="S1092" s="1"/>
      <c r="T1092" s="1"/>
      <c r="U1092" s="1"/>
      <c r="V1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href="canciones/kairoi/que_no_nos_den_el_pan_bañado_en_sangre.html"&gt;Que no nos den el pan bañado en sangre&lt;/a&gt;&lt;/li&gt;</v>
      </c>
      <c r="W1092" s="15" t="str">
        <f>_xlfn.TEXTBEFORE(_xlfn.TEXTAFTER(CantoralDB[[#This Row],[index.html]],"&gt;"),"&gt;")&amp;"&gt;"</f>
        <v>&lt;a href="canciones/kairoi/que_no_nos_den_el_pan_bañado_en_sangre.html"&gt;</v>
      </c>
    </row>
    <row r="1093" spans="1:23" x14ac:dyDescent="0.3">
      <c r="A1093" s="1">
        <f>ROW(CantoralDB[[#This Row],[Título]])-1</f>
        <v>1092</v>
      </c>
      <c r="B1093" s="1" t="s">
        <v>1659</v>
      </c>
      <c r="C1093" s="1"/>
      <c r="J1093" s="1"/>
      <c r="M1093" s="15" t="s">
        <v>484</v>
      </c>
      <c r="N1093" s="15" t="s">
        <v>1536</v>
      </c>
      <c r="O1093" s="15">
        <v>10</v>
      </c>
      <c r="P1093" s="15" t="str" cm="1">
        <f t="array" ref="P10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93" s="15" t="str" cm="1">
        <f t="array" ref="Q10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canciones/kairoi/salve_compañera_nuestra.html</v>
      </c>
      <c r="S1093" s="1"/>
      <c r="T1093" s="1"/>
      <c r="U1093" s="1"/>
      <c r="V1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href="canciones/kairoi/salve_compañera_nuestra.html"&gt;Salve, compañera nuestra&lt;/a&gt;&lt;/li&gt;</v>
      </c>
      <c r="W1093" s="15" t="str">
        <f>_xlfn.TEXTBEFORE(_xlfn.TEXTAFTER(CantoralDB[[#This Row],[index.html]],"&gt;"),"&gt;")&amp;"&gt;"</f>
        <v>&lt;a href="canciones/kairoi/salve_compañera_nuestra.html"&gt;</v>
      </c>
    </row>
    <row r="1094" spans="1:23" x14ac:dyDescent="0.3">
      <c r="A1094" s="1">
        <f>ROW(CantoralDB[[#This Row],[Título]])-1</f>
        <v>1093</v>
      </c>
      <c r="B1094" s="1" t="s">
        <v>1660</v>
      </c>
      <c r="C1094" s="1"/>
      <c r="J1094" s="1"/>
      <c r="M1094" s="15" t="s">
        <v>484</v>
      </c>
      <c r="N1094" s="15" t="s">
        <v>1536</v>
      </c>
      <c r="O1094" s="15">
        <v>11</v>
      </c>
      <c r="P1094" s="15" t="str" cm="1">
        <f t="array" ref="P10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94" s="15" t="str" cm="1">
        <f t="array" ref="Q10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canciones/kairoi/el_bar_del_bosnio.html</v>
      </c>
      <c r="S1094" s="1"/>
      <c r="T1094" s="1"/>
      <c r="U1094" s="1"/>
      <c r="V1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href="canciones/kairoi/el_bar_del_bosnio.html"&gt;El bar del bosnio&lt;/a&gt;&lt;/li&gt;</v>
      </c>
      <c r="W1094" s="15" t="str">
        <f>_xlfn.TEXTBEFORE(_xlfn.TEXTAFTER(CantoralDB[[#This Row],[index.html]],"&gt;"),"&gt;")&amp;"&gt;"</f>
        <v>&lt;a href="canciones/kairoi/el_bar_del_bosnio.html"&gt;</v>
      </c>
    </row>
    <row r="1095" spans="1:23" x14ac:dyDescent="0.3">
      <c r="A1095" s="1">
        <f>ROW(CantoralDB[[#This Row],[Título]])-1</f>
        <v>1094</v>
      </c>
      <c r="B1095" s="1" t="s">
        <v>1661</v>
      </c>
      <c r="C1095" s="1"/>
      <c r="J1095" s="1"/>
      <c r="M1095" s="15" t="s">
        <v>484</v>
      </c>
      <c r="N1095" s="15" t="s">
        <v>1536</v>
      </c>
      <c r="O1095" s="15">
        <v>12</v>
      </c>
      <c r="P1095" s="15" t="str" cm="1">
        <f t="array" ref="P10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95" s="15" t="str" cm="1">
        <f t="array" ref="Q10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canciones/kairoi/mi_mamita_buena.html</v>
      </c>
      <c r="S1095" s="1"/>
      <c r="T1095" s="1"/>
      <c r="U1095" s="1"/>
      <c r="V1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href="canciones/kairoi/mi_mamita_buena.html"&gt;Mi mamita buena&lt;/a&gt;&lt;/li&gt;</v>
      </c>
      <c r="W1095" s="15" t="str">
        <f>_xlfn.TEXTBEFORE(_xlfn.TEXTAFTER(CantoralDB[[#This Row],[index.html]],"&gt;"),"&gt;")&amp;"&gt;"</f>
        <v>&lt;a href="canciones/kairoi/mi_mamita_buena.html"&gt;</v>
      </c>
    </row>
    <row r="1096" spans="1:23" x14ac:dyDescent="0.3">
      <c r="A1096" s="1">
        <f>ROW(CantoralDB[[#This Row],[Título]])-1</f>
        <v>1095</v>
      </c>
      <c r="B1096" s="1" t="s">
        <v>1662</v>
      </c>
      <c r="C1096" s="1"/>
      <c r="J1096" s="1"/>
      <c r="M1096" s="15" t="s">
        <v>484</v>
      </c>
      <c r="N1096" s="15" t="s">
        <v>1536</v>
      </c>
      <c r="O1096" s="15">
        <v>13</v>
      </c>
      <c r="P1096" s="15" t="str" cm="1">
        <f t="array" ref="P10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96" s="15" t="str" cm="1">
        <f t="array" ref="Q10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canciones/kairoi/de_pura_raza.html</v>
      </c>
      <c r="S1096" s="1"/>
      <c r="T1096" s="1"/>
      <c r="U1096" s="1"/>
      <c r="V1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href="canciones/kairoi/de_pura_raza.html"&gt;De pura raza&lt;/a&gt;&lt;/li&gt;</v>
      </c>
      <c r="W1096" s="15" t="str">
        <f>_xlfn.TEXTBEFORE(_xlfn.TEXTAFTER(CantoralDB[[#This Row],[index.html]],"&gt;"),"&gt;")&amp;"&gt;"</f>
        <v>&lt;a href="canciones/kairoi/de_pura_raza.html"&gt;</v>
      </c>
    </row>
    <row r="1097" spans="1:23" x14ac:dyDescent="0.3">
      <c r="A1097" s="1">
        <f>ROW(CantoralDB[[#This Row],[Título]])-1</f>
        <v>1096</v>
      </c>
      <c r="B1097" s="1" t="s">
        <v>1500</v>
      </c>
      <c r="C1097" s="1"/>
      <c r="H1097" s="1" t="s">
        <v>1029</v>
      </c>
      <c r="J1097" s="1" t="s">
        <v>608</v>
      </c>
      <c r="M1097" s="15" t="s">
        <v>484</v>
      </c>
      <c r="N1097" s="15" t="s">
        <v>1500</v>
      </c>
      <c r="O1097" s="15">
        <v>1</v>
      </c>
      <c r="P1097" s="15" t="str" cm="1">
        <f t="array" ref="P10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97" s="15" t="str" cm="1">
        <f t="array" ref="Q10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canciones/kairoi/nacidos_de_mujer.html</v>
      </c>
      <c r="S1097" s="1"/>
      <c r="T1097" s="1"/>
      <c r="U1097" s="1"/>
      <c r="V1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href="canciones/kairoi/nacidos_de_mujer.html"&gt;Nacidos de mujer&lt;/a&gt;&lt;/li&gt;</v>
      </c>
      <c r="W1097" s="15" t="str">
        <f>_xlfn.TEXTBEFORE(_xlfn.TEXTAFTER(CantoralDB[[#This Row],[index.html]],"&gt;"),"&gt;")&amp;"&gt;"</f>
        <v>&lt;a href="canciones/kairoi/nacidos_de_mujer.html"&gt;</v>
      </c>
    </row>
    <row r="1098" spans="1:23" x14ac:dyDescent="0.3">
      <c r="A1098" s="1">
        <f>ROW(CantoralDB[[#This Row],[Título]])-1</f>
        <v>1097</v>
      </c>
      <c r="B1098" s="1" t="s">
        <v>1697</v>
      </c>
      <c r="C1098" s="1"/>
      <c r="H1098" s="1" t="s">
        <v>1028</v>
      </c>
      <c r="J1098" s="1" t="s">
        <v>608</v>
      </c>
      <c r="M1098" s="15" t="s">
        <v>484</v>
      </c>
      <c r="N1098" s="15" t="s">
        <v>1500</v>
      </c>
      <c r="O1098" s="15">
        <v>2</v>
      </c>
      <c r="P1098" s="15" t="str" cm="1">
        <f t="array" ref="P10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98" s="15" t="str" cm="1">
        <f t="array" ref="Q10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canciones/kairoi/haced_lo_que_el_os_diga.html</v>
      </c>
      <c r="S1098" s="1"/>
      <c r="T1098" s="1"/>
      <c r="U1098" s="1"/>
      <c r="V1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href="canciones/kairoi/haced_lo_que_el_os_diga.html"&gt;Haced lo que Él os diga&lt;/a&gt;&lt;/li&gt;</v>
      </c>
      <c r="W1098" s="15" t="str">
        <f>_xlfn.TEXTBEFORE(_xlfn.TEXTAFTER(CantoralDB[[#This Row],[index.html]],"&gt;"),"&gt;")&amp;"&gt;"</f>
        <v>&lt;a href="canciones/kairoi/haced_lo_que_el_os_diga.html"&gt;</v>
      </c>
    </row>
    <row r="1099" spans="1:23" x14ac:dyDescent="0.3">
      <c r="A1099" s="1">
        <f>ROW(CantoralDB[[#This Row],[Título]])-1</f>
        <v>1098</v>
      </c>
      <c r="B1099" s="1" t="s">
        <v>1698</v>
      </c>
      <c r="C1099" s="1"/>
      <c r="H1099" s="1" t="s">
        <v>473</v>
      </c>
      <c r="J1099" s="1" t="s">
        <v>608</v>
      </c>
      <c r="M1099" s="15" t="s">
        <v>484</v>
      </c>
      <c r="N1099" s="15" t="s">
        <v>1500</v>
      </c>
      <c r="O1099" s="15">
        <v>3</v>
      </c>
      <c r="P1099" s="15" t="str" cm="1">
        <f t="array" ref="P10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099" s="15" t="str" cm="1">
        <f t="array" ref="Q10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0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canciones/kairoi/en_comunidad.html</v>
      </c>
      <c r="S1099" s="1"/>
      <c r="T1099" s="1"/>
      <c r="U1099" s="1"/>
      <c r="V1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href="canciones/kairoi/en_comunidad.html"&gt;En comunidad&lt;/a&gt;&lt;/li&gt;</v>
      </c>
      <c r="W1099" s="15" t="str">
        <f>_xlfn.TEXTBEFORE(_xlfn.TEXTAFTER(CantoralDB[[#This Row],[index.html]],"&gt;"),"&gt;")&amp;"&gt;"</f>
        <v>&lt;a href="canciones/kairoi/en_comunidad.html"&gt;</v>
      </c>
    </row>
    <row r="1100" spans="1:23" x14ac:dyDescent="0.3">
      <c r="A1100" s="1">
        <f>ROW(CantoralDB[[#This Row],[Título]])-1</f>
        <v>1099</v>
      </c>
      <c r="B1100" s="1" t="s">
        <v>1699</v>
      </c>
      <c r="C1100" s="1"/>
      <c r="H1100" s="1" t="s">
        <v>1030</v>
      </c>
      <c r="J1100" s="1" t="s">
        <v>608</v>
      </c>
      <c r="M1100" s="15" t="s">
        <v>484</v>
      </c>
      <c r="N1100" s="15" t="s">
        <v>1500</v>
      </c>
      <c r="O1100" s="15">
        <v>4</v>
      </c>
      <c r="P1100" s="15" t="str" cm="1">
        <f t="array" ref="P1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00" s="15" t="str" cm="1">
        <f t="array" ref="Q1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canciones/kairoi/danos_tu_espiritu.html</v>
      </c>
      <c r="S1100" s="1"/>
      <c r="T1100" s="1"/>
      <c r="U1100" s="1"/>
      <c r="V1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href="canciones/kairoi/danos_tu_espiritu.html"&gt;Danos tu espíritu&lt;/a&gt;&lt;/li&gt;</v>
      </c>
      <c r="W1100" s="15" t="str">
        <f>_xlfn.TEXTBEFORE(_xlfn.TEXTAFTER(CantoralDB[[#This Row],[index.html]],"&gt;"),"&gt;")&amp;"&gt;"</f>
        <v>&lt;a href="canciones/kairoi/danos_tu_espiritu.html"&gt;</v>
      </c>
    </row>
    <row r="1101" spans="1:23" x14ac:dyDescent="0.3">
      <c r="A1101" s="1">
        <f>ROW(CantoralDB[[#This Row],[Título]])-1</f>
        <v>1100</v>
      </c>
      <c r="B1101" s="1" t="s">
        <v>1700</v>
      </c>
      <c r="C1101" s="1"/>
      <c r="J1101" s="1"/>
      <c r="M1101" s="15" t="s">
        <v>484</v>
      </c>
      <c r="N1101" s="15" t="s">
        <v>1500</v>
      </c>
      <c r="O1101" s="15">
        <v>5</v>
      </c>
      <c r="P1101" s="15" t="str" cm="1">
        <f t="array" ref="P1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01" s="15" t="str" cm="1">
        <f t="array" ref="Q1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canciones/kairoi/adela.html</v>
      </c>
      <c r="S1101" s="1"/>
      <c r="T1101" s="1"/>
      <c r="U1101" s="1"/>
      <c r="V1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href="canciones/kairoi/adela.html"&gt;Adela&lt;/a&gt;&lt;/li&gt;</v>
      </c>
      <c r="W1101" s="15" t="str">
        <f>_xlfn.TEXTBEFORE(_xlfn.TEXTAFTER(CantoralDB[[#This Row],[index.html]],"&gt;"),"&gt;")&amp;"&gt;"</f>
        <v>&lt;a href="canciones/kairoi/adela.html"&gt;</v>
      </c>
    </row>
    <row r="1102" spans="1:23" x14ac:dyDescent="0.3">
      <c r="A1102" s="1">
        <f>ROW(CantoralDB[[#This Row],[Título]])-1</f>
        <v>1101</v>
      </c>
      <c r="B1102" s="1" t="s">
        <v>2025</v>
      </c>
      <c r="C1102" s="1"/>
      <c r="H1102" s="1" t="s">
        <v>1029</v>
      </c>
      <c r="J1102" s="1" t="s">
        <v>608</v>
      </c>
      <c r="M1102" s="15" t="s">
        <v>484</v>
      </c>
      <c r="N1102" s="15" t="s">
        <v>1500</v>
      </c>
      <c r="O1102" s="15">
        <v>6</v>
      </c>
      <c r="P1102" s="15" t="str" cm="1">
        <f t="array" ref="P1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02" s="15" t="str" cm="1">
        <f t="array" ref="Q1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canciones/kairoi/gloria_(por_maria).html</v>
      </c>
      <c r="S1102" s="1"/>
      <c r="T1102" s="1"/>
      <c r="U1102" s="1"/>
      <c r="V1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href="canciones/kairoi/gloria_(por_maria).html"&gt;Gloria (por María)&lt;/a&gt;&lt;/li&gt;</v>
      </c>
      <c r="W1102" s="15" t="str">
        <f>_xlfn.TEXTBEFORE(_xlfn.TEXTAFTER(CantoralDB[[#This Row],[index.html]],"&gt;"),"&gt;")&amp;"&gt;"</f>
        <v>&lt;a href="canciones/kairoi/gloria_(por_maria).html"&gt;</v>
      </c>
    </row>
    <row r="1103" spans="1:23" x14ac:dyDescent="0.3">
      <c r="A1103" s="1">
        <f>ROW(CantoralDB[[#This Row],[Título]])-1</f>
        <v>1102</v>
      </c>
      <c r="B1103" s="1" t="s">
        <v>1701</v>
      </c>
      <c r="C1103" s="1"/>
      <c r="H1103" s="1" t="s">
        <v>1027</v>
      </c>
      <c r="J1103" s="1" t="s">
        <v>608</v>
      </c>
      <c r="M1103" s="15" t="s">
        <v>484</v>
      </c>
      <c r="N1103" s="15" t="s">
        <v>1500</v>
      </c>
      <c r="O1103" s="15">
        <v>7</v>
      </c>
      <c r="P1103" s="15" t="str" cm="1">
        <f t="array" ref="P1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03" s="15" t="str" cm="1">
        <f t="array" ref="Q1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canciones/kairoi/pequeño_corazon.html</v>
      </c>
      <c r="S1103" s="1"/>
      <c r="T1103" s="1"/>
      <c r="U1103" s="1"/>
      <c r="V1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href="canciones/kairoi/pequeño_corazon.html"&gt;Pequeño corazón&lt;/a&gt;&lt;/li&gt;</v>
      </c>
      <c r="W1103" s="15" t="str">
        <f>_xlfn.TEXTBEFORE(_xlfn.TEXTAFTER(CantoralDB[[#This Row],[index.html]],"&gt;"),"&gt;")&amp;"&gt;"</f>
        <v>&lt;a href="canciones/kairoi/pequeño_corazon.html"&gt;</v>
      </c>
    </row>
    <row r="1104" spans="1:23" x14ac:dyDescent="0.3">
      <c r="A1104" s="1">
        <f>ROW(CantoralDB[[#This Row],[Título]])-1</f>
        <v>1103</v>
      </c>
      <c r="B1104" s="1" t="s">
        <v>1702</v>
      </c>
      <c r="C1104" s="1"/>
      <c r="J1104" s="1"/>
      <c r="M1104" s="15" t="s">
        <v>484</v>
      </c>
      <c r="N1104" s="15" t="s">
        <v>1500</v>
      </c>
      <c r="O1104" s="15">
        <v>8</v>
      </c>
      <c r="P1104" s="15" t="str" cm="1">
        <f t="array" ref="P1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04" s="15" t="str" cm="1">
        <f t="array" ref="Q1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canciones/kairoi/chaminade.html</v>
      </c>
      <c r="S1104" s="1"/>
      <c r="T1104" s="1"/>
      <c r="U1104" s="1"/>
      <c r="V1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href="canciones/kairoi/chaminade.html"&gt;Chaminade&lt;/a&gt;&lt;/li&gt;</v>
      </c>
      <c r="W1104" s="15" t="str">
        <f>_xlfn.TEXTBEFORE(_xlfn.TEXTAFTER(CantoralDB[[#This Row],[index.html]],"&gt;"),"&gt;")&amp;"&gt;"</f>
        <v>&lt;a href="canciones/kairoi/chaminade.html"&gt;</v>
      </c>
    </row>
    <row r="1105" spans="1:23" x14ac:dyDescent="0.3">
      <c r="A1105" s="1">
        <f>ROW(CantoralDB[[#This Row],[Título]])-1</f>
        <v>1104</v>
      </c>
      <c r="B1105" s="1" t="s">
        <v>1664</v>
      </c>
      <c r="C1105" s="1"/>
      <c r="H1105" s="1" t="s">
        <v>1030</v>
      </c>
      <c r="J1105" s="1" t="s">
        <v>608</v>
      </c>
      <c r="M1105" s="15" t="s">
        <v>484</v>
      </c>
      <c r="N1105" s="15" t="s">
        <v>1500</v>
      </c>
      <c r="O1105" s="15">
        <v>9</v>
      </c>
      <c r="P1105" s="15" t="str" cm="1">
        <f t="array" ref="P1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05" s="15" t="str" cm="1">
        <f t="array" ref="Q1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canciones/kairoi/credo.html</v>
      </c>
      <c r="S1105" s="1"/>
      <c r="T1105" s="1"/>
      <c r="U1105" s="1"/>
      <c r="V1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href="canciones/kairoi/credo.html"&gt;Credo&lt;/a&gt;&lt;/li&gt;</v>
      </c>
      <c r="W1105" s="15" t="str">
        <f>_xlfn.TEXTBEFORE(_xlfn.TEXTAFTER(CantoralDB[[#This Row],[index.html]],"&gt;"),"&gt;")&amp;"&gt;"</f>
        <v>&lt;a href="canciones/kairoi/credo.html"&gt;</v>
      </c>
    </row>
    <row r="1106" spans="1:23" x14ac:dyDescent="0.3">
      <c r="A1106" s="1">
        <f>ROW(CantoralDB[[#This Row],[Título]])-1</f>
        <v>1105</v>
      </c>
      <c r="B1106" s="1" t="s">
        <v>1703</v>
      </c>
      <c r="C1106" s="1"/>
      <c r="H1106" s="1" t="s">
        <v>531</v>
      </c>
      <c r="J1106" s="1" t="s">
        <v>608</v>
      </c>
      <c r="M1106" s="15" t="s">
        <v>484</v>
      </c>
      <c r="N1106" s="15" t="s">
        <v>1500</v>
      </c>
      <c r="O1106" s="15">
        <v>10</v>
      </c>
      <c r="P1106" s="15" t="str" cm="1">
        <f t="array" ref="P1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06" s="15" t="str" cm="1">
        <f t="array" ref="Q1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canciones/kairoi/creo_en_ti.html</v>
      </c>
      <c r="S1106" s="1"/>
      <c r="T1106" s="1"/>
      <c r="U1106" s="1"/>
      <c r="V1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href="canciones/kairoi/creo_en_ti.html"&gt;Creo en ti&lt;/a&gt;&lt;/li&gt;</v>
      </c>
      <c r="W1106" s="15" t="str">
        <f>_xlfn.TEXTBEFORE(_xlfn.TEXTAFTER(CantoralDB[[#This Row],[index.html]],"&gt;"),"&gt;")&amp;"&gt;"</f>
        <v>&lt;a href="canciones/kairoi/creo_en_ti.html"&gt;</v>
      </c>
    </row>
    <row r="1107" spans="1:23" x14ac:dyDescent="0.3">
      <c r="A1107" s="1">
        <f>ROW(CantoralDB[[#This Row],[Título]])-1</f>
        <v>1106</v>
      </c>
      <c r="B1107" s="1" t="s">
        <v>1704</v>
      </c>
      <c r="C1107" s="1"/>
      <c r="H1107" s="1" t="s">
        <v>1029</v>
      </c>
      <c r="J1107" s="1" t="s">
        <v>608</v>
      </c>
      <c r="M1107" s="15" t="s">
        <v>484</v>
      </c>
      <c r="N1107" s="15" t="s">
        <v>1500</v>
      </c>
      <c r="O1107" s="15">
        <v>11</v>
      </c>
      <c r="P1107" s="15" t="str" cm="1">
        <f t="array" ref="P1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07" s="15" t="str" cm="1">
        <f t="array" ref="Q1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canciones/kairoi/a_las_tres_de_la_tarde.html</v>
      </c>
      <c r="S1107" s="1"/>
      <c r="T1107" s="1"/>
      <c r="U1107" s="1"/>
      <c r="V1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href="canciones/kairoi/a_las_tres_de_la_tarde.html"&gt;A las tres de la tarde&lt;/a&gt;&lt;/li&gt;</v>
      </c>
      <c r="W1107" s="15" t="str">
        <f>_xlfn.TEXTBEFORE(_xlfn.TEXTAFTER(CantoralDB[[#This Row],[index.html]],"&gt;"),"&gt;")&amp;"&gt;"</f>
        <v>&lt;a href="canciones/kairoi/a_las_tres_de_la_tarde.html"&gt;</v>
      </c>
    </row>
    <row r="1108" spans="1:23" x14ac:dyDescent="0.3">
      <c r="A1108" s="1">
        <f>ROW(CantoralDB[[#This Row],[Título]])-1</f>
        <v>1107</v>
      </c>
      <c r="B1108" s="1" t="s">
        <v>1705</v>
      </c>
      <c r="C1108" s="1"/>
      <c r="H1108" s="1" t="s">
        <v>1027</v>
      </c>
      <c r="J1108" s="1" t="s">
        <v>608</v>
      </c>
      <c r="M1108" s="15" t="s">
        <v>484</v>
      </c>
      <c r="N1108" s="15" t="s">
        <v>1500</v>
      </c>
      <c r="O1108" s="15">
        <v>12</v>
      </c>
      <c r="P1108" s="15" t="str" cm="1">
        <f t="array" ref="P1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08" s="15" t="str" cm="1">
        <f t="array" ref="Q1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canciones/kairoi/vino_nuevo.html</v>
      </c>
      <c r="S1108" s="1"/>
      <c r="T1108" s="1"/>
      <c r="U1108" s="1"/>
      <c r="V1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href="canciones/kairoi/vino_nuevo.html"&gt;Vino nuevo&lt;/a&gt;&lt;/li&gt;</v>
      </c>
      <c r="W1108" s="15" t="str">
        <f>_xlfn.TEXTBEFORE(_xlfn.TEXTAFTER(CantoralDB[[#This Row],[index.html]],"&gt;"),"&gt;")&amp;"&gt;"</f>
        <v>&lt;a href="canciones/kairoi/vino_nuevo.html"&gt;</v>
      </c>
    </row>
    <row r="1109" spans="1:23" x14ac:dyDescent="0.3">
      <c r="A1109" s="1">
        <f>ROW(CantoralDB[[#This Row],[Título]])-1</f>
        <v>1108</v>
      </c>
      <c r="B1109" s="1" t="s">
        <v>1706</v>
      </c>
      <c r="C1109" s="1"/>
      <c r="H1109" s="1" t="s">
        <v>531</v>
      </c>
      <c r="J1109" s="1" t="s">
        <v>608</v>
      </c>
      <c r="M1109" s="15" t="s">
        <v>484</v>
      </c>
      <c r="N1109" s="15" t="s">
        <v>1500</v>
      </c>
      <c r="O1109" s="15">
        <v>13</v>
      </c>
      <c r="P1109" s="15" t="str" cm="1">
        <f t="array" ref="P1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09" s="15" t="str" cm="1">
        <f t="array" ref="Q1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canciones/kairoi/te_seguire.html</v>
      </c>
      <c r="S1109" s="1"/>
      <c r="T1109" s="1"/>
      <c r="U1109" s="1"/>
      <c r="V1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href="canciones/kairoi/te_seguire.html"&gt;Te seguiré&lt;/a&gt;&lt;/li&gt;</v>
      </c>
      <c r="W1109" s="15" t="str">
        <f>_xlfn.TEXTBEFORE(_xlfn.TEXTAFTER(CantoralDB[[#This Row],[index.html]],"&gt;"),"&gt;")&amp;"&gt;"</f>
        <v>&lt;a href="canciones/kairoi/te_seguire.html"&gt;</v>
      </c>
    </row>
    <row r="1110" spans="1:23" x14ac:dyDescent="0.3">
      <c r="A1110" s="1">
        <f>ROW(CantoralDB[[#This Row],[Título]])-1</f>
        <v>1109</v>
      </c>
      <c r="B1110" s="1" t="s">
        <v>1707</v>
      </c>
      <c r="C1110" s="1"/>
      <c r="H1110" s="1" t="s">
        <v>1029</v>
      </c>
      <c r="J1110" s="1" t="s">
        <v>608</v>
      </c>
      <c r="M1110" s="15" t="s">
        <v>484</v>
      </c>
      <c r="N1110" s="15" t="s">
        <v>1500</v>
      </c>
      <c r="O1110" s="15">
        <v>14</v>
      </c>
      <c r="P1110" s="15" t="str" cm="1">
        <f t="array" ref="P1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10" s="15" t="str" cm="1">
        <f t="array" ref="Q1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canciones/kairoi/un_solo_corazon.html</v>
      </c>
      <c r="S1110" s="1"/>
      <c r="T1110" s="1"/>
      <c r="U1110" s="1"/>
      <c r="V1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href="canciones/kairoi/un_solo_corazon.html"&gt;Un solo corazón&lt;/a&gt;&lt;/li&gt;</v>
      </c>
      <c r="W1110" s="15" t="str">
        <f>_xlfn.TEXTBEFORE(_xlfn.TEXTAFTER(CantoralDB[[#This Row],[index.html]],"&gt;"),"&gt;")&amp;"&gt;"</f>
        <v>&lt;a href="canciones/kairoi/un_solo_corazon.html"&gt;</v>
      </c>
    </row>
    <row r="1111" spans="1:23" x14ac:dyDescent="0.3">
      <c r="A1111" s="1">
        <f>ROW(CantoralDB[[#This Row],[Título]])-1</f>
        <v>1110</v>
      </c>
      <c r="B1111" s="1" t="s">
        <v>1688</v>
      </c>
      <c r="C1111" s="1"/>
      <c r="J1111" s="1"/>
      <c r="M1111" s="15" t="s">
        <v>484</v>
      </c>
      <c r="N1111" s="15" t="s">
        <v>1499</v>
      </c>
      <c r="O1111" s="15">
        <v>1</v>
      </c>
      <c r="P1111" s="15" t="str" cm="1">
        <f t="array" ref="P1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11" s="15" t="str" cm="1">
        <f t="array" ref="Q1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canciones/kairoi/y_fuiste_hogar.html</v>
      </c>
      <c r="S1111" s="1"/>
      <c r="T1111" s="1"/>
      <c r="U1111" s="1"/>
      <c r="V1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href="canciones/kairoi/y_fuiste_hogar.html"&gt;Y fuiste hogar&lt;/a&gt;&lt;/li&gt;</v>
      </c>
      <c r="W1111" s="15" t="str">
        <f>_xlfn.TEXTBEFORE(_xlfn.TEXTAFTER(CantoralDB[[#This Row],[index.html]],"&gt;"),"&gt;")&amp;"&gt;"</f>
        <v>&lt;a href="canciones/kairoi/y_fuiste_hogar.html"&gt;</v>
      </c>
    </row>
    <row r="1112" spans="1:23" x14ac:dyDescent="0.3">
      <c r="A1112" s="1">
        <f>ROW(CantoralDB[[#This Row],[Título]])-1</f>
        <v>1111</v>
      </c>
      <c r="B1112" s="1" t="s">
        <v>1499</v>
      </c>
      <c r="C1112" s="1"/>
      <c r="J1112" s="1"/>
      <c r="M1112" s="15" t="s">
        <v>484</v>
      </c>
      <c r="N1112" s="15" t="s">
        <v>1499</v>
      </c>
      <c r="O1112" s="15">
        <v>2</v>
      </c>
      <c r="P1112" s="15" t="str" cm="1">
        <f t="array" ref="P1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12" s="15" t="str" cm="1">
        <f t="array" ref="Q1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canciones/kairoi/profeta_de_la_familia.html</v>
      </c>
      <c r="S1112" s="1"/>
      <c r="T1112" s="1"/>
      <c r="U1112" s="1"/>
      <c r="V1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href="canciones/kairoi/profeta_de_la_familia.html"&gt;Profeta de la familia&lt;/a&gt;&lt;/li&gt;</v>
      </c>
      <c r="W1112" s="15" t="str">
        <f>_xlfn.TEXTBEFORE(_xlfn.TEXTAFTER(CantoralDB[[#This Row],[index.html]],"&gt;"),"&gt;")&amp;"&gt;"</f>
        <v>&lt;a href="canciones/kairoi/profeta_de_la_familia.html"&gt;</v>
      </c>
    </row>
    <row r="1113" spans="1:23" x14ac:dyDescent="0.3">
      <c r="A1113" s="1">
        <f>ROW(CantoralDB[[#This Row],[Título]])-1</f>
        <v>1112</v>
      </c>
      <c r="B1113" s="1" t="s">
        <v>1689</v>
      </c>
      <c r="C1113" s="1"/>
      <c r="J1113" s="1"/>
      <c r="M1113" s="15" t="s">
        <v>484</v>
      </c>
      <c r="N1113" s="15" t="s">
        <v>1499</v>
      </c>
      <c r="O1113" s="15">
        <v>3</v>
      </c>
      <c r="P1113" s="15" t="str" cm="1">
        <f t="array" ref="P1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13" s="15" t="str" cm="1">
        <f t="array" ref="Q1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canciones/kairoi/como_tu.html</v>
      </c>
      <c r="S1113" s="1"/>
      <c r="T1113" s="1"/>
      <c r="U1113" s="1"/>
      <c r="V1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href="canciones/kairoi/como_tu.html"&gt;Como tú&lt;/a&gt;&lt;/li&gt;</v>
      </c>
      <c r="W1113" s="15" t="str">
        <f>_xlfn.TEXTBEFORE(_xlfn.TEXTAFTER(CantoralDB[[#This Row],[index.html]],"&gt;"),"&gt;")&amp;"&gt;"</f>
        <v>&lt;a href="canciones/kairoi/como_tu.html"&gt;</v>
      </c>
    </row>
    <row r="1114" spans="1:23" x14ac:dyDescent="0.3">
      <c r="A1114" s="1">
        <f>ROW(CantoralDB[[#This Row],[Título]])-1</f>
        <v>1113</v>
      </c>
      <c r="B1114" s="1" t="s">
        <v>1690</v>
      </c>
      <c r="C1114" s="1"/>
      <c r="J1114" s="1"/>
      <c r="M1114" s="15" t="s">
        <v>484</v>
      </c>
      <c r="N1114" s="15" t="s">
        <v>1499</v>
      </c>
      <c r="O1114" s="15">
        <v>4</v>
      </c>
      <c r="P1114" s="15" t="str" cm="1">
        <f t="array" ref="P1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14" s="15" t="str" cm="1">
        <f t="array" ref="Q1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canciones/kairoi/siempre_si_celebrare.html</v>
      </c>
      <c r="S1114" s="1"/>
      <c r="T1114" s="1"/>
      <c r="U1114" s="1"/>
      <c r="V1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href="canciones/kairoi/siempre_si_celebrare.html"&gt;Siempre, sí, celebraré&lt;/a&gt;&lt;/li&gt;</v>
      </c>
      <c r="W1114" s="15" t="str">
        <f>_xlfn.TEXTBEFORE(_xlfn.TEXTAFTER(CantoralDB[[#This Row],[index.html]],"&gt;"),"&gt;")&amp;"&gt;"</f>
        <v>&lt;a href="canciones/kairoi/siempre_si_celebrare.html"&gt;</v>
      </c>
    </row>
    <row r="1115" spans="1:23" x14ac:dyDescent="0.3">
      <c r="A1115" s="1">
        <f>ROW(CantoralDB[[#This Row],[Título]])-1</f>
        <v>1114</v>
      </c>
      <c r="B1115" s="1" t="s">
        <v>1691</v>
      </c>
      <c r="C1115" s="1"/>
      <c r="J1115" s="1"/>
      <c r="M1115" s="15" t="s">
        <v>484</v>
      </c>
      <c r="N1115" s="15" t="s">
        <v>1499</v>
      </c>
      <c r="O1115" s="15">
        <v>5</v>
      </c>
      <c r="P1115" s="15" t="str" cm="1">
        <f t="array" ref="P1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15" s="15" t="str" cm="1">
        <f t="array" ref="Q1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canciones/kairoi/su_palabra.html</v>
      </c>
      <c r="S1115" s="1"/>
      <c r="T1115" s="1"/>
      <c r="U1115" s="1"/>
      <c r="V1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href="canciones/kairoi/su_palabra.html"&gt;Su palabra&lt;/a&gt;&lt;/li&gt;</v>
      </c>
      <c r="W1115" s="15" t="str">
        <f>_xlfn.TEXTBEFORE(_xlfn.TEXTAFTER(CantoralDB[[#This Row],[index.html]],"&gt;"),"&gt;")&amp;"&gt;"</f>
        <v>&lt;a href="canciones/kairoi/su_palabra.html"&gt;</v>
      </c>
    </row>
    <row r="1116" spans="1:23" x14ac:dyDescent="0.3">
      <c r="A1116" s="1">
        <f>ROW(CantoralDB[[#This Row],[Título]])-1</f>
        <v>1115</v>
      </c>
      <c r="B1116" s="1" t="s">
        <v>1692</v>
      </c>
      <c r="C1116" s="1"/>
      <c r="J1116" s="1"/>
      <c r="M1116" s="15" t="s">
        <v>484</v>
      </c>
      <c r="N1116" s="15" t="s">
        <v>1499</v>
      </c>
      <c r="O1116" s="15">
        <v>6</v>
      </c>
      <c r="P1116" s="15" t="str" cm="1">
        <f t="array" ref="P1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16" s="15" t="str" cm="1">
        <f t="array" ref="Q1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canciones/kairoi/santa_familia.html</v>
      </c>
      <c r="S1116" s="1"/>
      <c r="T1116" s="1"/>
      <c r="U1116" s="1"/>
      <c r="V1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href="canciones/kairoi/santa_familia.html"&gt;Santa Familia&lt;/a&gt;&lt;/li&gt;</v>
      </c>
      <c r="W1116" s="15" t="str">
        <f>_xlfn.TEXTBEFORE(_xlfn.TEXTAFTER(CantoralDB[[#This Row],[index.html]],"&gt;"),"&gt;")&amp;"&gt;"</f>
        <v>&lt;a href="canciones/kairoi/santa_familia.html"&gt;</v>
      </c>
    </row>
    <row r="1117" spans="1:23" x14ac:dyDescent="0.3">
      <c r="A1117" s="1">
        <f>ROW(CantoralDB[[#This Row],[Título]])-1</f>
        <v>1116</v>
      </c>
      <c r="B1117" s="1" t="s">
        <v>1693</v>
      </c>
      <c r="C1117" s="1"/>
      <c r="J1117" s="1"/>
      <c r="M1117" s="15" t="s">
        <v>484</v>
      </c>
      <c r="N1117" s="15" t="s">
        <v>1499</v>
      </c>
      <c r="O1117" s="15">
        <v>7</v>
      </c>
      <c r="P1117" s="15" t="str" cm="1">
        <f t="array" ref="P1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17" s="15" t="str" cm="1">
        <f t="array" ref="Q1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canciones/kairoi/jesus_maria_y_jose.html</v>
      </c>
      <c r="S1117" s="1"/>
      <c r="T1117" s="1"/>
      <c r="U1117" s="1"/>
      <c r="V1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href="canciones/kairoi/jesus_maria_y_jose.html"&gt;Jesús, María y José&lt;/a&gt;&lt;/li&gt;</v>
      </c>
      <c r="W1117" s="15" t="str">
        <f>_xlfn.TEXTBEFORE(_xlfn.TEXTAFTER(CantoralDB[[#This Row],[index.html]],"&gt;"),"&gt;")&amp;"&gt;"</f>
        <v>&lt;a href="canciones/kairoi/jesus_maria_y_jose.html"&gt;</v>
      </c>
    </row>
    <row r="1118" spans="1:23" x14ac:dyDescent="0.3">
      <c r="A1118" s="1">
        <f>ROW(CantoralDB[[#This Row],[Título]])-1</f>
        <v>1117</v>
      </c>
      <c r="B1118" s="1" t="s">
        <v>1694</v>
      </c>
      <c r="C1118" s="1"/>
      <c r="J1118" s="1"/>
      <c r="M1118" s="15" t="s">
        <v>484</v>
      </c>
      <c r="N1118" s="15" t="s">
        <v>1499</v>
      </c>
      <c r="O1118" s="15">
        <v>8</v>
      </c>
      <c r="P1118" s="15" t="str" cm="1">
        <f t="array" ref="P1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18" s="15" t="str" cm="1">
        <f t="array" ref="Q1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canciones/kairoi/tu_mirada.html</v>
      </c>
      <c r="S1118" s="1"/>
      <c r="T1118" s="1"/>
      <c r="U1118" s="1"/>
      <c r="V1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href="canciones/kairoi/tu_mirada.html"&gt;Tu mirada&lt;/a&gt;&lt;/li&gt;</v>
      </c>
      <c r="W1118" s="15" t="str">
        <f>_xlfn.TEXTBEFORE(_xlfn.TEXTAFTER(CantoralDB[[#This Row],[index.html]],"&gt;"),"&gt;")&amp;"&gt;"</f>
        <v>&lt;a href="canciones/kairoi/tu_mirada.html"&gt;</v>
      </c>
    </row>
    <row r="1119" spans="1:23" x14ac:dyDescent="0.3">
      <c r="A1119" s="1">
        <f>ROW(CantoralDB[[#This Row],[Título]])-1</f>
        <v>1118</v>
      </c>
      <c r="B1119" s="1" t="s">
        <v>1695</v>
      </c>
      <c r="C1119" s="1"/>
      <c r="J1119" s="1"/>
      <c r="M1119" s="15" t="s">
        <v>484</v>
      </c>
      <c r="N1119" s="15" t="s">
        <v>1499</v>
      </c>
      <c r="O1119" s="15">
        <v>9</v>
      </c>
      <c r="P1119" s="15" t="str" cm="1">
        <f t="array" ref="P1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19" s="15" t="str" cm="1">
        <f t="array" ref="Q1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canciones/kairoi/familias.html</v>
      </c>
      <c r="S1119" s="1"/>
      <c r="T1119" s="1"/>
      <c r="U1119" s="1"/>
      <c r="V1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href="canciones/kairoi/familias.html"&gt;Familias&lt;/a&gt;&lt;/li&gt;</v>
      </c>
      <c r="W1119" s="15" t="str">
        <f>_xlfn.TEXTBEFORE(_xlfn.TEXTAFTER(CantoralDB[[#This Row],[index.html]],"&gt;"),"&gt;")&amp;"&gt;"</f>
        <v>&lt;a href="canciones/kairoi/familias.html"&gt;</v>
      </c>
    </row>
    <row r="1120" spans="1:23" x14ac:dyDescent="0.3">
      <c r="A1120" s="1">
        <f>ROW(CantoralDB[[#This Row],[Título]])-1</f>
        <v>1119</v>
      </c>
      <c r="B1120" s="1" t="s">
        <v>1696</v>
      </c>
      <c r="C1120" s="1"/>
      <c r="J1120" s="1"/>
      <c r="M1120" s="15" t="s">
        <v>484</v>
      </c>
      <c r="N1120" s="15" t="s">
        <v>1499</v>
      </c>
      <c r="O1120" s="15">
        <v>10</v>
      </c>
      <c r="P1120" s="15" t="str" cm="1">
        <f t="array" ref="P1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20" s="15" t="str" cm="1">
        <f t="array" ref="Q1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canciones/kairoi/el_poema_de_la_piedra.html</v>
      </c>
      <c r="S1120" s="1"/>
      <c r="T1120" s="1"/>
      <c r="U1120" s="1"/>
      <c r="V1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href="canciones/kairoi/el_poema_de_la_piedra.html"&gt;El poema de la piedra&lt;/a&gt;&lt;/li&gt;</v>
      </c>
      <c r="W1120" s="15" t="str">
        <f>_xlfn.TEXTBEFORE(_xlfn.TEXTAFTER(CantoralDB[[#This Row],[index.html]],"&gt;"),"&gt;")&amp;"&gt;"</f>
        <v>&lt;a href="canciones/kairoi/el_poema_de_la_piedra.html"&gt;</v>
      </c>
    </row>
    <row r="1121" spans="1:23" x14ac:dyDescent="0.3">
      <c r="A1121" s="1">
        <f>ROW(CantoralDB[[#This Row],[Título]])-1</f>
        <v>1120</v>
      </c>
      <c r="B1121" s="1" t="s">
        <v>2890</v>
      </c>
      <c r="C1121" s="1"/>
      <c r="H1121" s="1" t="s">
        <v>1030</v>
      </c>
      <c r="J1121" s="1" t="s">
        <v>608</v>
      </c>
      <c r="M1121" s="15" t="s">
        <v>484</v>
      </c>
      <c r="N1121" s="15" t="s">
        <v>1491</v>
      </c>
      <c r="O1121" s="15">
        <v>1</v>
      </c>
      <c r="P1121" s="15" t="str" cm="1">
        <f t="array" ref="P1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21" s="15" t="str" cm="1">
        <f t="array" ref="Q1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canciones/kairoi/cristo_señor.html</v>
      </c>
      <c r="S1121" s="1"/>
      <c r="T1121" s="1"/>
      <c r="U1121" s="1"/>
      <c r="V1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href="canciones/kairoi/cristo_señor.html"&gt;Cristo Señor&lt;/a&gt;&lt;/li&gt;</v>
      </c>
      <c r="W1121" s="15" t="str">
        <f>_xlfn.TEXTBEFORE(_xlfn.TEXTAFTER(CantoralDB[[#This Row],[index.html]],"&gt;"),"&gt;")&amp;"&gt;"</f>
        <v>&lt;a href="canciones/kairoi/cristo_señor.html"&gt;</v>
      </c>
    </row>
    <row r="1122" spans="1:23" x14ac:dyDescent="0.3">
      <c r="A1122" s="1">
        <f>ROW(CantoralDB[[#This Row],[Título]])-1</f>
        <v>1121</v>
      </c>
      <c r="B1122" s="1" t="s">
        <v>1627</v>
      </c>
      <c r="C1122" s="1"/>
      <c r="H1122" s="1" t="s">
        <v>1030</v>
      </c>
      <c r="J1122" s="1" t="s">
        <v>608</v>
      </c>
      <c r="M1122" s="15" t="s">
        <v>484</v>
      </c>
      <c r="N1122" s="15" t="s">
        <v>1491</v>
      </c>
      <c r="O1122" s="15">
        <v>2</v>
      </c>
      <c r="P1122" s="15" t="str" cm="1">
        <f t="array" ref="P1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22" s="15" t="str" cm="1">
        <f t="array" ref="Q1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canciones/kairoi/tu_seras_mi_hermano.html</v>
      </c>
      <c r="S1122" s="1"/>
      <c r="T1122" s="1"/>
      <c r="U1122" s="1"/>
      <c r="V1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href="canciones/kairoi/tu_seras_mi_hermano.html"&gt;Tú serás mi hermano&lt;/a&gt;&lt;/li&gt;</v>
      </c>
      <c r="W1122" s="15" t="str">
        <f>_xlfn.TEXTBEFORE(_xlfn.TEXTAFTER(CantoralDB[[#This Row],[index.html]],"&gt;"),"&gt;")&amp;"&gt;"</f>
        <v>&lt;a href="canciones/kairoi/tu_seras_mi_hermano.html"&gt;</v>
      </c>
    </row>
    <row r="1123" spans="1:23" x14ac:dyDescent="0.3">
      <c r="A1123" s="1">
        <f>ROW(CantoralDB[[#This Row],[Título]])-1</f>
        <v>1122</v>
      </c>
      <c r="B1123" s="1" t="s">
        <v>1628</v>
      </c>
      <c r="C1123" s="1"/>
      <c r="H1123" s="1" t="s">
        <v>1030</v>
      </c>
      <c r="J1123" s="1" t="s">
        <v>608</v>
      </c>
      <c r="M1123" s="15" t="s">
        <v>484</v>
      </c>
      <c r="N1123" s="15" t="s">
        <v>1491</v>
      </c>
      <c r="O1123" s="15">
        <v>3</v>
      </c>
      <c r="P1123" s="15" t="str" cm="1">
        <f t="array" ref="P1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23" s="15" t="str" cm="1">
        <f t="array" ref="Q1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canciones/kairoi/cristo.html</v>
      </c>
      <c r="S1123" s="1"/>
      <c r="T1123" s="1"/>
      <c r="U1123" s="1"/>
      <c r="V1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href="canciones/kairoi/cristo.html"&gt;Cristo&lt;/a&gt;&lt;/li&gt;</v>
      </c>
      <c r="W1123" s="15" t="str">
        <f>_xlfn.TEXTBEFORE(_xlfn.TEXTAFTER(CantoralDB[[#This Row],[index.html]],"&gt;"),"&gt;")&amp;"&gt;"</f>
        <v>&lt;a href="canciones/kairoi/cristo.html"&gt;</v>
      </c>
    </row>
    <row r="1124" spans="1:23" x14ac:dyDescent="0.3">
      <c r="A1124" s="1">
        <f>ROW(CantoralDB[[#This Row],[Título]])-1</f>
        <v>1123</v>
      </c>
      <c r="B1124" s="1" t="s">
        <v>1629</v>
      </c>
      <c r="C1124" s="1"/>
      <c r="H1124" s="1" t="s">
        <v>1029</v>
      </c>
      <c r="J1124" s="1" t="s">
        <v>608</v>
      </c>
      <c r="M1124" s="15" t="s">
        <v>484</v>
      </c>
      <c r="N1124" s="15" t="s">
        <v>1491</v>
      </c>
      <c r="O1124" s="15">
        <v>4</v>
      </c>
      <c r="P1124" s="15" t="str" cm="1">
        <f t="array" ref="P1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24" s="15" t="str" cm="1">
        <f t="array" ref="Q1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canciones/kairoi/alli_estas_tu.html</v>
      </c>
      <c r="S1124" s="1"/>
      <c r="T1124" s="1"/>
      <c r="U1124" s="1"/>
      <c r="V1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href="canciones/kairoi/alli_estas_tu.html"&gt;Allí estás tú&lt;/a&gt;&lt;/li&gt;</v>
      </c>
      <c r="W1124" s="15" t="str">
        <f>_xlfn.TEXTBEFORE(_xlfn.TEXTAFTER(CantoralDB[[#This Row],[index.html]],"&gt;"),"&gt;")&amp;"&gt;"</f>
        <v>&lt;a href="canciones/kairoi/alli_estas_tu.html"&gt;</v>
      </c>
    </row>
    <row r="1125" spans="1:23" x14ac:dyDescent="0.3">
      <c r="A1125" s="1">
        <f>ROW(CantoralDB[[#This Row],[Título]])-1</f>
        <v>1124</v>
      </c>
      <c r="B1125" s="1" t="s">
        <v>1630</v>
      </c>
      <c r="C1125" s="1"/>
      <c r="J1125" s="1"/>
      <c r="M1125" s="15" t="s">
        <v>484</v>
      </c>
      <c r="N1125" s="15" t="s">
        <v>1491</v>
      </c>
      <c r="O1125" s="15">
        <v>5</v>
      </c>
      <c r="P1125" s="15" t="str" cm="1">
        <f t="array" ref="P1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25" s="15" t="str" cm="1">
        <f t="array" ref="Q1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canciones/kairoi/no_hay_lloros_por_un_niño_muerto.html</v>
      </c>
      <c r="S1125" s="1"/>
      <c r="T1125" s="1"/>
      <c r="U1125" s="1"/>
      <c r="V1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href="canciones/kairoi/no_hay_lloros_por_un_niño_muerto.html"&gt;No hay lloros por un niño muerto&lt;/a&gt;&lt;/li&gt;</v>
      </c>
      <c r="W1125" s="15" t="str">
        <f>_xlfn.TEXTBEFORE(_xlfn.TEXTAFTER(CantoralDB[[#This Row],[index.html]],"&gt;"),"&gt;")&amp;"&gt;"</f>
        <v>&lt;a href="canciones/kairoi/no_hay_lloros_por_un_niño_muerto.html"&gt;</v>
      </c>
    </row>
    <row r="1126" spans="1:23" x14ac:dyDescent="0.3">
      <c r="A1126" s="1">
        <f>ROW(CantoralDB[[#This Row],[Título]])-1</f>
        <v>1125</v>
      </c>
      <c r="B1126" s="1" t="s">
        <v>1631</v>
      </c>
      <c r="C1126" s="1"/>
      <c r="H1126" s="1" t="s">
        <v>1030</v>
      </c>
      <c r="J1126" s="1" t="s">
        <v>608</v>
      </c>
      <c r="M1126" s="15" t="s">
        <v>484</v>
      </c>
      <c r="N1126" s="15" t="s">
        <v>1491</v>
      </c>
      <c r="O1126" s="15">
        <v>6</v>
      </c>
      <c r="P1126" s="15" t="str" cm="1">
        <f t="array" ref="P1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26" s="15" t="str" cm="1">
        <f t="array" ref="Q1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canciones/kairoi/deja_que_en_tu_vida_cante_el.html</v>
      </c>
      <c r="S1126" s="1"/>
      <c r="T1126" s="1"/>
      <c r="U1126" s="1"/>
      <c r="V1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href="canciones/kairoi/deja_que_en_tu_vida_cante_el.html"&gt;Deja que en tu vida cante Él&lt;/a&gt;&lt;/li&gt;</v>
      </c>
      <c r="W1126" s="15" t="str">
        <f>_xlfn.TEXTBEFORE(_xlfn.TEXTAFTER(CantoralDB[[#This Row],[index.html]],"&gt;"),"&gt;")&amp;"&gt;"</f>
        <v>&lt;a href="canciones/kairoi/deja_que_en_tu_vida_cante_el.html"&gt;</v>
      </c>
    </row>
    <row r="1127" spans="1:23" x14ac:dyDescent="0.3">
      <c r="A1127" s="1">
        <f>ROW(CantoralDB[[#This Row],[Título]])-1</f>
        <v>1126</v>
      </c>
      <c r="B1127" s="1" t="s">
        <v>1632</v>
      </c>
      <c r="C1127" s="1"/>
      <c r="J1127" s="1"/>
      <c r="M1127" s="15" t="s">
        <v>484</v>
      </c>
      <c r="N1127" s="15" t="s">
        <v>1491</v>
      </c>
      <c r="O1127" s="15">
        <v>7</v>
      </c>
      <c r="P1127" s="15" t="str" cm="1">
        <f t="array" ref="P1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27" s="15" t="str" cm="1">
        <f t="array" ref="Q1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canciones/kairoi/tiene_el_sida.html</v>
      </c>
      <c r="S1127" s="1"/>
      <c r="T1127" s="1"/>
      <c r="U1127" s="1"/>
      <c r="V1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href="canciones/kairoi/tiene_el_sida.html"&gt;Tiene el sida&lt;/a&gt;&lt;/li&gt;</v>
      </c>
      <c r="W1127" s="15" t="str">
        <f>_xlfn.TEXTBEFORE(_xlfn.TEXTAFTER(CantoralDB[[#This Row],[index.html]],"&gt;"),"&gt;")&amp;"&gt;"</f>
        <v>&lt;a href="canciones/kairoi/tiene_el_sida.html"&gt;</v>
      </c>
    </row>
    <row r="1128" spans="1:23" x14ac:dyDescent="0.3">
      <c r="A1128" s="1">
        <f>ROW(CantoralDB[[#This Row],[Título]])-1</f>
        <v>1127</v>
      </c>
      <c r="B1128" s="1" t="s">
        <v>1633</v>
      </c>
      <c r="C1128" s="1"/>
      <c r="H1128" s="1" t="s">
        <v>1029</v>
      </c>
      <c r="J1128" s="1" t="s">
        <v>608</v>
      </c>
      <c r="M1128" s="15" t="s">
        <v>484</v>
      </c>
      <c r="N1128" s="15" t="s">
        <v>1491</v>
      </c>
      <c r="O1128" s="15">
        <v>8</v>
      </c>
      <c r="P1128" s="15" t="str" cm="1">
        <f t="array" ref="P1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28" s="15" t="str" cm="1">
        <f t="array" ref="Q1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canciones/kairoi/grito_libertad.html</v>
      </c>
      <c r="S1128" s="1"/>
      <c r="T1128" s="1"/>
      <c r="U1128" s="1"/>
      <c r="V1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href="canciones/kairoi/grito_libertad.html"&gt;Grito libertad&lt;/a&gt;&lt;/li&gt;</v>
      </c>
      <c r="W1128" s="15" t="str">
        <f>_xlfn.TEXTBEFORE(_xlfn.TEXTAFTER(CantoralDB[[#This Row],[index.html]],"&gt;"),"&gt;")&amp;"&gt;"</f>
        <v>&lt;a href="canciones/kairoi/grito_libertad.html"&gt;</v>
      </c>
    </row>
    <row r="1129" spans="1:23" x14ac:dyDescent="0.3">
      <c r="A1129" s="1">
        <f>ROW(CantoralDB[[#This Row],[Título]])-1</f>
        <v>1128</v>
      </c>
      <c r="B1129" s="1" t="s">
        <v>1634</v>
      </c>
      <c r="C1129" s="1"/>
      <c r="J1129" s="1"/>
      <c r="M1129" s="15" t="s">
        <v>484</v>
      </c>
      <c r="N1129" s="15" t="s">
        <v>1491</v>
      </c>
      <c r="O1129" s="15">
        <v>9</v>
      </c>
      <c r="P1129" s="15" t="str" cm="1">
        <f t="array" ref="P1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29" s="15" t="str" cm="1">
        <f t="array" ref="Q1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canciones/kairoi/tu_sonrisa_no_la_vi.html</v>
      </c>
      <c r="S1129" s="1"/>
      <c r="T1129" s="1"/>
      <c r="U1129" s="1"/>
      <c r="V1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href="canciones/kairoi/tu_sonrisa_no_la_vi.html"&gt;Tu sonrisa no la vi&lt;/a&gt;&lt;/li&gt;</v>
      </c>
      <c r="W1129" s="15" t="str">
        <f>_xlfn.TEXTBEFORE(_xlfn.TEXTAFTER(CantoralDB[[#This Row],[index.html]],"&gt;"),"&gt;")&amp;"&gt;"</f>
        <v>&lt;a href="canciones/kairoi/tu_sonrisa_no_la_vi.html"&gt;</v>
      </c>
    </row>
    <row r="1130" spans="1:23" x14ac:dyDescent="0.3">
      <c r="A1130" s="1">
        <f>ROW(CantoralDB[[#This Row],[Título]])-1</f>
        <v>1129</v>
      </c>
      <c r="B1130" s="1" t="s">
        <v>1491</v>
      </c>
      <c r="C1130" s="1"/>
      <c r="J1130" s="1"/>
      <c r="M1130" s="15" t="s">
        <v>484</v>
      </c>
      <c r="N1130" s="15" t="s">
        <v>1491</v>
      </c>
      <c r="O1130" s="15">
        <v>10</v>
      </c>
      <c r="P1130" s="15" t="str" cm="1">
        <f t="array" ref="P1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30" s="15" t="str" cm="1">
        <f t="array" ref="Q1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canciones/kairoi/señor_de_la_historia.html</v>
      </c>
      <c r="S1130" s="1"/>
      <c r="T1130" s="1"/>
      <c r="U1130" s="1"/>
      <c r="V1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href="canciones/kairoi/señor_de_la_historia.html"&gt;Señor de la historia&lt;/a&gt;&lt;/li&gt;</v>
      </c>
      <c r="W1130" s="15" t="str">
        <f>_xlfn.TEXTBEFORE(_xlfn.TEXTAFTER(CantoralDB[[#This Row],[index.html]],"&gt;"),"&gt;")&amp;"&gt;"</f>
        <v>&lt;a href="canciones/kairoi/señor_de_la_historia.html"&gt;</v>
      </c>
    </row>
    <row r="1131" spans="1:23" x14ac:dyDescent="0.3">
      <c r="A1131" s="1">
        <f>ROW(CantoralDB[[#This Row],[Título]])-1</f>
        <v>1130</v>
      </c>
      <c r="B1131" s="1" t="s">
        <v>1635</v>
      </c>
      <c r="C1131" s="1"/>
      <c r="J1131" s="1"/>
      <c r="M1131" s="15" t="s">
        <v>484</v>
      </c>
      <c r="N1131" s="15" t="s">
        <v>1491</v>
      </c>
      <c r="O1131" s="15">
        <v>11</v>
      </c>
      <c r="P1131" s="15" t="str" cm="1">
        <f t="array" ref="P1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31" s="15" t="str" cm="1">
        <f t="array" ref="Q1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canciones/kairoi/me_muero_de_hambre.html</v>
      </c>
      <c r="S1131" s="1"/>
      <c r="T1131" s="1"/>
      <c r="U1131" s="1"/>
      <c r="V1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href="canciones/kairoi/me_muero_de_hambre.html"&gt;Me muero de hambre&lt;/a&gt;&lt;/li&gt;</v>
      </c>
      <c r="W1131" s="15" t="str">
        <f>_xlfn.TEXTBEFORE(_xlfn.TEXTAFTER(CantoralDB[[#This Row],[index.html]],"&gt;"),"&gt;")&amp;"&gt;"</f>
        <v>&lt;a href="canciones/kairoi/me_muero_de_hambre.html"&gt;</v>
      </c>
    </row>
    <row r="1132" spans="1:23" x14ac:dyDescent="0.3">
      <c r="A1132" s="1">
        <f>ROW(CantoralDB[[#This Row],[Título]])-1</f>
        <v>1131</v>
      </c>
      <c r="B1132" s="1" t="s">
        <v>1636</v>
      </c>
      <c r="C1132" s="1"/>
      <c r="J1132" s="1"/>
      <c r="M1132" s="15" t="s">
        <v>484</v>
      </c>
      <c r="N1132" s="15" t="s">
        <v>1491</v>
      </c>
      <c r="O1132" s="15">
        <v>12</v>
      </c>
      <c r="P1132" s="15" t="str" cm="1">
        <f t="array" ref="P1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32" s="15" t="str" cm="1">
        <f t="array" ref="Q1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canciones/kairoi/yo_no_he_podido_ser_bueno.html</v>
      </c>
      <c r="S1132" s="1"/>
      <c r="T1132" s="1"/>
      <c r="U1132" s="1"/>
      <c r="V1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href="canciones/kairoi/yo_no_he_podido_ser_bueno.html"&gt;Yo no he podido ser bueno&lt;/a&gt;&lt;/li&gt;</v>
      </c>
      <c r="W1132" s="15" t="str">
        <f>_xlfn.TEXTBEFORE(_xlfn.TEXTAFTER(CantoralDB[[#This Row],[index.html]],"&gt;"),"&gt;")&amp;"&gt;"</f>
        <v>&lt;a href="canciones/kairoi/yo_no_he_podido_ser_bueno.html"&gt;</v>
      </c>
    </row>
    <row r="1133" spans="1:23" x14ac:dyDescent="0.3">
      <c r="A1133" s="1">
        <f>ROW(CantoralDB[[#This Row],[Título]])-1</f>
        <v>1132</v>
      </c>
      <c r="B1133" s="1" t="s">
        <v>1577</v>
      </c>
      <c r="C1133" s="1"/>
      <c r="H1133" s="1" t="s">
        <v>1029</v>
      </c>
      <c r="J1133" s="1" t="s">
        <v>608</v>
      </c>
      <c r="M1133" s="15" t="s">
        <v>484</v>
      </c>
      <c r="N1133" s="15" t="s">
        <v>1494</v>
      </c>
      <c r="O1133" s="15">
        <v>1</v>
      </c>
      <c r="P1133" s="15" t="str" cm="1">
        <f t="array" ref="P1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33" s="15" t="str" cm="1">
        <f t="array" ref="Q1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canciones/kairoi/si_jesus.html</v>
      </c>
      <c r="S1133" s="1"/>
      <c r="T1133" s="1"/>
      <c r="U1133" s="1"/>
      <c r="V1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href="canciones/kairoi/si_jesus.html"&gt;Sí, Jesús&lt;/a&gt;&lt;/li&gt;</v>
      </c>
      <c r="W1133" s="15" t="str">
        <f>_xlfn.TEXTBEFORE(_xlfn.TEXTAFTER(CantoralDB[[#This Row],[index.html]],"&gt;"),"&gt;")&amp;"&gt;"</f>
        <v>&lt;a href="canciones/kairoi/si_jesus.html"&gt;</v>
      </c>
    </row>
    <row r="1134" spans="1:23" x14ac:dyDescent="0.3">
      <c r="A1134" s="1">
        <f>ROW(CantoralDB[[#This Row],[Título]])-1</f>
        <v>1133</v>
      </c>
      <c r="B1134" s="1" t="s">
        <v>1650</v>
      </c>
      <c r="C1134" s="1"/>
      <c r="J1134" s="1"/>
      <c r="M1134" s="15" t="s">
        <v>484</v>
      </c>
      <c r="N1134" s="15" t="s">
        <v>1494</v>
      </c>
      <c r="O1134" s="15">
        <v>2</v>
      </c>
      <c r="P1134" s="15" t="str" cm="1">
        <f t="array" ref="P1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34" s="15" t="str" cm="1">
        <f t="array" ref="Q1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canciones/kairoi/cuando_la_muerte.html</v>
      </c>
      <c r="S1134" s="1"/>
      <c r="T1134" s="1"/>
      <c r="U1134" s="1"/>
      <c r="V1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href="canciones/kairoi/cuando_la_muerte.html"&gt;Cuando la muerte&lt;/a&gt;&lt;/li&gt;</v>
      </c>
      <c r="W1134" s="15" t="str">
        <f>_xlfn.TEXTBEFORE(_xlfn.TEXTAFTER(CantoralDB[[#This Row],[index.html]],"&gt;"),"&gt;")&amp;"&gt;"</f>
        <v>&lt;a href="canciones/kairoi/cuando_la_muerte.html"&gt;</v>
      </c>
    </row>
    <row r="1135" spans="1:23" x14ac:dyDescent="0.3">
      <c r="A1135" s="1">
        <f>ROW(CantoralDB[[#This Row],[Título]])-1</f>
        <v>1134</v>
      </c>
      <c r="B1135" s="1" t="s">
        <v>1578</v>
      </c>
      <c r="C1135" s="1"/>
      <c r="H1135" s="1" t="s">
        <v>531</v>
      </c>
      <c r="J1135" s="1" t="s">
        <v>608</v>
      </c>
      <c r="M1135" s="15" t="s">
        <v>484</v>
      </c>
      <c r="N1135" s="15" t="s">
        <v>1494</v>
      </c>
      <c r="O1135" s="15">
        <v>3</v>
      </c>
      <c r="P1135" s="15" t="str" cm="1">
        <f t="array" ref="P1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35" s="15" t="str" cm="1">
        <f t="array" ref="Q1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canciones/kairoi/no_temais.html</v>
      </c>
      <c r="S1135" s="1"/>
      <c r="T1135" s="1"/>
      <c r="U1135" s="1"/>
      <c r="V1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href="canciones/kairoi/no_temais.html"&gt;No temáis&lt;/a&gt;&lt;/li&gt;</v>
      </c>
      <c r="W1135" s="15" t="str">
        <f>_xlfn.TEXTBEFORE(_xlfn.TEXTAFTER(CantoralDB[[#This Row],[index.html]],"&gt;"),"&gt;")&amp;"&gt;"</f>
        <v>&lt;a href="canciones/kairoi/no_temais.html"&gt;</v>
      </c>
    </row>
    <row r="1136" spans="1:23" x14ac:dyDescent="0.3">
      <c r="A1136" s="1">
        <f>ROW(CantoralDB[[#This Row],[Título]])-1</f>
        <v>1135</v>
      </c>
      <c r="B1136" s="1" t="s">
        <v>1906</v>
      </c>
      <c r="C1136" s="1"/>
      <c r="H1136" s="1" t="s">
        <v>1030</v>
      </c>
      <c r="J1136" s="1" t="s">
        <v>608</v>
      </c>
      <c r="M1136" s="15" t="s">
        <v>484</v>
      </c>
      <c r="N1136" s="15" t="s">
        <v>1494</v>
      </c>
      <c r="O1136" s="15">
        <v>4</v>
      </c>
      <c r="P1136" s="15" t="str" cm="1">
        <f t="array" ref="P1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36" s="15" t="str" cm="1">
        <f t="array" ref="Q1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canciones/kairoi/la_libertad_del_espiritu.html</v>
      </c>
      <c r="S1136" s="1"/>
      <c r="T1136" s="1"/>
      <c r="U1136" s="1"/>
      <c r="V1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href="canciones/kairoi/la_libertad_del_espiritu.html"&gt;La libertad del Espíritu&lt;/a&gt;&lt;/li&gt;</v>
      </c>
      <c r="W1136" s="15" t="str">
        <f>_xlfn.TEXTBEFORE(_xlfn.TEXTAFTER(CantoralDB[[#This Row],[index.html]],"&gt;"),"&gt;")&amp;"&gt;"</f>
        <v>&lt;a href="canciones/kairoi/la_libertad_del_espiritu.html"&gt;</v>
      </c>
    </row>
    <row r="1137" spans="1:23" x14ac:dyDescent="0.3">
      <c r="A1137" s="1">
        <f>ROW(CantoralDB[[#This Row],[Título]])-1</f>
        <v>1136</v>
      </c>
      <c r="B1137" s="1" t="s">
        <v>1651</v>
      </c>
      <c r="C1137" s="1"/>
      <c r="J1137" s="1"/>
      <c r="M1137" s="15" t="s">
        <v>484</v>
      </c>
      <c r="N1137" s="15" t="s">
        <v>1494</v>
      </c>
      <c r="O1137" s="15">
        <v>5</v>
      </c>
      <c r="P1137" s="15" t="str" cm="1">
        <f t="array" ref="P1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37" s="15" t="str" cm="1">
        <f t="array" ref="Q1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canciones/kairoi/que_sepamos_estar.html</v>
      </c>
      <c r="S1137" s="1"/>
      <c r="T1137" s="1"/>
      <c r="U1137" s="1"/>
      <c r="V1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href="canciones/kairoi/que_sepamos_estar.html"&gt;Que sepamos estar&lt;/a&gt;&lt;/li&gt;</v>
      </c>
      <c r="W1137" s="15" t="str">
        <f>_xlfn.TEXTBEFORE(_xlfn.TEXTAFTER(CantoralDB[[#This Row],[index.html]],"&gt;"),"&gt;")&amp;"&gt;"</f>
        <v>&lt;a href="canciones/kairoi/que_sepamos_estar.html"&gt;</v>
      </c>
    </row>
    <row r="1138" spans="1:23" x14ac:dyDescent="0.3">
      <c r="A1138" s="1">
        <f>ROW(CantoralDB[[#This Row],[Título]])-1</f>
        <v>1137</v>
      </c>
      <c r="B1138" s="1" t="s">
        <v>1579</v>
      </c>
      <c r="C1138" s="1"/>
      <c r="H1138" s="1" t="s">
        <v>1029</v>
      </c>
      <c r="J1138" s="1" t="s">
        <v>608</v>
      </c>
      <c r="M1138" s="15" t="s">
        <v>484</v>
      </c>
      <c r="N1138" s="15" t="s">
        <v>1494</v>
      </c>
      <c r="O1138" s="15">
        <v>6</v>
      </c>
      <c r="P1138" s="15" t="str" cm="1">
        <f t="array" ref="P1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38" s="15" t="str" cm="1">
        <f t="array" ref="Q1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canciones/kairoi/quejate_si_puedes.html</v>
      </c>
      <c r="S1138" s="1"/>
      <c r="T1138" s="1"/>
      <c r="U1138" s="1"/>
      <c r="V1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href="canciones/kairoi/quejate_si_puedes.html"&gt;Quéjate si puedes&lt;/a&gt;&lt;/li&gt;</v>
      </c>
      <c r="W1138" s="15" t="str">
        <f>_xlfn.TEXTBEFORE(_xlfn.TEXTAFTER(CantoralDB[[#This Row],[index.html]],"&gt;"),"&gt;")&amp;"&gt;"</f>
        <v>&lt;a href="canciones/kairoi/quejate_si_puedes.html"&gt;</v>
      </c>
    </row>
    <row r="1139" spans="1:23" x14ac:dyDescent="0.3">
      <c r="A1139" s="1">
        <f>ROW(CantoralDB[[#This Row],[Título]])-1</f>
        <v>1138</v>
      </c>
      <c r="B1139" s="1" t="s">
        <v>1905</v>
      </c>
      <c r="C1139" s="1"/>
      <c r="H1139" s="1" t="s">
        <v>473</v>
      </c>
      <c r="J1139" s="1" t="s">
        <v>608</v>
      </c>
      <c r="M1139" s="15" t="s">
        <v>484</v>
      </c>
      <c r="N1139" s="15" t="s">
        <v>1494</v>
      </c>
      <c r="O1139" s="15">
        <v>7</v>
      </c>
      <c r="P1139" s="15" t="str" cm="1">
        <f t="array" ref="P1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39" s="15" t="str" cm="1">
        <f t="array" ref="Q1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canciones/kairoi/lo_entregaron_todo.html</v>
      </c>
      <c r="S1139" s="1"/>
      <c r="T1139" s="1"/>
      <c r="U1139" s="1"/>
      <c r="V1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href="canciones/kairoi/lo_entregaron_todo.html"&gt;Lo entregaron todo&lt;/a&gt;&lt;/li&gt;</v>
      </c>
      <c r="W1139" s="15" t="str">
        <f>_xlfn.TEXTBEFORE(_xlfn.TEXTAFTER(CantoralDB[[#This Row],[index.html]],"&gt;"),"&gt;")&amp;"&gt;"</f>
        <v>&lt;a href="canciones/kairoi/lo_entregaron_todo.html"&gt;</v>
      </c>
    </row>
    <row r="1140" spans="1:23" x14ac:dyDescent="0.3">
      <c r="A1140" s="1">
        <f>ROW(CantoralDB[[#This Row],[Título]])-1</f>
        <v>1139</v>
      </c>
      <c r="B1140" s="1" t="s">
        <v>2026</v>
      </c>
      <c r="C1140" s="1"/>
      <c r="H1140" s="1" t="s">
        <v>531</v>
      </c>
      <c r="J1140" s="1" t="s">
        <v>608</v>
      </c>
      <c r="M1140" s="15" t="s">
        <v>484</v>
      </c>
      <c r="N1140" s="15" t="s">
        <v>1494</v>
      </c>
      <c r="O1140" s="15">
        <v>8</v>
      </c>
      <c r="P1140" s="15" t="str" cm="1">
        <f t="array" ref="P1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40" s="15" t="str" cm="1">
        <f t="array" ref="Q1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canciones/kairoi/vale_mas_hablar_con_dios.html</v>
      </c>
      <c r="S1140" s="1"/>
      <c r="T1140" s="1"/>
      <c r="U1140" s="1"/>
      <c r="V1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href="canciones/kairoi/vale_mas_hablar_con_dios.html"&gt;Vale más hablar con Dios&lt;/a&gt;&lt;/li&gt;</v>
      </c>
      <c r="W1140" s="15" t="str">
        <f>_xlfn.TEXTBEFORE(_xlfn.TEXTAFTER(CantoralDB[[#This Row],[index.html]],"&gt;"),"&gt;")&amp;"&gt;"</f>
        <v>&lt;a href="canciones/kairoi/vale_mas_hablar_con_dios.html"&gt;</v>
      </c>
    </row>
    <row r="1141" spans="1:23" x14ac:dyDescent="0.3">
      <c r="A1141" s="1">
        <f>ROW(CantoralDB[[#This Row],[Título]])-1</f>
        <v>1140</v>
      </c>
      <c r="B1141" s="1" t="s">
        <v>1580</v>
      </c>
      <c r="C1141" s="1"/>
      <c r="H1141" s="1" t="s">
        <v>473</v>
      </c>
      <c r="J1141" s="1" t="s">
        <v>608</v>
      </c>
      <c r="M1141" s="15" t="s">
        <v>484</v>
      </c>
      <c r="N1141" s="15" t="s">
        <v>1494</v>
      </c>
      <c r="O1141" s="15">
        <v>9</v>
      </c>
      <c r="P1141" s="15" t="str" cm="1">
        <f t="array" ref="P1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41" s="15" t="str" cm="1">
        <f t="array" ref="Q1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canciones/kairoi/de_lo_debil_saca_fuerzas_dios.html</v>
      </c>
      <c r="S1141" s="1"/>
      <c r="T1141" s="1"/>
      <c r="U1141" s="1"/>
      <c r="V1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href="canciones/kairoi/de_lo_debil_saca_fuerzas_dios.html"&gt;De lo débil saca fuerzas Dios&lt;/a&gt;&lt;/li&gt;</v>
      </c>
      <c r="W1141" s="15" t="str">
        <f>_xlfn.TEXTBEFORE(_xlfn.TEXTAFTER(CantoralDB[[#This Row],[index.html]],"&gt;"),"&gt;")&amp;"&gt;"</f>
        <v>&lt;a href="canciones/kairoi/de_lo_debil_saca_fuerzas_dios.html"&gt;</v>
      </c>
    </row>
    <row r="1142" spans="1:23" x14ac:dyDescent="0.3">
      <c r="A1142" s="1">
        <f>ROW(CantoralDB[[#This Row],[Título]])-1</f>
        <v>1141</v>
      </c>
      <c r="B1142" s="1" t="s">
        <v>2189</v>
      </c>
      <c r="C1142" s="1"/>
      <c r="H1142" s="1" t="s">
        <v>1029</v>
      </c>
      <c r="J1142" s="1" t="s">
        <v>608</v>
      </c>
      <c r="M1142" s="15" t="s">
        <v>484</v>
      </c>
      <c r="N1142" s="15" t="s">
        <v>1494</v>
      </c>
      <c r="O1142" s="15">
        <v>10</v>
      </c>
      <c r="P1142" s="15" t="str" cm="1">
        <f t="array" ref="P1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42" s="15" t="str" cm="1">
        <f t="array" ref="Q1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canciones/kairoi/fueron_valientes.html</v>
      </c>
      <c r="S1142" s="1"/>
      <c r="T1142" s="1"/>
      <c r="U1142" s="1"/>
      <c r="V1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href="canciones/kairoi/fueron_valientes.html"&gt;Fueron valientes&lt;/a&gt;&lt;/li&gt;</v>
      </c>
      <c r="W1142" s="15" t="str">
        <f>_xlfn.TEXTBEFORE(_xlfn.TEXTAFTER(CantoralDB[[#This Row],[index.html]],"&gt;"),"&gt;")&amp;"&gt;"</f>
        <v>&lt;a href="canciones/kairoi/fueron_valientes.html"&gt;</v>
      </c>
    </row>
    <row r="1143" spans="1:23" x14ac:dyDescent="0.3">
      <c r="A1143" s="1">
        <f>ROW(CantoralDB[[#This Row],[Título]])-1</f>
        <v>1142</v>
      </c>
      <c r="B1143" s="1" t="s">
        <v>1907</v>
      </c>
      <c r="C1143" s="1"/>
      <c r="H1143" s="1" t="s">
        <v>1030</v>
      </c>
      <c r="J1143" s="1" t="s">
        <v>608</v>
      </c>
      <c r="M1143" s="15" t="s">
        <v>484</v>
      </c>
      <c r="N1143" s="15" t="s">
        <v>1494</v>
      </c>
      <c r="O1143" s="15">
        <v>11</v>
      </c>
      <c r="P1143" s="15" t="str" cm="1">
        <f t="array" ref="P1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43" s="15" t="str" cm="1">
        <f t="array" ref="Q1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canciones/kairoi/te_reclamaran_la_vida.html</v>
      </c>
      <c r="S1143" s="1"/>
      <c r="T1143" s="1"/>
      <c r="U1143" s="1"/>
      <c r="V1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href="canciones/kairoi/te_reclamaran_la_vida.html"&gt;Te reclamarán la vida&lt;/a&gt;&lt;/li&gt;</v>
      </c>
      <c r="W1143" s="15" t="str">
        <f>_xlfn.TEXTBEFORE(_xlfn.TEXTAFTER(CantoralDB[[#This Row],[index.html]],"&gt;"),"&gt;")&amp;"&gt;"</f>
        <v>&lt;a href="canciones/kairoi/te_reclamaran_la_vida.html"&gt;</v>
      </c>
    </row>
    <row r="1144" spans="1:23" x14ac:dyDescent="0.3">
      <c r="A1144" s="1">
        <f>ROW(CantoralDB[[#This Row],[Título]])-1</f>
        <v>1143</v>
      </c>
      <c r="B1144" s="1" t="s">
        <v>1581</v>
      </c>
      <c r="C1144" s="1"/>
      <c r="H1144" s="1" t="s">
        <v>1028</v>
      </c>
      <c r="J1144" s="1" t="s">
        <v>608</v>
      </c>
      <c r="M1144" s="15" t="s">
        <v>484</v>
      </c>
      <c r="N1144" s="15" t="s">
        <v>1494</v>
      </c>
      <c r="O1144" s="15">
        <v>12</v>
      </c>
      <c r="P1144" s="15" t="str" cm="1">
        <f t="array" ref="P1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44" s="15" t="str" cm="1">
        <f t="array" ref="Q1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canciones/kairoi/esperad_al_señor.html</v>
      </c>
      <c r="S1144" s="1"/>
      <c r="T1144" s="1"/>
      <c r="U1144" s="1"/>
      <c r="V1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href="canciones/kairoi/esperad_al_señor.html"&gt;Esperad al Señor&lt;/a&gt;&lt;/li&gt;</v>
      </c>
      <c r="W1144" s="15" t="str">
        <f>_xlfn.TEXTBEFORE(_xlfn.TEXTAFTER(CantoralDB[[#This Row],[index.html]],"&gt;"),"&gt;")&amp;"&gt;"</f>
        <v>&lt;a href="canciones/kairoi/esperad_al_señor.html"&gt;</v>
      </c>
    </row>
    <row r="1145" spans="1:23" x14ac:dyDescent="0.3">
      <c r="A1145" s="1">
        <f>ROW(CantoralDB[[#This Row],[Título]])-1</f>
        <v>1144</v>
      </c>
      <c r="B1145" s="1" t="s">
        <v>1497</v>
      </c>
      <c r="C1145" s="1"/>
      <c r="J1145" s="1"/>
      <c r="M1145" s="15" t="s">
        <v>484</v>
      </c>
      <c r="N1145" s="15" t="s">
        <v>1497</v>
      </c>
      <c r="O1145" s="15">
        <v>1</v>
      </c>
      <c r="P1145" s="15" t="str" cm="1">
        <f t="array" ref="P1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45" s="15" t="str" cm="1">
        <f t="array" ref="Q1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canciones/kairoi/un_corazon_sin_fronteras.html</v>
      </c>
      <c r="S1145" s="1"/>
      <c r="T1145" s="1"/>
      <c r="U1145" s="1"/>
      <c r="V1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href="canciones/kairoi/un_corazon_sin_fronteras.html"&gt;Un corazón sin fronteras&lt;/a&gt;&lt;/li&gt;</v>
      </c>
      <c r="W1145" s="15" t="str">
        <f>_xlfn.TEXTBEFORE(_xlfn.TEXTAFTER(CantoralDB[[#This Row],[index.html]],"&gt;"),"&gt;")&amp;"&gt;"</f>
        <v>&lt;a href="canciones/kairoi/un_corazon_sin_fronteras.html"&gt;</v>
      </c>
    </row>
    <row r="1146" spans="1:23" x14ac:dyDescent="0.3">
      <c r="A1146" s="1">
        <f>ROW(CantoralDB[[#This Row],[Título]])-1</f>
        <v>1145</v>
      </c>
      <c r="B1146" s="1" t="s">
        <v>1611</v>
      </c>
      <c r="C1146" s="1"/>
      <c r="H1146" s="1" t="s">
        <v>1027</v>
      </c>
      <c r="J1146" s="1" t="s">
        <v>608</v>
      </c>
      <c r="M1146" s="15" t="s">
        <v>484</v>
      </c>
      <c r="N1146" s="15" t="s">
        <v>1497</v>
      </c>
      <c r="O1146" s="15">
        <v>2</v>
      </c>
      <c r="P1146" s="15" t="str" cm="1">
        <f t="array" ref="P1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46" s="15" t="str" cm="1">
        <f t="array" ref="Q1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canciones/kairoi/buena_madre.html</v>
      </c>
      <c r="S1146" s="1"/>
      <c r="T1146" s="1"/>
      <c r="U1146" s="1"/>
      <c r="V1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href="canciones/kairoi/buena_madre.html"&gt;Buena Madre&lt;/a&gt;&lt;/li&gt;</v>
      </c>
      <c r="W1146" s="15" t="str">
        <f>_xlfn.TEXTBEFORE(_xlfn.TEXTAFTER(CantoralDB[[#This Row],[index.html]],"&gt;"),"&gt;")&amp;"&gt;"</f>
        <v>&lt;a href="canciones/kairoi/buena_madre.html"&gt;</v>
      </c>
    </row>
    <row r="1147" spans="1:23" x14ac:dyDescent="0.3">
      <c r="A1147" s="1">
        <f>ROW(CantoralDB[[#This Row],[Título]])-1</f>
        <v>1146</v>
      </c>
      <c r="B1147" s="1" t="s">
        <v>1549</v>
      </c>
      <c r="C1147" s="1"/>
      <c r="H1147" s="1" t="s">
        <v>1030</v>
      </c>
      <c r="J1147" s="1" t="s">
        <v>608</v>
      </c>
      <c r="M1147" s="15" t="s">
        <v>484</v>
      </c>
      <c r="N1147" s="15" t="s">
        <v>1497</v>
      </c>
      <c r="O1147" s="15">
        <v>3</v>
      </c>
      <c r="P1147" s="15" t="str" cm="1">
        <f t="array" ref="P1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47" s="15" t="str" cm="1">
        <f t="array" ref="Q1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canciones/kairoi/construyenos_la_casa.html</v>
      </c>
      <c r="S1147" s="1"/>
      <c r="T1147" s="1"/>
      <c r="U1147" s="1"/>
      <c r="V1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href="canciones/kairoi/construyenos_la_casa.html"&gt;Constrúyenos la casa&lt;/a&gt;&lt;/li&gt;</v>
      </c>
      <c r="W1147" s="15" t="str">
        <f>_xlfn.TEXTBEFORE(_xlfn.TEXTAFTER(CantoralDB[[#This Row],[index.html]],"&gt;"),"&gt;")&amp;"&gt;"</f>
        <v>&lt;a href="canciones/kairoi/construyenos_la_casa.html"&gt;</v>
      </c>
    </row>
    <row r="1148" spans="1:23" x14ac:dyDescent="0.3">
      <c r="A1148" s="1">
        <f>ROW(CantoralDB[[#This Row],[Título]])-1</f>
        <v>1147</v>
      </c>
      <c r="B1148" s="1" t="s">
        <v>1609</v>
      </c>
      <c r="C1148" s="1"/>
      <c r="H1148" s="1" t="s">
        <v>1027</v>
      </c>
      <c r="J1148" s="1" t="s">
        <v>608</v>
      </c>
      <c r="M1148" s="15" t="s">
        <v>484</v>
      </c>
      <c r="N1148" s="15" t="s">
        <v>1497</v>
      </c>
      <c r="O1148" s="15">
        <v>6</v>
      </c>
      <c r="P1148" s="15" t="str" cm="1">
        <f t="array" ref="P1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48" s="15" t="str" cm="1">
        <f t="array" ref="Q1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canciones/kairoi/hermano_entre_los_hombres.html</v>
      </c>
      <c r="S1148" s="1"/>
      <c r="T1148" s="1"/>
      <c r="U1148" s="1"/>
      <c r="V1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href="canciones/kairoi/hermano_entre_los_hombres.html"&gt;Hermano entre los hombres&lt;/a&gt;&lt;/li&gt;</v>
      </c>
      <c r="W1148" s="15" t="str">
        <f>_xlfn.TEXTBEFORE(_xlfn.TEXTAFTER(CantoralDB[[#This Row],[index.html]],"&gt;"),"&gt;")&amp;"&gt;"</f>
        <v>&lt;a href="canciones/kairoi/hermano_entre_los_hombres.html"&gt;</v>
      </c>
    </row>
    <row r="1149" spans="1:23" x14ac:dyDescent="0.3">
      <c r="A1149" s="1">
        <f>ROW(CantoralDB[[#This Row],[Título]])-1</f>
        <v>1148</v>
      </c>
      <c r="B1149" s="1" t="s">
        <v>1608</v>
      </c>
      <c r="C1149" s="1"/>
      <c r="H1149" s="1" t="s">
        <v>531</v>
      </c>
      <c r="J1149" s="1" t="s">
        <v>608</v>
      </c>
      <c r="M1149" s="15" t="s">
        <v>484</v>
      </c>
      <c r="N1149" s="15" t="s">
        <v>1497</v>
      </c>
      <c r="O1149" s="15">
        <v>7</v>
      </c>
      <c r="P1149" s="15" t="str" cm="1">
        <f t="array" ref="P1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49" s="15" t="str" cm="1">
        <f t="array" ref="Q1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canciones/kairoi/en_torno_al_pan.html</v>
      </c>
      <c r="S1149" s="1"/>
      <c r="T1149" s="1"/>
      <c r="U1149" s="1"/>
      <c r="V1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href="canciones/kairoi/en_torno_al_pan.html"&gt;En torno al pan&lt;/a&gt;&lt;/li&gt;</v>
      </c>
      <c r="W1149" s="15" t="str">
        <f>_xlfn.TEXTBEFORE(_xlfn.TEXTAFTER(CantoralDB[[#This Row],[index.html]],"&gt;"),"&gt;")&amp;"&gt;"</f>
        <v>&lt;a href="canciones/kairoi/en_torno_al_pan.html"&gt;</v>
      </c>
    </row>
    <row r="1150" spans="1:23" x14ac:dyDescent="0.3">
      <c r="A1150" s="1">
        <f>ROW(CantoralDB[[#This Row],[Título]])-1</f>
        <v>1149</v>
      </c>
      <c r="B1150" s="1" t="s">
        <v>1677</v>
      </c>
      <c r="C1150" s="1"/>
      <c r="J1150" s="1"/>
      <c r="M1150" s="15" t="s">
        <v>484</v>
      </c>
      <c r="N1150" s="15" t="s">
        <v>1497</v>
      </c>
      <c r="O1150" s="15">
        <v>8</v>
      </c>
      <c r="P1150" s="15" t="str" cm="1">
        <f t="array" ref="P1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50" s="15" t="str" cm="1">
        <f t="array" ref="Q1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canciones/kairoi/frases_marcelino.html</v>
      </c>
      <c r="S1150" s="1"/>
      <c r="T1150" s="1"/>
      <c r="U1150" s="1"/>
      <c r="V1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href="canciones/kairoi/frases_marcelino.html"&gt;Frases Marcelino&lt;/a&gt;&lt;/li&gt;</v>
      </c>
      <c r="W1150" s="15" t="str">
        <f>_xlfn.TEXTBEFORE(_xlfn.TEXTAFTER(CantoralDB[[#This Row],[index.html]],"&gt;"),"&gt;")&amp;"&gt;"</f>
        <v>&lt;a href="canciones/kairoi/frases_marcelino.html"&gt;</v>
      </c>
    </row>
    <row r="1151" spans="1:23" x14ac:dyDescent="0.3">
      <c r="A1151" s="1">
        <f>ROW(CantoralDB[[#This Row],[Título]])-1</f>
        <v>1150</v>
      </c>
      <c r="B1151" s="1" t="s">
        <v>1606</v>
      </c>
      <c r="C1151" s="1"/>
      <c r="J1151" s="1"/>
      <c r="M1151" s="15" t="s">
        <v>484</v>
      </c>
      <c r="N1151" s="15" t="s">
        <v>1497</v>
      </c>
      <c r="O1151" s="15">
        <v>9</v>
      </c>
      <c r="P1151" s="15" t="str" cm="1">
        <f t="array" ref="P1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51" s="15" t="str" cm="1">
        <f t="array" ref="Q1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canciones/kairoi/hermano_confia_en_dios.html</v>
      </c>
      <c r="S1151" s="1"/>
      <c r="T1151" s="1"/>
      <c r="U1151" s="1"/>
      <c r="V1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href="canciones/kairoi/hermano_confia_en_dios.html"&gt;Hermano, confía en Dios&lt;/a&gt;&lt;/li&gt;</v>
      </c>
      <c r="W1151" s="15" t="str">
        <f>_xlfn.TEXTBEFORE(_xlfn.TEXTAFTER(CantoralDB[[#This Row],[index.html]],"&gt;"),"&gt;")&amp;"&gt;"</f>
        <v>&lt;a href="canciones/kairoi/hermano_confia_en_dios.html"&gt;</v>
      </c>
    </row>
    <row r="1152" spans="1:23" x14ac:dyDescent="0.3">
      <c r="A1152" s="1">
        <f>ROW(CantoralDB[[#This Row],[Título]])-1</f>
        <v>1151</v>
      </c>
      <c r="B1152" s="1" t="s">
        <v>1597</v>
      </c>
      <c r="C1152" s="1"/>
      <c r="J1152" s="1"/>
      <c r="M1152" s="15" t="s">
        <v>484</v>
      </c>
      <c r="N1152" s="15" t="s">
        <v>1497</v>
      </c>
      <c r="O1152" s="15">
        <v>10</v>
      </c>
      <c r="P1152" s="15" t="str" cm="1">
        <f t="array" ref="P1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52" s="15" t="str" cm="1">
        <f t="array" ref="Q1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canciones/kairoi/familia_marista.html</v>
      </c>
      <c r="S1152" s="1"/>
      <c r="T1152" s="1"/>
      <c r="U1152" s="1"/>
      <c r="V1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href="canciones/kairoi/familia_marista.html"&gt;Familia Marista&lt;/a&gt;&lt;/li&gt;</v>
      </c>
      <c r="W1152" s="15" t="str">
        <f>_xlfn.TEXTBEFORE(_xlfn.TEXTAFTER(CantoralDB[[#This Row],[index.html]],"&gt;"),"&gt;")&amp;"&gt;"</f>
        <v>&lt;a href="canciones/kairoi/familia_marista.html"&gt;</v>
      </c>
    </row>
    <row r="1153" spans="1:23" x14ac:dyDescent="0.3">
      <c r="A1153" s="1">
        <f>ROW(CantoralDB[[#This Row],[Título]])-1</f>
        <v>1152</v>
      </c>
      <c r="B1153" s="1" t="s">
        <v>1678</v>
      </c>
      <c r="C1153" s="1"/>
      <c r="H1153" s="1" t="s">
        <v>1027</v>
      </c>
      <c r="J1153" s="1" t="s">
        <v>608</v>
      </c>
      <c r="M1153" s="15" t="s">
        <v>484</v>
      </c>
      <c r="N1153" s="15" t="s">
        <v>1497</v>
      </c>
      <c r="O1153" s="15">
        <v>12</v>
      </c>
      <c r="P1153" s="15" t="str" cm="1">
        <f t="array" ref="P1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53" s="15" t="str" cm="1">
        <f t="array" ref="Q1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canciones/kairoi/acuerdate_maria.html</v>
      </c>
      <c r="S1153" s="1"/>
      <c r="T1153" s="1"/>
      <c r="U1153" s="1"/>
      <c r="V1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href="canciones/kairoi/acuerdate_maria.html"&gt;Acuérdate, María&lt;/a&gt;&lt;/li&gt;</v>
      </c>
      <c r="W1153" s="15" t="str">
        <f>_xlfn.TEXTBEFORE(_xlfn.TEXTAFTER(CantoralDB[[#This Row],[index.html]],"&gt;"),"&gt;")&amp;"&gt;"</f>
        <v>&lt;a href="canciones/kairoi/acuerdate_maria.html"&gt;</v>
      </c>
    </row>
    <row r="1154" spans="1:23" x14ac:dyDescent="0.3">
      <c r="A1154" s="1">
        <f>ROW(CantoralDB[[#This Row],[Título]])-1</f>
        <v>1153</v>
      </c>
      <c r="B1154" s="1" t="s">
        <v>1613</v>
      </c>
      <c r="C1154" s="1"/>
      <c r="H1154" s="1" t="s">
        <v>531</v>
      </c>
      <c r="J1154" s="1" t="s">
        <v>608</v>
      </c>
      <c r="M1154" s="15" t="s">
        <v>484</v>
      </c>
      <c r="N1154" s="15" t="s">
        <v>1497</v>
      </c>
      <c r="O1154" s="15">
        <v>13</v>
      </c>
      <c r="P1154" s="15" t="str" cm="1">
        <f t="array" ref="P1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54" s="15" t="str" cm="1">
        <f t="array" ref="Q1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canciones/kairoi/hermano_adios.html</v>
      </c>
      <c r="S1154" s="1"/>
      <c r="T1154" s="1"/>
      <c r="U1154" s="1"/>
      <c r="V1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href="canciones/kairoi/hermano_adios.html"&gt;Hermano, adiós&lt;/a&gt;&lt;/li&gt;</v>
      </c>
      <c r="W1154" s="15" t="str">
        <f>_xlfn.TEXTBEFORE(_xlfn.TEXTAFTER(CantoralDB[[#This Row],[index.html]],"&gt;"),"&gt;")&amp;"&gt;"</f>
        <v>&lt;a href="canciones/kairoi/hermano_adios.html"&gt;</v>
      </c>
    </row>
    <row r="1155" spans="1:23" x14ac:dyDescent="0.3">
      <c r="A1155" s="1">
        <f>ROW(CantoralDB[[#This Row],[Título]])-1</f>
        <v>1154</v>
      </c>
      <c r="B1155" s="1" t="s">
        <v>1679</v>
      </c>
      <c r="C1155" s="1"/>
      <c r="J1155" s="1"/>
      <c r="M1155" s="15" t="s">
        <v>484</v>
      </c>
      <c r="N1155" s="15" t="s">
        <v>1497</v>
      </c>
      <c r="O1155" s="15">
        <v>14</v>
      </c>
      <c r="P1155" s="15" t="str" cm="1">
        <f t="array" ref="P1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55" s="15" t="str" cm="1">
        <f t="array" ref="Q1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canciones/kairoi/tu_seras_hoy_champagnat.html</v>
      </c>
      <c r="S1155" s="1"/>
      <c r="T1155" s="1"/>
      <c r="U1155" s="1"/>
      <c r="V1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href="canciones/kairoi/tu_seras_hoy_champagnat.html"&gt;Tu serás hoy Champagnat&lt;/a&gt;&lt;/li&gt;</v>
      </c>
      <c r="W1155" s="15" t="str">
        <f>_xlfn.TEXTBEFORE(_xlfn.TEXTAFTER(CantoralDB[[#This Row],[index.html]],"&gt;"),"&gt;")&amp;"&gt;"</f>
        <v>&lt;a href="canciones/kairoi/tu_seras_hoy_champagnat.html"&gt;</v>
      </c>
    </row>
    <row r="1156" spans="1:23" x14ac:dyDescent="0.3">
      <c r="A1156" s="1">
        <f>ROW(CantoralDB[[#This Row],[Título]])-1</f>
        <v>1155</v>
      </c>
      <c r="B1156" s="1" t="s">
        <v>1583</v>
      </c>
      <c r="C1156" s="1"/>
      <c r="J1156" s="1"/>
      <c r="M1156" s="15" t="s">
        <v>484</v>
      </c>
      <c r="N1156" s="15" t="s">
        <v>1484</v>
      </c>
      <c r="O1156" s="15">
        <v>1</v>
      </c>
      <c r="P1156" s="15" t="str" cm="1">
        <f t="array" ref="P1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56" s="15" t="str" cm="1">
        <f t="array" ref="Q1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canciones/kairoi/sintonia.html</v>
      </c>
      <c r="S1156" s="1"/>
      <c r="T1156" s="1"/>
      <c r="U1156" s="1"/>
      <c r="V1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href="canciones/kairoi/sintonia.html"&gt;Sintonía&lt;/a&gt;&lt;/li&gt;</v>
      </c>
      <c r="W1156" s="15" t="str">
        <f>_xlfn.TEXTBEFORE(_xlfn.TEXTAFTER(CantoralDB[[#This Row],[index.html]],"&gt;"),"&gt;")&amp;"&gt;"</f>
        <v>&lt;a href="canciones/kairoi/sintonia.html"&gt;</v>
      </c>
    </row>
    <row r="1157" spans="1:23" x14ac:dyDescent="0.3">
      <c r="A1157" s="1">
        <f>ROW(CantoralDB[[#This Row],[Título]])-1</f>
        <v>1156</v>
      </c>
      <c r="B1157" s="1" t="s">
        <v>1584</v>
      </c>
      <c r="C1157" s="1"/>
      <c r="J1157" s="1"/>
      <c r="M1157" s="15" t="s">
        <v>484</v>
      </c>
      <c r="N1157" s="15" t="s">
        <v>1484</v>
      </c>
      <c r="O1157" s="15">
        <v>2</v>
      </c>
      <c r="P1157" s="15" t="str" cm="1">
        <f t="array" ref="P1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57" s="15" t="str" cm="1">
        <f t="array" ref="Q1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canciones/kairoi/mi_ciudad.html</v>
      </c>
      <c r="S1157" s="1"/>
      <c r="T1157" s="1"/>
      <c r="U1157" s="1"/>
      <c r="V1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href="canciones/kairoi/mi_ciudad.html"&gt;Mi ciudad&lt;/a&gt;&lt;/li&gt;</v>
      </c>
      <c r="W1157" s="15" t="str">
        <f>_xlfn.TEXTBEFORE(_xlfn.TEXTAFTER(CantoralDB[[#This Row],[index.html]],"&gt;"),"&gt;")&amp;"&gt;"</f>
        <v>&lt;a href="canciones/kairoi/mi_ciudad.html"&gt;</v>
      </c>
    </row>
    <row r="1158" spans="1:23" x14ac:dyDescent="0.3">
      <c r="A1158" s="1">
        <f>ROW(CantoralDB[[#This Row],[Título]])-1</f>
        <v>1157</v>
      </c>
      <c r="B1158" s="1" t="s">
        <v>1585</v>
      </c>
      <c r="C1158" s="1"/>
      <c r="J1158" s="1"/>
      <c r="M1158" s="15" t="s">
        <v>484</v>
      </c>
      <c r="N1158" s="15" t="s">
        <v>1484</v>
      </c>
      <c r="O1158" s="15">
        <v>3</v>
      </c>
      <c r="P1158" s="15" t="str" cm="1">
        <f t="array" ref="P1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58" s="15" t="str" cm="1">
        <f t="array" ref="Q1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canciones/kairoi/mañana_quien_sabra.html</v>
      </c>
      <c r="S1158" s="1"/>
      <c r="T1158" s="1"/>
      <c r="U1158" s="1"/>
      <c r="V1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href="canciones/kairoi/mañana_quien_sabra.html"&gt;Mañana, quién sabrá&lt;/a&gt;&lt;/li&gt;</v>
      </c>
      <c r="W1158" s="15" t="str">
        <f>_xlfn.TEXTBEFORE(_xlfn.TEXTAFTER(CantoralDB[[#This Row],[index.html]],"&gt;"),"&gt;")&amp;"&gt;"</f>
        <v>&lt;a href="canciones/kairoi/mañana_quien_sabra.html"&gt;</v>
      </c>
    </row>
    <row r="1159" spans="1:23" x14ac:dyDescent="0.3">
      <c r="A1159" s="1">
        <f>ROW(CantoralDB[[#This Row],[Título]])-1</f>
        <v>1158</v>
      </c>
      <c r="B1159" s="1" t="s">
        <v>1586</v>
      </c>
      <c r="C1159" s="1"/>
      <c r="J1159" s="1"/>
      <c r="M1159" s="15" t="s">
        <v>484</v>
      </c>
      <c r="N1159" s="15" t="s">
        <v>1484</v>
      </c>
      <c r="O1159" s="15">
        <v>4</v>
      </c>
      <c r="P1159" s="15" t="str" cm="1">
        <f t="array" ref="P1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59" s="15" t="str" cm="1">
        <f t="array" ref="Q1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canciones/kairoi/quisiera_haber_nacido.html</v>
      </c>
      <c r="S1159" s="1"/>
      <c r="T1159" s="1"/>
      <c r="U1159" s="1"/>
      <c r="V1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href="canciones/kairoi/quisiera_haber_nacido.html"&gt;Quisiera haber nacido&lt;/a&gt;&lt;/li&gt;</v>
      </c>
      <c r="W1159" s="15" t="str">
        <f>_xlfn.TEXTBEFORE(_xlfn.TEXTAFTER(CantoralDB[[#This Row],[index.html]],"&gt;"),"&gt;")&amp;"&gt;"</f>
        <v>&lt;a href="canciones/kairoi/quisiera_haber_nacido.html"&gt;</v>
      </c>
    </row>
    <row r="1160" spans="1:23" x14ac:dyDescent="0.3">
      <c r="A1160" s="1">
        <f>ROW(CantoralDB[[#This Row],[Título]])-1</f>
        <v>1159</v>
      </c>
      <c r="B1160" s="1" t="s">
        <v>1587</v>
      </c>
      <c r="C1160" s="1"/>
      <c r="J1160" s="1"/>
      <c r="M1160" s="15" t="s">
        <v>484</v>
      </c>
      <c r="N1160" s="15" t="s">
        <v>1484</v>
      </c>
      <c r="O1160" s="15">
        <v>5</v>
      </c>
      <c r="P1160" s="15" t="str" cm="1">
        <f t="array" ref="P1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60" s="15" t="str" cm="1">
        <f t="array" ref="Q1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canciones/kairoi/no_puedo_jugar.html</v>
      </c>
      <c r="S1160" s="1"/>
      <c r="T1160" s="1"/>
      <c r="U1160" s="1"/>
      <c r="V1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href="canciones/kairoi/no_puedo_jugar.html"&gt;No puedo jugar&lt;/a&gt;&lt;/li&gt;</v>
      </c>
      <c r="W1160" s="15" t="str">
        <f>_xlfn.TEXTBEFORE(_xlfn.TEXTAFTER(CantoralDB[[#This Row],[index.html]],"&gt;"),"&gt;")&amp;"&gt;"</f>
        <v>&lt;a href="canciones/kairoi/no_puedo_jugar.html"&gt;</v>
      </c>
    </row>
    <row r="1161" spans="1:23" x14ac:dyDescent="0.3">
      <c r="A1161" s="1">
        <f>ROW(CantoralDB[[#This Row],[Título]])-1</f>
        <v>1160</v>
      </c>
      <c r="B1161" s="1" t="s">
        <v>1939</v>
      </c>
      <c r="C1161" s="1"/>
      <c r="J1161" s="1"/>
      <c r="M1161" s="15" t="s">
        <v>484</v>
      </c>
      <c r="N1161" s="15" t="s">
        <v>1484</v>
      </c>
      <c r="O1161" s="15">
        <v>6</v>
      </c>
      <c r="P1161" s="15" t="str" cm="1">
        <f t="array" ref="P1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61" s="15" t="str" cm="1">
        <f t="array" ref="Q1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canciones/kairoi/quien_me_ayuda.html</v>
      </c>
      <c r="S1161" s="1"/>
      <c r="T1161" s="1"/>
      <c r="U1161" s="1"/>
      <c r="V1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href="canciones/kairoi/quien_me_ayuda.html"&gt;Quién me ayuda&lt;/a&gt;&lt;/li&gt;</v>
      </c>
      <c r="W1161" s="15" t="str">
        <f>_xlfn.TEXTBEFORE(_xlfn.TEXTAFTER(CantoralDB[[#This Row],[index.html]],"&gt;"),"&gt;")&amp;"&gt;"</f>
        <v>&lt;a href="canciones/kairoi/quien_me_ayuda.html"&gt;</v>
      </c>
    </row>
    <row r="1162" spans="1:23" x14ac:dyDescent="0.3">
      <c r="A1162" s="1">
        <f>ROW(CantoralDB[[#This Row],[Título]])-1</f>
        <v>1161</v>
      </c>
      <c r="B1162" s="1" t="s">
        <v>1588</v>
      </c>
      <c r="C1162" s="1"/>
      <c r="J1162" s="1"/>
      <c r="M1162" s="15" t="s">
        <v>484</v>
      </c>
      <c r="N1162" s="15" t="s">
        <v>1484</v>
      </c>
      <c r="O1162" s="15">
        <v>7</v>
      </c>
      <c r="P1162" s="15" t="str" cm="1">
        <f t="array" ref="P1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62" s="15" t="str" cm="1">
        <f t="array" ref="Q1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canciones/kairoi/siempre_me_gusto_decirte_hola.html</v>
      </c>
      <c r="S1162" s="1"/>
      <c r="T1162" s="1"/>
      <c r="U1162" s="1"/>
      <c r="V1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href="canciones/kairoi/siempre_me_gusto_decirte_hola.html"&gt;Siempre me gustó decirte hola&lt;/a&gt;&lt;/li&gt;</v>
      </c>
      <c r="W1162" s="15" t="str">
        <f>_xlfn.TEXTBEFORE(_xlfn.TEXTAFTER(CantoralDB[[#This Row],[index.html]],"&gt;"),"&gt;")&amp;"&gt;"</f>
        <v>&lt;a href="canciones/kairoi/siempre_me_gusto_decirte_hola.html"&gt;</v>
      </c>
    </row>
    <row r="1163" spans="1:23" x14ac:dyDescent="0.3">
      <c r="A1163" s="1">
        <f>ROW(CantoralDB[[#This Row],[Título]])-1</f>
        <v>1162</v>
      </c>
      <c r="B1163" s="1" t="s">
        <v>1589</v>
      </c>
      <c r="C1163" s="1"/>
      <c r="J1163" s="1"/>
      <c r="M1163" s="15" t="s">
        <v>484</v>
      </c>
      <c r="N1163" s="15" t="s">
        <v>1484</v>
      </c>
      <c r="O1163" s="15">
        <v>8</v>
      </c>
      <c r="P1163" s="15" t="str" cm="1">
        <f t="array" ref="P1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63" s="15" t="str" cm="1">
        <f t="array" ref="Q1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canciones/kairoi/solo_trabajar.html</v>
      </c>
      <c r="S1163" s="1"/>
      <c r="T1163" s="1"/>
      <c r="U1163" s="1"/>
      <c r="V1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href="canciones/kairoi/solo_trabajar.html"&gt;Sólo trabajar&lt;/a&gt;&lt;/li&gt;</v>
      </c>
      <c r="W1163" s="15" t="str">
        <f>_xlfn.TEXTBEFORE(_xlfn.TEXTAFTER(CantoralDB[[#This Row],[index.html]],"&gt;"),"&gt;")&amp;"&gt;"</f>
        <v>&lt;a href="canciones/kairoi/solo_trabajar.html"&gt;</v>
      </c>
    </row>
    <row r="1164" spans="1:23" x14ac:dyDescent="0.3">
      <c r="A1164" s="1">
        <f>ROW(CantoralDB[[#This Row],[Título]])-1</f>
        <v>1163</v>
      </c>
      <c r="B1164" s="1" t="s">
        <v>1590</v>
      </c>
      <c r="C1164" s="1"/>
      <c r="J1164" s="1"/>
      <c r="M1164" s="15" t="s">
        <v>484</v>
      </c>
      <c r="N1164" s="15" t="s">
        <v>1484</v>
      </c>
      <c r="O1164" s="15">
        <v>9</v>
      </c>
      <c r="P1164" s="15" t="str" cm="1">
        <f t="array" ref="P1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64" s="15" t="str" cm="1">
        <f t="array" ref="Q1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canciones/kairoi/no_tengo_a_nadie.html</v>
      </c>
      <c r="S1164" s="1"/>
      <c r="T1164" s="1"/>
      <c r="U1164" s="1"/>
      <c r="V1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href="canciones/kairoi/no_tengo_a_nadie.html"&gt;No tengo a nadie&lt;/a&gt;&lt;/li&gt;</v>
      </c>
      <c r="W1164" s="15" t="str">
        <f>_xlfn.TEXTBEFORE(_xlfn.TEXTAFTER(CantoralDB[[#This Row],[index.html]],"&gt;"),"&gt;")&amp;"&gt;"</f>
        <v>&lt;a href="canciones/kairoi/no_tengo_a_nadie.html"&gt;</v>
      </c>
    </row>
    <row r="1165" spans="1:23" x14ac:dyDescent="0.3">
      <c r="A1165" s="1">
        <f>ROW(CantoralDB[[#This Row],[Título]])-1</f>
        <v>1164</v>
      </c>
      <c r="B1165" s="1" t="s">
        <v>1591</v>
      </c>
      <c r="C1165" s="1"/>
      <c r="J1165" s="1"/>
      <c r="M1165" s="15" t="s">
        <v>484</v>
      </c>
      <c r="N1165" s="15" t="s">
        <v>1484</v>
      </c>
      <c r="O1165" s="15">
        <v>10</v>
      </c>
      <c r="P1165" s="15" t="str" cm="1">
        <f t="array" ref="P1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65" s="15" t="str" cm="1">
        <f t="array" ref="Q1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canciones/kairoi/me_hicieron_asi.html</v>
      </c>
      <c r="S1165" s="1"/>
      <c r="T1165" s="1"/>
      <c r="U1165" s="1"/>
      <c r="V1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href="canciones/kairoi/me_hicieron_asi.html"&gt;Me hicieron así&lt;/a&gt;&lt;/li&gt;</v>
      </c>
      <c r="W1165" s="15" t="str">
        <f>_xlfn.TEXTBEFORE(_xlfn.TEXTAFTER(CantoralDB[[#This Row],[index.html]],"&gt;"),"&gt;")&amp;"&gt;"</f>
        <v>&lt;a href="canciones/kairoi/me_hicieron_asi.html"&gt;</v>
      </c>
    </row>
    <row r="1166" spans="1:23" x14ac:dyDescent="0.3">
      <c r="A1166" s="1">
        <f>ROW(CantoralDB[[#This Row],[Título]])-1</f>
        <v>1165</v>
      </c>
      <c r="B1166" s="1" t="s">
        <v>1592</v>
      </c>
      <c r="C1166" s="1"/>
      <c r="J1166" s="1"/>
      <c r="M1166" s="15" t="s">
        <v>484</v>
      </c>
      <c r="N1166" s="15" t="s">
        <v>1484</v>
      </c>
      <c r="O1166" s="15">
        <v>11</v>
      </c>
      <c r="P1166" s="15" t="str" cm="1">
        <f t="array" ref="P1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66" s="15" t="str" cm="1">
        <f t="array" ref="Q1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canciones/kairoi/tu_y_yo_este_aquel.html</v>
      </c>
      <c r="S1166" s="1"/>
      <c r="T1166" s="1"/>
      <c r="U1166" s="1"/>
      <c r="V1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href="canciones/kairoi/tu_y_yo_este_aquel.html"&gt;Tú y yo, éste, aquél&lt;/a&gt;&lt;/li&gt;</v>
      </c>
      <c r="W1166" s="15" t="str">
        <f>_xlfn.TEXTBEFORE(_xlfn.TEXTAFTER(CantoralDB[[#This Row],[index.html]],"&gt;"),"&gt;")&amp;"&gt;"</f>
        <v>&lt;a href="canciones/kairoi/tu_y_yo_este_aquel.html"&gt;</v>
      </c>
    </row>
    <row r="1167" spans="1:23" x14ac:dyDescent="0.3">
      <c r="A1167" s="1">
        <f>ROW(CantoralDB[[#This Row],[Título]])-1</f>
        <v>1166</v>
      </c>
      <c r="B1167" s="1" t="s">
        <v>1603</v>
      </c>
      <c r="C1167" s="1"/>
      <c r="J1167" s="1"/>
      <c r="M1167" s="15" t="s">
        <v>484</v>
      </c>
      <c r="N1167" s="15" t="s">
        <v>1487</v>
      </c>
      <c r="O1167" s="15">
        <v>1</v>
      </c>
      <c r="P1167" s="15" t="str" cm="1">
        <f t="array" ref="P1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67" s="15" t="str" cm="1">
        <f t="array" ref="Q1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canciones/kairoi/gloria_hosana.html</v>
      </c>
      <c r="S1167" s="1"/>
      <c r="T1167" s="1"/>
      <c r="U1167" s="1"/>
      <c r="V1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href="canciones/kairoi/gloria_hosana.html"&gt;Gloria, hosana&lt;/a&gt;&lt;/li&gt;</v>
      </c>
      <c r="W1167" s="15" t="str">
        <f>_xlfn.TEXTBEFORE(_xlfn.TEXTAFTER(CantoralDB[[#This Row],[index.html]],"&gt;"),"&gt;")&amp;"&gt;"</f>
        <v>&lt;a href="canciones/kairoi/gloria_hosana.html"&gt;</v>
      </c>
    </row>
    <row r="1168" spans="1:23" x14ac:dyDescent="0.3">
      <c r="A1168" s="1">
        <f>ROW(CantoralDB[[#This Row],[Título]])-1</f>
        <v>1167</v>
      </c>
      <c r="B1168" s="1" t="s">
        <v>1557</v>
      </c>
      <c r="C1168" s="1"/>
      <c r="H1168" s="1" t="s">
        <v>1030</v>
      </c>
      <c r="J1168" s="1" t="s">
        <v>608</v>
      </c>
      <c r="M1168" s="15" t="s">
        <v>484</v>
      </c>
      <c r="N1168" s="15" t="s">
        <v>1487</v>
      </c>
      <c r="O1168" s="15">
        <v>2</v>
      </c>
      <c r="P1168" s="15" t="str" cm="1">
        <f t="array" ref="P1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68" s="15" t="str" cm="1">
        <f t="array" ref="Q1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canciones/kairoi/en_tu_cruz_sigues_hoy.html</v>
      </c>
      <c r="S1168" s="1"/>
      <c r="T1168" s="1"/>
      <c r="U1168" s="1"/>
      <c r="V1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href="canciones/kairoi/en_tu_cruz_sigues_hoy.html"&gt;En tu cruz sigues hoy&lt;/a&gt;&lt;/li&gt;</v>
      </c>
      <c r="W1168" s="15" t="str">
        <f>_xlfn.TEXTBEFORE(_xlfn.TEXTAFTER(CantoralDB[[#This Row],[index.html]],"&gt;"),"&gt;")&amp;"&gt;"</f>
        <v>&lt;a href="canciones/kairoi/en_tu_cruz_sigues_hoy.html"&gt;</v>
      </c>
    </row>
    <row r="1169" spans="1:23" x14ac:dyDescent="0.3">
      <c r="A1169" s="1">
        <f>ROW(CantoralDB[[#This Row],[Título]])-1</f>
        <v>1168</v>
      </c>
      <c r="B1169" s="1" t="s">
        <v>1558</v>
      </c>
      <c r="C1169" s="1"/>
      <c r="H1169" s="1" t="s">
        <v>1028</v>
      </c>
      <c r="J1169" s="1" t="s">
        <v>608</v>
      </c>
      <c r="M1169" s="15" t="s">
        <v>484</v>
      </c>
      <c r="N1169" s="15" t="s">
        <v>1487</v>
      </c>
      <c r="O1169" s="15">
        <v>3</v>
      </c>
      <c r="P1169" s="15" t="str" cm="1">
        <f t="array" ref="P1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69" s="15" t="str" cm="1">
        <f t="array" ref="Q1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canciones/kairoi/en_la_cruz_nos_das_la_vida.html</v>
      </c>
      <c r="S1169" s="1"/>
      <c r="T1169" s="1"/>
      <c r="U1169" s="1"/>
      <c r="V1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href="canciones/kairoi/en_la_cruz_nos_das_la_vida.html"&gt;En la cruz nos das la vida&lt;/a&gt;&lt;/li&gt;</v>
      </c>
      <c r="W1169" s="15" t="str">
        <f>_xlfn.TEXTBEFORE(_xlfn.TEXTAFTER(CantoralDB[[#This Row],[index.html]],"&gt;"),"&gt;")&amp;"&gt;"</f>
        <v>&lt;a href="canciones/kairoi/en_la_cruz_nos_das_la_vida.html"&gt;</v>
      </c>
    </row>
    <row r="1170" spans="1:23" x14ac:dyDescent="0.3">
      <c r="A1170" s="1">
        <f>ROW(CantoralDB[[#This Row],[Título]])-1</f>
        <v>1169</v>
      </c>
      <c r="B1170" s="1" t="s">
        <v>1559</v>
      </c>
      <c r="C1170" s="1"/>
      <c r="H1170" s="1" t="s">
        <v>1027</v>
      </c>
      <c r="J1170" s="1" t="s">
        <v>608</v>
      </c>
      <c r="M1170" s="15" t="s">
        <v>484</v>
      </c>
      <c r="N1170" s="15" t="s">
        <v>1487</v>
      </c>
      <c r="O1170" s="15">
        <v>4</v>
      </c>
      <c r="P1170" s="15" t="str" cm="1">
        <f t="array" ref="P1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70" s="15" t="str" cm="1">
        <f t="array" ref="Q1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canciones/kairoi/siento_tu_llamada.html</v>
      </c>
      <c r="S1170" s="1"/>
      <c r="T1170" s="1"/>
      <c r="U1170" s="1"/>
      <c r="V1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href="canciones/kairoi/siento_tu_llamada.html"&gt;Siento tu llamada&lt;/a&gt;&lt;/li&gt;</v>
      </c>
      <c r="W1170" s="15" t="str">
        <f>_xlfn.TEXTBEFORE(_xlfn.TEXTAFTER(CantoralDB[[#This Row],[index.html]],"&gt;"),"&gt;")&amp;"&gt;"</f>
        <v>&lt;a href="canciones/kairoi/siento_tu_llamada.html"&gt;</v>
      </c>
    </row>
    <row r="1171" spans="1:23" x14ac:dyDescent="0.3">
      <c r="A1171" s="1">
        <f>ROW(CantoralDB[[#This Row],[Título]])-1</f>
        <v>1170</v>
      </c>
      <c r="B1171" s="1" t="s">
        <v>1560</v>
      </c>
      <c r="C1171" s="1"/>
      <c r="H1171" s="1" t="s">
        <v>531</v>
      </c>
      <c r="J1171" s="1" t="s">
        <v>608</v>
      </c>
      <c r="M1171" s="15" t="s">
        <v>484</v>
      </c>
      <c r="N1171" s="15" t="s">
        <v>1487</v>
      </c>
      <c r="O1171" s="15">
        <v>5</v>
      </c>
      <c r="P1171" s="15" t="str" cm="1">
        <f t="array" ref="P1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71" s="15" t="str" cm="1">
        <f t="array" ref="Q1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canciones/kairoi/el_señor_es_la_esperanza.html</v>
      </c>
      <c r="S1171" s="1"/>
      <c r="T1171" s="1"/>
      <c r="U1171" s="1"/>
      <c r="V1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href="canciones/kairoi/el_señor_es_la_esperanza.html"&gt;El Señor es la esperanza&lt;/a&gt;&lt;/li&gt;</v>
      </c>
      <c r="W1171" s="15" t="str">
        <f>_xlfn.TEXTBEFORE(_xlfn.TEXTAFTER(CantoralDB[[#This Row],[index.html]],"&gt;"),"&gt;")&amp;"&gt;"</f>
        <v>&lt;a href="canciones/kairoi/el_señor_es_la_esperanza.html"&gt;</v>
      </c>
    </row>
    <row r="1172" spans="1:23" x14ac:dyDescent="0.3">
      <c r="A1172" s="1">
        <f>ROW(CantoralDB[[#This Row],[Título]])-1</f>
        <v>1171</v>
      </c>
      <c r="B1172" s="1" t="s">
        <v>1561</v>
      </c>
      <c r="C1172" s="1"/>
      <c r="H1172" s="1" t="s">
        <v>531</v>
      </c>
      <c r="J1172" s="1" t="s">
        <v>608</v>
      </c>
      <c r="M1172" s="15" t="s">
        <v>484</v>
      </c>
      <c r="N1172" s="15" t="s">
        <v>1487</v>
      </c>
      <c r="O1172" s="15">
        <v>6</v>
      </c>
      <c r="P1172" s="15" t="str" cm="1">
        <f t="array" ref="P1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72" s="15" t="str" cm="1">
        <f t="array" ref="Q1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canciones/kairoi/el_señor_esta_aqui.html</v>
      </c>
      <c r="S1172" s="1"/>
      <c r="T1172" s="1"/>
      <c r="U1172" s="1"/>
      <c r="V1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href="canciones/kairoi/el_señor_esta_aqui.html"&gt;El Señor está aquí&lt;/a&gt;&lt;/li&gt;</v>
      </c>
      <c r="W1172" s="15" t="str">
        <f>_xlfn.TEXTBEFORE(_xlfn.TEXTAFTER(CantoralDB[[#This Row],[index.html]],"&gt;"),"&gt;")&amp;"&gt;"</f>
        <v>&lt;a href="canciones/kairoi/el_señor_esta_aqui.html"&gt;</v>
      </c>
    </row>
    <row r="1173" spans="1:23" x14ac:dyDescent="0.3">
      <c r="A1173" s="1">
        <f>ROW(CantoralDB[[#This Row],[Título]])-1</f>
        <v>1172</v>
      </c>
      <c r="B1173" s="1" t="s">
        <v>1562</v>
      </c>
      <c r="C1173" s="1"/>
      <c r="H1173" s="1" t="s">
        <v>1028</v>
      </c>
      <c r="J1173" s="1" t="s">
        <v>608</v>
      </c>
      <c r="M1173" s="15" t="s">
        <v>484</v>
      </c>
      <c r="N1173" s="15" t="s">
        <v>1487</v>
      </c>
      <c r="O1173" s="15">
        <v>7</v>
      </c>
      <c r="P1173" s="15" t="str" cm="1">
        <f t="array" ref="P1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73" s="15" t="str" cm="1">
        <f t="array" ref="Q1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canciones/kairoi/caminad.html</v>
      </c>
      <c r="S1173" s="1"/>
      <c r="T1173" s="1"/>
      <c r="U1173" s="1"/>
      <c r="V1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href="canciones/kairoi/caminad.html"&gt;Caminad&lt;/a&gt;&lt;/li&gt;</v>
      </c>
      <c r="W1173" s="15" t="str">
        <f>_xlfn.TEXTBEFORE(_xlfn.TEXTAFTER(CantoralDB[[#This Row],[index.html]],"&gt;"),"&gt;")&amp;"&gt;"</f>
        <v>&lt;a href="canciones/kairoi/caminad.html"&gt;</v>
      </c>
    </row>
    <row r="1174" spans="1:23" x14ac:dyDescent="0.3">
      <c r="A1174" s="1">
        <f>ROW(CantoralDB[[#This Row],[Título]])-1</f>
        <v>1173</v>
      </c>
      <c r="B1174" s="1" t="s">
        <v>1563</v>
      </c>
      <c r="C1174" s="1"/>
      <c r="H1174" s="1" t="s">
        <v>1028</v>
      </c>
      <c r="J1174" s="1" t="s">
        <v>608</v>
      </c>
      <c r="M1174" s="15" t="s">
        <v>484</v>
      </c>
      <c r="N1174" s="15" t="s">
        <v>1487</v>
      </c>
      <c r="O1174" s="15">
        <v>8</v>
      </c>
      <c r="P1174" s="15" t="str" cm="1">
        <f t="array" ref="P1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74" s="15" t="str" cm="1">
        <f t="array" ref="Q1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canciones/kairoi/acogeme_dios.html</v>
      </c>
      <c r="S1174" s="1"/>
      <c r="T1174" s="1"/>
      <c r="U1174" s="1"/>
      <c r="V1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href="canciones/kairoi/acogeme_dios.html"&gt;Acógeme, Dios&lt;/a&gt;&lt;/li&gt;</v>
      </c>
      <c r="W1174" s="15" t="str">
        <f>_xlfn.TEXTBEFORE(_xlfn.TEXTAFTER(CantoralDB[[#This Row],[index.html]],"&gt;"),"&gt;")&amp;"&gt;"</f>
        <v>&lt;a href="canciones/kairoi/acogeme_dios.html"&gt;</v>
      </c>
    </row>
    <row r="1175" spans="1:23" x14ac:dyDescent="0.3">
      <c r="A1175" s="1">
        <f>ROW(CantoralDB[[#This Row],[Título]])-1</f>
        <v>1174</v>
      </c>
      <c r="B1175" s="1" t="s">
        <v>1564</v>
      </c>
      <c r="C1175" s="1"/>
      <c r="H1175" s="1" t="s">
        <v>1030</v>
      </c>
      <c r="J1175" s="1" t="s">
        <v>608</v>
      </c>
      <c r="M1175" s="15" t="s">
        <v>484</v>
      </c>
      <c r="N1175" s="15" t="s">
        <v>1487</v>
      </c>
      <c r="O1175" s="15">
        <v>9</v>
      </c>
      <c r="P1175" s="15" t="str" cm="1">
        <f t="array" ref="P1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75" s="15" t="str" cm="1">
        <f t="array" ref="Q1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canciones/kairoi/maria_madre_del_dolor.html</v>
      </c>
      <c r="S1175" s="1"/>
      <c r="T1175" s="1"/>
      <c r="U1175" s="1"/>
      <c r="V1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href="canciones/kairoi/maria_madre_del_dolor.html"&gt;María, madre del dolor&lt;/a&gt;&lt;/li&gt;</v>
      </c>
      <c r="W1175" s="15" t="str">
        <f>_xlfn.TEXTBEFORE(_xlfn.TEXTAFTER(CantoralDB[[#This Row],[index.html]],"&gt;"),"&gt;")&amp;"&gt;"</f>
        <v>&lt;a href="canciones/kairoi/maria_madre_del_dolor.html"&gt;</v>
      </c>
    </row>
    <row r="1176" spans="1:23" x14ac:dyDescent="0.3">
      <c r="A1176" s="1">
        <f>ROW(CantoralDB[[#This Row],[Título]])-1</f>
        <v>1175</v>
      </c>
      <c r="B1176" s="1" t="s">
        <v>223</v>
      </c>
      <c r="C1176" s="1" t="s">
        <v>191</v>
      </c>
      <c r="D1176" s="1" t="s">
        <v>735</v>
      </c>
      <c r="G1176" s="1" t="s">
        <v>216</v>
      </c>
      <c r="H1176" s="1" t="s">
        <v>531</v>
      </c>
      <c r="J1176" s="1" t="s">
        <v>608</v>
      </c>
      <c r="M1176" s="15" t="s">
        <v>484</v>
      </c>
      <c r="N1176" s="15" t="s">
        <v>1487</v>
      </c>
      <c r="O1176" s="15">
        <v>10</v>
      </c>
      <c r="P1176" s="15" t="str" cm="1">
        <f t="array" ref="P1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76" s="15" t="str" cm="1">
        <f t="array" ref="Q1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canciones/kairoi/el_señor_nos_ha_reunido.html</v>
      </c>
      <c r="S1176" s="1"/>
      <c r="T1176" s="1"/>
      <c r="U1176" s="1"/>
      <c r="V1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data-nnew="A15"&gt;&lt;a href="canciones/kairoi/el_señor_nos_ha_reunido.html"&gt;El Señor nos ha reunido&lt;/a&gt;&lt;/li&gt;</v>
      </c>
      <c r="W1176" s="15" t="str">
        <f>_xlfn.TEXTBEFORE(_xlfn.TEXTAFTER(CantoralDB[[#This Row],[index.html]],"&gt;"),"&gt;")&amp;"&gt;"</f>
        <v>&lt;a href="canciones/kairoi/el_señor_nos_ha_reunido.html"&gt;</v>
      </c>
    </row>
    <row r="1177" spans="1:23" x14ac:dyDescent="0.3">
      <c r="A1177" s="1">
        <f>ROW(CantoralDB[[#This Row],[Título]])-1</f>
        <v>1176</v>
      </c>
      <c r="B1177" s="1" t="s">
        <v>1565</v>
      </c>
      <c r="C1177" s="1"/>
      <c r="H1177" s="1" t="s">
        <v>531</v>
      </c>
      <c r="J1177" s="1" t="s">
        <v>608</v>
      </c>
      <c r="M1177" s="15" t="s">
        <v>484</v>
      </c>
      <c r="N1177" s="15" t="s">
        <v>1487</v>
      </c>
      <c r="O1177" s="15">
        <v>11</v>
      </c>
      <c r="P1177" s="15" t="str" cm="1">
        <f t="array" ref="P1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77" s="15" t="str" cm="1">
        <f t="array" ref="Q1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canciones/kairoi/llama_de_vida.html</v>
      </c>
      <c r="S1177" s="1"/>
      <c r="T1177" s="1"/>
      <c r="U1177" s="1"/>
      <c r="V1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href="canciones/kairoi/llama_de_vida.html"&gt;Llama de vida&lt;/a&gt;&lt;/li&gt;</v>
      </c>
      <c r="W1177" s="15" t="str">
        <f>_xlfn.TEXTBEFORE(_xlfn.TEXTAFTER(CantoralDB[[#This Row],[index.html]],"&gt;"),"&gt;")&amp;"&gt;"</f>
        <v>&lt;a href="canciones/kairoi/llama_de_vida.html"&gt;</v>
      </c>
    </row>
    <row r="1178" spans="1:23" x14ac:dyDescent="0.3">
      <c r="A1178" s="1">
        <f>ROW(CantoralDB[[#This Row],[Título]])-1</f>
        <v>1177</v>
      </c>
      <c r="B1178" s="1" t="s">
        <v>1566</v>
      </c>
      <c r="C1178" s="1"/>
      <c r="H1178" s="1" t="s">
        <v>531</v>
      </c>
      <c r="J1178" s="1" t="s">
        <v>608</v>
      </c>
      <c r="M1178" s="15" t="s">
        <v>484</v>
      </c>
      <c r="N1178" s="15" t="s">
        <v>1487</v>
      </c>
      <c r="O1178" s="15">
        <v>12</v>
      </c>
      <c r="P1178" s="15" t="str" cm="1">
        <f t="array" ref="P1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78" s="15" t="str" cm="1">
        <f t="array" ref="Q1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canciones/kairoi/venga_tu_reino.html</v>
      </c>
      <c r="S1178" s="1"/>
      <c r="T1178" s="1"/>
      <c r="U1178" s="1"/>
      <c r="V1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href="canciones/kairoi/venga_tu_reino.html"&gt;Venga tu reino&lt;/a&gt;&lt;/li&gt;</v>
      </c>
      <c r="W1178" s="15" t="str">
        <f>_xlfn.TEXTBEFORE(_xlfn.TEXTAFTER(CantoralDB[[#This Row],[index.html]],"&gt;"),"&gt;")&amp;"&gt;"</f>
        <v>&lt;a href="canciones/kairoi/venga_tu_reino.html"&gt;</v>
      </c>
    </row>
    <row r="1179" spans="1:23" x14ac:dyDescent="0.3">
      <c r="A1179" s="1">
        <f>ROW(CantoralDB[[#This Row],[Título]])-1</f>
        <v>1178</v>
      </c>
      <c r="B1179" s="1" t="s">
        <v>1914</v>
      </c>
      <c r="C1179" s="1" t="s">
        <v>211</v>
      </c>
      <c r="D1179" s="1" t="s">
        <v>1456</v>
      </c>
      <c r="G1179" s="1" t="s">
        <v>209</v>
      </c>
      <c r="H1179" s="1" t="s">
        <v>473</v>
      </c>
      <c r="I1179" s="1" t="s">
        <v>2959</v>
      </c>
      <c r="J1179" s="1" t="s">
        <v>608</v>
      </c>
      <c r="M1179" s="15" t="s">
        <v>484</v>
      </c>
      <c r="N1179" s="15" t="s">
        <v>1487</v>
      </c>
      <c r="O1179" s="15">
        <v>13</v>
      </c>
      <c r="P1179" s="15" t="str" cm="1">
        <f t="array" ref="P1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79" s="15" t="str" cm="1">
        <f t="array" ref="Q1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canciones/kairoi/pregon_pascual_(gloria).html</v>
      </c>
      <c r="S1179" s="1"/>
      <c r="T1179" s="1"/>
      <c r="U1179" s="1"/>
      <c r="V1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data-momento="Especiales" data-nnew="P04"&gt;&lt;a href="canciones/kairoi/pregon_pascual_(gloria).html"&gt;Pregón Pascual (Gloria)&lt;/a&gt;&lt;/li&gt;</v>
      </c>
      <c r="W1179" s="15" t="str">
        <f>_xlfn.TEXTBEFORE(_xlfn.TEXTAFTER(CantoralDB[[#This Row],[index.html]],"&gt;"),"&gt;")&amp;"&gt;"</f>
        <v>&lt;a href="canciones/kairoi/pregon_pascual_(gloria).html"&gt;</v>
      </c>
    </row>
    <row r="1180" spans="1:23" x14ac:dyDescent="0.3">
      <c r="A1180" s="1">
        <f>ROW(CantoralDB[[#This Row],[Título]])-1</f>
        <v>1179</v>
      </c>
      <c r="B1180" s="1" t="s">
        <v>559</v>
      </c>
      <c r="C1180" s="1" t="s">
        <v>191</v>
      </c>
      <c r="D1180" s="1" t="s">
        <v>744</v>
      </c>
      <c r="G1180" s="1" t="s">
        <v>553</v>
      </c>
      <c r="H1180" s="1" t="s">
        <v>1027</v>
      </c>
      <c r="J1180" s="1" t="s">
        <v>608</v>
      </c>
      <c r="M1180" s="15" t="s">
        <v>484</v>
      </c>
      <c r="N1180" s="15" t="s">
        <v>1487</v>
      </c>
      <c r="O1180" s="15">
        <v>14</v>
      </c>
      <c r="P1180" s="15" t="str" cm="1">
        <f t="array" ref="P1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80" s="15" t="str" cm="1">
        <f t="array" ref="Q1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canciones/kairoi/mirad_jesus_resucita_hoy.html</v>
      </c>
      <c r="S1180" s="1"/>
      <c r="T1180" s="1"/>
      <c r="U1180" s="1"/>
      <c r="V1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data-momento="Entrada" data-nnew="A24"&gt;&lt;a href="canciones/kairoi/mirad_jesus_resucita_hoy.html"&gt;Mirad, Jesús resucita hoy&lt;/a&gt;&lt;/li&gt;</v>
      </c>
      <c r="W1180" s="15" t="str">
        <f>_xlfn.TEXTBEFORE(_xlfn.TEXTAFTER(CantoralDB[[#This Row],[index.html]],"&gt;"),"&gt;")&amp;"&gt;"</f>
        <v>&lt;a href="canciones/kairoi/mirad_jesus_resucita_hoy.html"&gt;</v>
      </c>
    </row>
    <row r="1181" spans="1:23" x14ac:dyDescent="0.3">
      <c r="A1181" s="1">
        <f>ROW(CantoralDB[[#This Row],[Título]])-1</f>
        <v>1180</v>
      </c>
      <c r="B1181" s="1" t="s">
        <v>1567</v>
      </c>
      <c r="C1181" s="1"/>
      <c r="H1181" s="1" t="s">
        <v>473</v>
      </c>
      <c r="J1181" s="1" t="s">
        <v>608</v>
      </c>
      <c r="M1181" s="15" t="s">
        <v>484</v>
      </c>
      <c r="N1181" s="15" t="s">
        <v>1487</v>
      </c>
      <c r="O1181" s="15">
        <v>15</v>
      </c>
      <c r="P1181" s="15" t="str" cm="1">
        <f t="array" ref="P1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81" s="15" t="str" cm="1">
        <f t="array" ref="Q1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canciones/kairoi/somos_testigos.html</v>
      </c>
      <c r="S1181" s="1"/>
      <c r="T1181" s="1"/>
      <c r="U1181" s="1"/>
      <c r="V1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href="canciones/kairoi/somos_testigos.html"&gt;Somos testigos&lt;/a&gt;&lt;/li&gt;</v>
      </c>
      <c r="W1181" s="15" t="str">
        <f>_xlfn.TEXTBEFORE(_xlfn.TEXTAFTER(CantoralDB[[#This Row],[index.html]],"&gt;"),"&gt;")&amp;"&gt;"</f>
        <v>&lt;a href="canciones/kairoi/somos_testigos.html"&gt;</v>
      </c>
    </row>
    <row r="1182" spans="1:23" x14ac:dyDescent="0.3">
      <c r="A1182" s="1">
        <f>ROW(CantoralDB[[#This Row],[Título]])-1</f>
        <v>1181</v>
      </c>
      <c r="B1182" s="1" t="s">
        <v>1568</v>
      </c>
      <c r="C1182" s="1"/>
      <c r="H1182" s="1" t="s">
        <v>1027</v>
      </c>
      <c r="J1182" s="1" t="s">
        <v>608</v>
      </c>
      <c r="M1182" s="15" t="s">
        <v>484</v>
      </c>
      <c r="N1182" s="15" t="s">
        <v>1487</v>
      </c>
      <c r="O1182" s="15">
        <v>16</v>
      </c>
      <c r="P1182" s="15" t="str" cm="1">
        <f t="array" ref="P1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82" s="15" t="str" cm="1">
        <f t="array" ref="Q1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canciones/kairoi/tu_camino_y_tu_verdad.html</v>
      </c>
      <c r="S1182" s="1"/>
      <c r="T1182" s="1"/>
      <c r="U1182" s="1"/>
      <c r="V1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href="canciones/kairoi/tu_camino_y_tu_verdad.html"&gt;Tu camino y tu verdad&lt;/a&gt;&lt;/li&gt;</v>
      </c>
      <c r="W1182" s="15" t="str">
        <f>_xlfn.TEXTBEFORE(_xlfn.TEXTAFTER(CantoralDB[[#This Row],[index.html]],"&gt;"),"&gt;")&amp;"&gt;"</f>
        <v>&lt;a href="canciones/kairoi/tu_camino_y_tu_verdad.html"&gt;</v>
      </c>
    </row>
    <row r="1183" spans="1:23" x14ac:dyDescent="0.3">
      <c r="A1183" s="1">
        <f>ROW(CantoralDB[[#This Row],[Título]])-1</f>
        <v>1182</v>
      </c>
      <c r="B1183" s="1" t="s">
        <v>1680</v>
      </c>
      <c r="C1183" s="1"/>
      <c r="H1183" s="1" t="s">
        <v>1027</v>
      </c>
      <c r="J1183" s="1" t="s">
        <v>608</v>
      </c>
      <c r="M1183" s="15" t="s">
        <v>484</v>
      </c>
      <c r="N1183" s="15" t="s">
        <v>1498</v>
      </c>
      <c r="O1183" s="15">
        <v>1</v>
      </c>
      <c r="P1183" s="15" t="str" cm="1">
        <f t="array" ref="P1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83" s="15" t="str" cm="1">
        <f t="array" ref="Q1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canciones/kairoi/seguir_amando.html</v>
      </c>
      <c r="S1183" s="1"/>
      <c r="T1183" s="1"/>
      <c r="U1183" s="1"/>
      <c r="V1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href="canciones/kairoi/seguir_amando.html"&gt;Seguir amando&lt;/a&gt;&lt;/li&gt;</v>
      </c>
      <c r="W1183" s="15" t="str">
        <f>_xlfn.TEXTBEFORE(_xlfn.TEXTAFTER(CantoralDB[[#This Row],[index.html]],"&gt;"),"&gt;")&amp;"&gt;"</f>
        <v>&lt;a href="canciones/kairoi/seguir_amando.html"&gt;</v>
      </c>
    </row>
    <row r="1184" spans="1:23" x14ac:dyDescent="0.3">
      <c r="A1184" s="1">
        <f>ROW(CantoralDB[[#This Row],[Título]])-1</f>
        <v>1183</v>
      </c>
      <c r="B1184" s="1" t="s">
        <v>1498</v>
      </c>
      <c r="C1184" s="1"/>
      <c r="H1184" s="1" t="s">
        <v>473</v>
      </c>
      <c r="J1184" s="1" t="s">
        <v>608</v>
      </c>
      <c r="M1184" s="15" t="s">
        <v>484</v>
      </c>
      <c r="N1184" s="15" t="s">
        <v>1498</v>
      </c>
      <c r="O1184" s="15">
        <v>2</v>
      </c>
      <c r="P1184" s="15" t="str" cm="1">
        <f t="array" ref="P1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84" s="15" t="str" cm="1">
        <f t="array" ref="Q1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canciones/kairoi/y_se_vive_la_vida.html</v>
      </c>
      <c r="S1184" s="1"/>
      <c r="T1184" s="1"/>
      <c r="U1184" s="1"/>
      <c r="V1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href="canciones/kairoi/y_se_vive_la_vida.html"&gt;Y se vive la vida&lt;/a&gt;&lt;/li&gt;</v>
      </c>
      <c r="W1184" s="15" t="str">
        <f>_xlfn.TEXTBEFORE(_xlfn.TEXTAFTER(CantoralDB[[#This Row],[index.html]],"&gt;"),"&gt;")&amp;"&gt;"</f>
        <v>&lt;a href="canciones/kairoi/y_se_vive_la_vida.html"&gt;</v>
      </c>
    </row>
    <row r="1185" spans="1:23" x14ac:dyDescent="0.3">
      <c r="A1185" s="1">
        <f>ROW(CantoralDB[[#This Row],[Título]])-1</f>
        <v>1184</v>
      </c>
      <c r="B1185" s="1" t="s">
        <v>1681</v>
      </c>
      <c r="C1185" s="1"/>
      <c r="H1185" s="1" t="s">
        <v>1027</v>
      </c>
      <c r="J1185" s="1" t="s">
        <v>608</v>
      </c>
      <c r="M1185" s="15" t="s">
        <v>484</v>
      </c>
      <c r="N1185" s="15" t="s">
        <v>1498</v>
      </c>
      <c r="O1185" s="15">
        <v>3</v>
      </c>
      <c r="P1185" s="15" t="str" cm="1">
        <f t="array" ref="P1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85" s="15" t="str" cm="1">
        <f t="array" ref="Q1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canciones/kairoi/jesus_cambianos.html</v>
      </c>
      <c r="S1185" s="1"/>
      <c r="T1185" s="1"/>
      <c r="U1185" s="1"/>
      <c r="V1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href="canciones/kairoi/jesus_cambianos.html"&gt;Jesús, cámbianos&lt;/a&gt;&lt;/li&gt;</v>
      </c>
      <c r="W1185" s="15" t="str">
        <f>_xlfn.TEXTBEFORE(_xlfn.TEXTAFTER(CantoralDB[[#This Row],[index.html]],"&gt;"),"&gt;")&amp;"&gt;"</f>
        <v>&lt;a href="canciones/kairoi/jesus_cambianos.html"&gt;</v>
      </c>
    </row>
    <row r="1186" spans="1:23" x14ac:dyDescent="0.3">
      <c r="A1186" s="1">
        <f>ROW(CantoralDB[[#This Row],[Título]])-1</f>
        <v>1185</v>
      </c>
      <c r="B1186" s="1" t="s">
        <v>1682</v>
      </c>
      <c r="C1186" s="1"/>
      <c r="H1186" s="1" t="s">
        <v>531</v>
      </c>
      <c r="J1186" s="1" t="s">
        <v>608</v>
      </c>
      <c r="M1186" s="15" t="s">
        <v>484</v>
      </c>
      <c r="N1186" s="15" t="s">
        <v>1498</v>
      </c>
      <c r="O1186" s="15">
        <v>4</v>
      </c>
      <c r="P1186" s="15" t="str" cm="1">
        <f t="array" ref="P1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86" s="15" t="str" cm="1">
        <f t="array" ref="Q1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canciones/kairoi/como_maria.html</v>
      </c>
      <c r="S1186" s="1"/>
      <c r="T1186" s="1"/>
      <c r="U1186" s="1"/>
      <c r="V1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href="canciones/kairoi/como_maria.html"&gt;Como María&lt;/a&gt;&lt;/li&gt;</v>
      </c>
      <c r="W1186" s="15" t="str">
        <f>_xlfn.TEXTBEFORE(_xlfn.TEXTAFTER(CantoralDB[[#This Row],[index.html]],"&gt;"),"&gt;")&amp;"&gt;"</f>
        <v>&lt;a href="canciones/kairoi/como_maria.html"&gt;</v>
      </c>
    </row>
    <row r="1187" spans="1:23" x14ac:dyDescent="0.3">
      <c r="A1187" s="1">
        <f>ROW(CantoralDB[[#This Row],[Título]])-1</f>
        <v>1186</v>
      </c>
      <c r="B1187" s="1" t="s">
        <v>1683</v>
      </c>
      <c r="C1187" s="1"/>
      <c r="H1187" s="1" t="s">
        <v>1028</v>
      </c>
      <c r="J1187" s="1" t="s">
        <v>608</v>
      </c>
      <c r="M1187" s="15" t="s">
        <v>484</v>
      </c>
      <c r="N1187" s="15" t="s">
        <v>1498</v>
      </c>
      <c r="O1187" s="15">
        <v>5</v>
      </c>
      <c r="P1187" s="15" t="str" cm="1">
        <f t="array" ref="P1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87" s="15" t="str" cm="1">
        <f t="array" ref="Q1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canciones/kairoi/nos_marca_el_caminar.html</v>
      </c>
      <c r="S1187" s="1"/>
      <c r="T1187" s="1"/>
      <c r="U1187" s="1"/>
      <c r="V1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href="canciones/kairoi/nos_marca_el_caminar.html"&gt;Nos marca el caminar&lt;/a&gt;&lt;/li&gt;</v>
      </c>
      <c r="W1187" s="15" t="str">
        <f>_xlfn.TEXTBEFORE(_xlfn.TEXTAFTER(CantoralDB[[#This Row],[index.html]],"&gt;"),"&gt;")&amp;"&gt;"</f>
        <v>&lt;a href="canciones/kairoi/nos_marca_el_caminar.html"&gt;</v>
      </c>
    </row>
    <row r="1188" spans="1:23" x14ac:dyDescent="0.3">
      <c r="A1188" s="1">
        <f>ROW(CantoralDB[[#This Row],[Título]])-1</f>
        <v>1187</v>
      </c>
      <c r="B1188" s="1" t="s">
        <v>1684</v>
      </c>
      <c r="C1188" s="1"/>
      <c r="J1188" s="1"/>
      <c r="M1188" s="15" t="s">
        <v>484</v>
      </c>
      <c r="N1188" s="15" t="s">
        <v>1498</v>
      </c>
      <c r="O1188" s="15">
        <v>6</v>
      </c>
      <c r="P1188" s="15" t="str" cm="1">
        <f t="array" ref="P1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88" s="15" t="str" cm="1">
        <f t="array" ref="Q1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canciones/kairoi/alfonsa_hermana_y_amiga.html</v>
      </c>
      <c r="S1188" s="1"/>
      <c r="T1188" s="1"/>
      <c r="U1188" s="1"/>
      <c r="V1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href="canciones/kairoi/alfonsa_hermana_y_amiga.html"&gt;Alfonsa, hermana y amiga&lt;/a&gt;&lt;/li&gt;</v>
      </c>
      <c r="W1188" s="15" t="str">
        <f>_xlfn.TEXTBEFORE(_xlfn.TEXTAFTER(CantoralDB[[#This Row],[index.html]],"&gt;"),"&gt;")&amp;"&gt;"</f>
        <v>&lt;a href="canciones/kairoi/alfonsa_hermana_y_amiga.html"&gt;</v>
      </c>
    </row>
    <row r="1189" spans="1:23" x14ac:dyDescent="0.3">
      <c r="A1189" s="1">
        <f>ROW(CantoralDB[[#This Row],[Título]])-1</f>
        <v>1188</v>
      </c>
      <c r="B1189" s="1" t="s">
        <v>1685</v>
      </c>
      <c r="C1189" s="1"/>
      <c r="H1189" s="1" t="s">
        <v>1030</v>
      </c>
      <c r="J1189" s="1" t="s">
        <v>608</v>
      </c>
      <c r="M1189" s="15" t="s">
        <v>484</v>
      </c>
      <c r="N1189" s="15" t="s">
        <v>1498</v>
      </c>
      <c r="O1189" s="15">
        <v>7</v>
      </c>
      <c r="P1189" s="15" t="str" cm="1">
        <f t="array" ref="P1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89" s="15" t="str" cm="1">
        <f t="array" ref="Q1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canciones/kairoi/soy_mujer.html</v>
      </c>
      <c r="S1189" s="1"/>
      <c r="T1189" s="1"/>
      <c r="U1189" s="1"/>
      <c r="V1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href="canciones/kairoi/soy_mujer.html"&gt;Soy mujer&lt;/a&gt;&lt;/li&gt;</v>
      </c>
      <c r="W1189" s="15" t="str">
        <f>_xlfn.TEXTBEFORE(_xlfn.TEXTAFTER(CantoralDB[[#This Row],[index.html]],"&gt;"),"&gt;")&amp;"&gt;"</f>
        <v>&lt;a href="canciones/kairoi/soy_mujer.html"&gt;</v>
      </c>
    </row>
    <row r="1190" spans="1:23" x14ac:dyDescent="0.3">
      <c r="A1190" s="1">
        <f>ROW(CantoralDB[[#This Row],[Título]])-1</f>
        <v>1189</v>
      </c>
      <c r="B1190" s="1" t="s">
        <v>1686</v>
      </c>
      <c r="C1190" s="1"/>
      <c r="H1190" s="1" t="s">
        <v>531</v>
      </c>
      <c r="J1190" s="1" t="s">
        <v>608</v>
      </c>
      <c r="M1190" s="15" t="s">
        <v>484</v>
      </c>
      <c r="N1190" s="15" t="s">
        <v>1498</v>
      </c>
      <c r="O1190" s="15">
        <v>8</v>
      </c>
      <c r="P1190" s="15" t="str" cm="1">
        <f t="array" ref="P1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90" s="15" t="str" cm="1">
        <f t="array" ref="Q1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canciones/kairoi/en_ti_solo_descanso.html</v>
      </c>
      <c r="S1190" s="1"/>
      <c r="T1190" s="1"/>
      <c r="U1190" s="1"/>
      <c r="V1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href="canciones/kairoi/en_ti_solo_descanso.html"&gt;En ti solo descanso&lt;/a&gt;&lt;/li&gt;</v>
      </c>
      <c r="W1190" s="15" t="str">
        <f>_xlfn.TEXTBEFORE(_xlfn.TEXTAFTER(CantoralDB[[#This Row],[index.html]],"&gt;"),"&gt;")&amp;"&gt;"</f>
        <v>&lt;a href="canciones/kairoi/en_ti_solo_descanso.html"&gt;</v>
      </c>
    </row>
    <row r="1191" spans="1:23" x14ac:dyDescent="0.3">
      <c r="A1191" s="1">
        <f>ROW(CantoralDB[[#This Row],[Título]])-1</f>
        <v>1190</v>
      </c>
      <c r="B1191" s="1" t="s">
        <v>893</v>
      </c>
      <c r="C1191" s="1"/>
      <c r="H1191" s="1" t="s">
        <v>1030</v>
      </c>
      <c r="J1191" s="1" t="s">
        <v>608</v>
      </c>
      <c r="M1191" s="15" t="s">
        <v>484</v>
      </c>
      <c r="N1191" s="15" t="s">
        <v>1498</v>
      </c>
      <c r="O1191" s="15">
        <v>9</v>
      </c>
      <c r="P1191" s="15" t="str" cm="1">
        <f t="array" ref="P1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91" s="15" t="str" cm="1">
        <f t="array" ref="Q1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canciones/kairoi/dios_de_la_vida.html</v>
      </c>
      <c r="S1191" s="1"/>
      <c r="T1191" s="1"/>
      <c r="U1191" s="1"/>
      <c r="V1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href="canciones/kairoi/dios_de_la_vida.html"&gt;Dios de la vida&lt;/a&gt;&lt;/li&gt;</v>
      </c>
      <c r="W1191" s="15" t="str">
        <f>_xlfn.TEXTBEFORE(_xlfn.TEXTAFTER(CantoralDB[[#This Row],[index.html]],"&gt;"),"&gt;")&amp;"&gt;"</f>
        <v>&lt;a href="canciones/kairoi/dios_de_la_vida.html"&gt;</v>
      </c>
    </row>
    <row r="1192" spans="1:23" x14ac:dyDescent="0.3">
      <c r="A1192" s="1">
        <f>ROW(CantoralDB[[#This Row],[Título]])-1</f>
        <v>1191</v>
      </c>
      <c r="B1192" s="1" t="s">
        <v>1687</v>
      </c>
      <c r="C1192" s="1"/>
      <c r="H1192" s="1" t="s">
        <v>473</v>
      </c>
      <c r="J1192" s="1" t="s">
        <v>608</v>
      </c>
      <c r="M1192" s="15" t="s">
        <v>484</v>
      </c>
      <c r="N1192" s="15" t="s">
        <v>1498</v>
      </c>
      <c r="O1192" s="15">
        <v>10</v>
      </c>
      <c r="P1192" s="15" t="str" cm="1">
        <f t="array" ref="P1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92" s="15" t="str" cm="1">
        <f t="array" ref="Q1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canciones/kairoi/sueña.html</v>
      </c>
      <c r="S1192" s="1"/>
      <c r="T1192" s="1"/>
      <c r="U1192" s="1"/>
      <c r="V1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href="canciones/kairoi/sueña.html"&gt;Sueña&lt;/a&gt;&lt;/li&gt;</v>
      </c>
      <c r="W1192" s="15" t="str">
        <f>_xlfn.TEXTBEFORE(_xlfn.TEXTAFTER(CantoralDB[[#This Row],[index.html]],"&gt;"),"&gt;")&amp;"&gt;"</f>
        <v>&lt;a href="canciones/kairoi/sueña.html"&gt;</v>
      </c>
    </row>
    <row r="1193" spans="1:23" x14ac:dyDescent="0.3">
      <c r="A1193" s="1">
        <f>ROW(CantoralDB[[#This Row],[Título]])-1</f>
        <v>1192</v>
      </c>
      <c r="B1193" s="1" t="s">
        <v>109</v>
      </c>
      <c r="C1193" s="1" t="s">
        <v>198</v>
      </c>
      <c r="D1193" s="1" t="s">
        <v>1451</v>
      </c>
      <c r="E1193" s="1">
        <v>201</v>
      </c>
      <c r="G1193" s="1" t="s">
        <v>209</v>
      </c>
      <c r="H1193" s="1" t="s">
        <v>531</v>
      </c>
      <c r="I1193" s="1" t="s">
        <v>2962</v>
      </c>
      <c r="J1193" s="1" t="s">
        <v>608</v>
      </c>
      <c r="M1193" s="15" t="s">
        <v>484</v>
      </c>
      <c r="N1193" s="15" t="s">
        <v>1486</v>
      </c>
      <c r="O1193" s="15">
        <v>1</v>
      </c>
      <c r="P1193" s="15" t="str" cm="1">
        <f t="array" ref="P1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93" s="15" t="str" cm="1">
        <f t="array" ref="Q1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canciones/kairoi/paz_en_la_tierra.html</v>
      </c>
      <c r="S1193" s="1"/>
      <c r="T1193" s="1"/>
      <c r="U1193" s="1"/>
      <c r="V1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data-momento="Paz" data-nnew="I06" data-nold="201"&gt;&lt;a href="canciones/kairoi/paz_en_la_tierra.html"&gt;Paz en la tierra&lt;/a&gt;&lt;/li&gt;</v>
      </c>
      <c r="W1193" s="15" t="str">
        <f>_xlfn.TEXTBEFORE(_xlfn.TEXTAFTER(CantoralDB[[#This Row],[index.html]],"&gt;"),"&gt;")&amp;"&gt;"</f>
        <v>&lt;a href="canciones/kairoi/paz_en_la_tierra.html"&gt;</v>
      </c>
    </row>
    <row r="1194" spans="1:23" x14ac:dyDescent="0.3">
      <c r="A1194" s="1">
        <f>ROW(CantoralDB[[#This Row],[Título]])-1</f>
        <v>1193</v>
      </c>
      <c r="B1194" s="1" t="s">
        <v>1551</v>
      </c>
      <c r="C1194" s="1"/>
      <c r="H1194" s="1" t="s">
        <v>531</v>
      </c>
      <c r="J1194" s="1" t="s">
        <v>608</v>
      </c>
      <c r="M1194" s="15" t="s">
        <v>484</v>
      </c>
      <c r="N1194" s="15" t="s">
        <v>1486</v>
      </c>
      <c r="O1194" s="15">
        <v>2</v>
      </c>
      <c r="P1194" s="15" t="str" cm="1">
        <f t="array" ref="P1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94" s="15" t="str" cm="1">
        <f t="array" ref="Q1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canciones/kairoi/me_estas_llamando.html</v>
      </c>
      <c r="S1194" s="1"/>
      <c r="T1194" s="1"/>
      <c r="U1194" s="1"/>
      <c r="V1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href="canciones/kairoi/me_estas_llamando.html"&gt;Me estás llamando&lt;/a&gt;&lt;/li&gt;</v>
      </c>
      <c r="W1194" s="15" t="str">
        <f>_xlfn.TEXTBEFORE(_xlfn.TEXTAFTER(CantoralDB[[#This Row],[index.html]],"&gt;"),"&gt;")&amp;"&gt;"</f>
        <v>&lt;a href="canciones/kairoi/me_estas_llamando.html"&gt;</v>
      </c>
    </row>
    <row r="1195" spans="1:23" x14ac:dyDescent="0.3">
      <c r="A1195" s="1">
        <f>ROW(CantoralDB[[#This Row],[Título]])-1</f>
        <v>1194</v>
      </c>
      <c r="B1195" s="1" t="s">
        <v>504</v>
      </c>
      <c r="C1195" s="1" t="s">
        <v>193</v>
      </c>
      <c r="D1195" s="1" t="s">
        <v>1472</v>
      </c>
      <c r="G1195" s="1" t="s">
        <v>216</v>
      </c>
      <c r="H1195" s="1" t="s">
        <v>531</v>
      </c>
      <c r="J1195" s="1" t="s">
        <v>608</v>
      </c>
      <c r="M1195" s="15" t="s">
        <v>484</v>
      </c>
      <c r="N1195" s="15" t="s">
        <v>1486</v>
      </c>
      <c r="O1195" s="15">
        <v>3</v>
      </c>
      <c r="P1195" s="15" t="str" cm="1">
        <f t="array" ref="P1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95" s="15" t="str" cm="1">
        <f t="array" ref="Q1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canciones/kairoi/todo_mi_ser_(alabo_tu_bondad).html</v>
      </c>
      <c r="S1195" s="1"/>
      <c r="T1195" s="1"/>
      <c r="U1195" s="1"/>
      <c r="V1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data-momento="Gloria" data-nnew="C08"&gt;&lt;a href="canciones/kairoi/todo_mi_ser_(alabo_tu_bondad).html"&gt;Todo mi ser (Alabo tu bondad)&lt;/a&gt;&lt;/li&gt;</v>
      </c>
      <c r="W1195" s="15" t="str">
        <f>_xlfn.TEXTBEFORE(_xlfn.TEXTAFTER(CantoralDB[[#This Row],[index.html]],"&gt;"),"&gt;")&amp;"&gt;"</f>
        <v>&lt;a href="canciones/kairoi/todo_mi_ser_(alabo_tu_bondad).html"&gt;</v>
      </c>
    </row>
    <row r="1196" spans="1:23" x14ac:dyDescent="0.3">
      <c r="A1196" s="1">
        <f>ROW(CantoralDB[[#This Row],[Título]])-1</f>
        <v>1195</v>
      </c>
      <c r="B1196" s="1" t="s">
        <v>1552</v>
      </c>
      <c r="C1196" s="1"/>
      <c r="H1196" s="1" t="s">
        <v>1027</v>
      </c>
      <c r="J1196" s="1" t="s">
        <v>608</v>
      </c>
      <c r="M1196" s="15" t="s">
        <v>484</v>
      </c>
      <c r="N1196" s="15" t="s">
        <v>1486</v>
      </c>
      <c r="O1196" s="15">
        <v>4</v>
      </c>
      <c r="P1196" s="15" t="str" cm="1">
        <f t="array" ref="P1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96" s="15" t="str" cm="1">
        <f t="array" ref="Q1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canciones/kairoi/tocare_para_ti.html</v>
      </c>
      <c r="S1196" s="1"/>
      <c r="T1196" s="1"/>
      <c r="U1196" s="1"/>
      <c r="V1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href="canciones/kairoi/tocare_para_ti.html"&gt;Tocaré para ti&lt;/a&gt;&lt;/li&gt;</v>
      </c>
      <c r="W1196" s="15" t="str">
        <f>_xlfn.TEXTBEFORE(_xlfn.TEXTAFTER(CantoralDB[[#This Row],[index.html]],"&gt;"),"&gt;")&amp;"&gt;"</f>
        <v>&lt;a href="canciones/kairoi/tocare_para_ti.html"&gt;</v>
      </c>
    </row>
    <row r="1197" spans="1:23" x14ac:dyDescent="0.3">
      <c r="A1197" s="1">
        <f>ROW(CantoralDB[[#This Row],[Título]])-1</f>
        <v>1196</v>
      </c>
      <c r="B1197" s="1" t="s">
        <v>48</v>
      </c>
      <c r="C1197" s="1" t="s">
        <v>993</v>
      </c>
      <c r="D1197" s="1" t="s">
        <v>697</v>
      </c>
      <c r="E1197" s="1">
        <v>418</v>
      </c>
      <c r="G1197" s="1" t="s">
        <v>209</v>
      </c>
      <c r="H1197" s="1" t="s">
        <v>1027</v>
      </c>
      <c r="J1197" s="1" t="s">
        <v>608</v>
      </c>
      <c r="M1197" s="15" t="s">
        <v>484</v>
      </c>
      <c r="N1197" s="15" t="s">
        <v>1486</v>
      </c>
      <c r="O1197" s="15">
        <v>5</v>
      </c>
      <c r="P1197" s="15" t="str" cm="1">
        <f t="array" ref="P1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97" s="15" t="str" cm="1">
        <f t="array" ref="Q1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canciones/kairoi/el_amor_es_nuestro_canto.html</v>
      </c>
      <c r="S1197" s="1"/>
      <c r="T1197" s="1"/>
      <c r="U1197" s="1"/>
      <c r="V1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data-nnew="K24" data-nold="418"&gt;&lt;a href="canciones/kairoi/el_amor_es_nuestro_canto.html"&gt;El amor es nuestro canto&lt;/a&gt;&lt;/li&gt;</v>
      </c>
      <c r="W1197" s="15" t="str">
        <f>_xlfn.TEXTBEFORE(_xlfn.TEXTAFTER(CantoralDB[[#This Row],[index.html]],"&gt;"),"&gt;")&amp;"&gt;"</f>
        <v>&lt;a href="canciones/kairoi/el_amor_es_nuestro_canto.html"&gt;</v>
      </c>
    </row>
    <row r="1198" spans="1:23" x14ac:dyDescent="0.3">
      <c r="A1198" s="1">
        <f>ROW(CantoralDB[[#This Row],[Título]])-1</f>
        <v>1197</v>
      </c>
      <c r="B1198" s="1" t="s">
        <v>1553</v>
      </c>
      <c r="C1198" s="1"/>
      <c r="H1198" s="1" t="s">
        <v>531</v>
      </c>
      <c r="J1198" s="1" t="s">
        <v>608</v>
      </c>
      <c r="M1198" s="15" t="s">
        <v>484</v>
      </c>
      <c r="N1198" s="15" t="s">
        <v>1486</v>
      </c>
      <c r="O1198" s="15">
        <v>6</v>
      </c>
      <c r="P1198" s="15" t="str" cm="1">
        <f t="array" ref="P1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98" s="15" t="str" cm="1">
        <f t="array" ref="Q1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canciones/kairoi/enseñanos_a_orar.html</v>
      </c>
      <c r="S1198" s="1"/>
      <c r="T1198" s="1"/>
      <c r="U1198" s="1"/>
      <c r="V1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href="canciones/kairoi/enseñanos_a_orar.html"&gt;Enséñanos a orar&lt;/a&gt;&lt;/li&gt;</v>
      </c>
      <c r="W1198" s="15" t="str">
        <f>_xlfn.TEXTBEFORE(_xlfn.TEXTAFTER(CantoralDB[[#This Row],[index.html]],"&gt;"),"&gt;")&amp;"&gt;"</f>
        <v>&lt;a href="canciones/kairoi/enseñanos_a_orar.html"&gt;</v>
      </c>
    </row>
    <row r="1199" spans="1:23" x14ac:dyDescent="0.3">
      <c r="A1199" s="1">
        <f>ROW(CantoralDB[[#This Row],[Título]])-1</f>
        <v>1198</v>
      </c>
      <c r="B1199" s="1" t="s">
        <v>1554</v>
      </c>
      <c r="C1199" s="1"/>
      <c r="H1199" s="1" t="s">
        <v>1029</v>
      </c>
      <c r="J1199" s="1" t="s">
        <v>608</v>
      </c>
      <c r="M1199" s="15" t="s">
        <v>484</v>
      </c>
      <c r="N1199" s="15" t="s">
        <v>1486</v>
      </c>
      <c r="O1199" s="15">
        <v>7</v>
      </c>
      <c r="P1199" s="15" t="str" cm="1">
        <f t="array" ref="P1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199" s="15" t="str" cm="1">
        <f t="array" ref="Q1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canciones/kairoi/tu_señor.html</v>
      </c>
      <c r="S1199" s="1"/>
      <c r="T1199" s="1"/>
      <c r="U1199" s="1"/>
      <c r="V1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href="canciones/kairoi/tu_señor.html"&gt;Tú, Señor&lt;/a&gt;&lt;/li&gt;</v>
      </c>
      <c r="W1199" s="15" t="str">
        <f>_xlfn.TEXTBEFORE(_xlfn.TEXTAFTER(CantoralDB[[#This Row],[index.html]],"&gt;"),"&gt;")&amp;"&gt;"</f>
        <v>&lt;a href="canciones/kairoi/tu_señor.html"&gt;</v>
      </c>
    </row>
    <row r="1200" spans="1:23" x14ac:dyDescent="0.3">
      <c r="A1200" s="1">
        <f>ROW(CantoralDB[[#This Row],[Título]])-1</f>
        <v>1199</v>
      </c>
      <c r="B1200" s="1" t="s">
        <v>1555</v>
      </c>
      <c r="C1200" s="1"/>
      <c r="H1200" s="1" t="s">
        <v>531</v>
      </c>
      <c r="J1200" s="1" t="s">
        <v>608</v>
      </c>
      <c r="M1200" s="15" t="s">
        <v>484</v>
      </c>
      <c r="N1200" s="15" t="s">
        <v>1486</v>
      </c>
      <c r="O1200" s="15">
        <v>8</v>
      </c>
      <c r="P1200" s="15" t="str" cm="1">
        <f t="array" ref="P1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00" s="15" t="str" cm="1">
        <f t="array" ref="Q1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canciones/kairoi/esperando_con_maria.html</v>
      </c>
      <c r="S1200" s="1"/>
      <c r="T1200" s="1"/>
      <c r="U1200" s="1"/>
      <c r="V1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href="canciones/kairoi/esperando_con_maria.html"&gt;Esperando con María&lt;/a&gt;&lt;/li&gt;</v>
      </c>
      <c r="W1200" s="15" t="str">
        <f>_xlfn.TEXTBEFORE(_xlfn.TEXTAFTER(CantoralDB[[#This Row],[index.html]],"&gt;"),"&gt;")&amp;"&gt;"</f>
        <v>&lt;a href="canciones/kairoi/esperando_con_maria.html"&gt;</v>
      </c>
    </row>
    <row r="1201" spans="1:23" x14ac:dyDescent="0.3">
      <c r="A1201" s="1">
        <f>ROW(CantoralDB[[#This Row],[Título]])-1</f>
        <v>1200</v>
      </c>
      <c r="B1201" s="1" t="s">
        <v>189</v>
      </c>
      <c r="C1201" s="1" t="s">
        <v>219</v>
      </c>
      <c r="D1201" s="1" t="s">
        <v>1476</v>
      </c>
      <c r="F1201" s="1">
        <v>135</v>
      </c>
      <c r="G1201" s="1" t="s">
        <v>209</v>
      </c>
      <c r="H1201" s="1" t="s">
        <v>531</v>
      </c>
      <c r="J1201" s="1" t="s">
        <v>608</v>
      </c>
      <c r="M1201" s="15" t="s">
        <v>484</v>
      </c>
      <c r="N1201" s="15" t="s">
        <v>1486</v>
      </c>
      <c r="O1201" s="15">
        <v>9</v>
      </c>
      <c r="P1201" s="15" t="str" cm="1">
        <f t="array" ref="P1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01" s="15" t="str" cm="1">
        <f t="array" ref="Q1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canciones/kairoi/ven_espiritu_de_dios_(kairoi).html</v>
      </c>
      <c r="S1201" s="1"/>
      <c r="T1201" s="1"/>
      <c r="U1201" s="1"/>
      <c r="V1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data-momento="Espíritu" data-nnew="N05"&gt;&lt;a href="canciones/kairoi/ven_espiritu_de_dios_(kairoi).html"&gt;Ven, Espíritu de Dios (Kairoi)&lt;/a&gt;&lt;/li&gt;</v>
      </c>
      <c r="W1201" s="15" t="str">
        <f>_xlfn.TEXTBEFORE(_xlfn.TEXTAFTER(CantoralDB[[#This Row],[index.html]],"&gt;"),"&gt;")&amp;"&gt;"</f>
        <v>&lt;a href="canciones/kairoi/ven_espiritu_de_dios_(kairoi).html"&gt;</v>
      </c>
    </row>
    <row r="1202" spans="1:23" x14ac:dyDescent="0.3">
      <c r="A1202" s="1">
        <f>ROW(CantoralDB[[#This Row],[Título]])-1</f>
        <v>1201</v>
      </c>
      <c r="B1202" s="1" t="s">
        <v>2149</v>
      </c>
      <c r="C1202" s="1"/>
      <c r="F1202" s="1">
        <v>306</v>
      </c>
      <c r="H1202" s="1" t="s">
        <v>473</v>
      </c>
      <c r="J1202" s="1" t="s">
        <v>608</v>
      </c>
      <c r="M1202" s="15" t="s">
        <v>484</v>
      </c>
      <c r="N1202" s="15" t="s">
        <v>1486</v>
      </c>
      <c r="O1202" s="15">
        <v>10</v>
      </c>
      <c r="P1202" s="15" t="str" cm="1">
        <f t="array" ref="P1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02" s="15" t="str" cm="1">
        <f t="array" ref="Q1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canciones/kairoi/padre_nuestro_i.html</v>
      </c>
      <c r="S1202" s="1"/>
      <c r="T1202" s="1"/>
      <c r="U1202" s="1"/>
      <c r="V1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href="canciones/kairoi/padre_nuestro_i.html"&gt;Padre nuestro I&lt;/a&gt;&lt;/li&gt;</v>
      </c>
      <c r="W1202" s="15" t="str">
        <f>_xlfn.TEXTBEFORE(_xlfn.TEXTAFTER(CantoralDB[[#This Row],[index.html]],"&gt;"),"&gt;")&amp;"&gt;"</f>
        <v>&lt;a href="canciones/kairoi/padre_nuestro_i.html"&gt;</v>
      </c>
    </row>
    <row r="1203" spans="1:23" x14ac:dyDescent="0.3">
      <c r="A1203" s="1">
        <f>ROW(CantoralDB[[#This Row],[Título]])-1</f>
        <v>1202</v>
      </c>
      <c r="B1203" s="1" t="s">
        <v>23</v>
      </c>
      <c r="C1203" s="1" t="s">
        <v>993</v>
      </c>
      <c r="D1203" s="1" t="s">
        <v>683</v>
      </c>
      <c r="E1203" s="1">
        <v>409</v>
      </c>
      <c r="F1203" s="1">
        <v>239</v>
      </c>
      <c r="G1203" s="1" t="s">
        <v>209</v>
      </c>
      <c r="H1203" s="1" t="s">
        <v>531</v>
      </c>
      <c r="J1203" s="1" t="s">
        <v>608</v>
      </c>
      <c r="M1203" s="15" t="s">
        <v>484</v>
      </c>
      <c r="N1203" s="15" t="s">
        <v>1486</v>
      </c>
      <c r="O1203" s="15">
        <v>11</v>
      </c>
      <c r="P1203" s="15" t="str" cm="1">
        <f t="array" ref="P1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03" s="15" t="str" cm="1">
        <f t="array" ref="Q1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canciones/kairoi/amaos_(como_el_padre_me_amo).html</v>
      </c>
      <c r="S1203" s="1" t="s">
        <v>803</v>
      </c>
      <c r="T1203" s="1"/>
      <c r="U1203" s="1"/>
      <c r="V1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 data-momento="Comunión" data-nnew="K10" data-nold="409"&gt;&lt;a href="canciones/kairoi/amaos_(como_el_padre_me_amo).html"&gt;Amaos (Como el Padre me amó)&lt;/a&gt;&lt;/li&gt;</v>
      </c>
      <c r="W1203" s="15" t="str">
        <f>_xlfn.TEXTBEFORE(_xlfn.TEXTAFTER(CantoralDB[[#This Row],[index.html]],"&gt;"),"&gt;")&amp;"&gt;"</f>
        <v>&lt;a href="canciones/kairoi/amaos_(como_el_padre_me_amo).html"&gt;</v>
      </c>
    </row>
    <row r="1204" spans="1:23" x14ac:dyDescent="0.3">
      <c r="A1204" s="1">
        <f>ROW(CantoralDB[[#This Row],[Título]])-1</f>
        <v>1203</v>
      </c>
      <c r="B1204" s="1" t="s">
        <v>1602</v>
      </c>
      <c r="C1204" s="1"/>
      <c r="J1204" s="1"/>
      <c r="M1204" s="15" t="s">
        <v>484</v>
      </c>
      <c r="N1204" s="15" t="s">
        <v>1486</v>
      </c>
      <c r="O1204" s="15">
        <v>12</v>
      </c>
      <c r="P1204" s="15" t="str" cm="1">
        <f t="array" ref="P1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Q1204" s="15" t="str" cm="1">
        <f t="array" ref="Q1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R1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canciones/kairoi/padre_perdon.html</v>
      </c>
      <c r="S1204" s="1"/>
      <c r="T1204" s="1"/>
      <c r="U1204" s="1"/>
      <c r="V1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data-author="Kairoi"&gt;&lt;a href="canciones/kairoi/padre_perdon.html"&gt;Padre, perdón&lt;/a&gt;&lt;/li&gt;</v>
      </c>
      <c r="W1204" s="15" t="str">
        <f>_xlfn.TEXTBEFORE(_xlfn.TEXTAFTER(CantoralDB[[#This Row],[index.html]],"&gt;"),"&gt;")&amp;"&gt;"</f>
        <v>&lt;a href="canciones/kairoi/padre_perdon.html"&gt;</v>
      </c>
    </row>
    <row r="1205" spans="1:23" x14ac:dyDescent="0.3">
      <c r="A1205" s="1">
        <f>ROW(CantoralDB[[#This Row],[Título]])-1</f>
        <v>1204</v>
      </c>
      <c r="B1205" s="1" t="s">
        <v>2725</v>
      </c>
      <c r="C1205" s="1"/>
      <c r="F1205" s="1">
        <v>345</v>
      </c>
      <c r="J1205" s="1"/>
      <c r="M1205" s="15" t="s">
        <v>2726</v>
      </c>
      <c r="N1205" s="15"/>
      <c r="O1205" s="15"/>
      <c r="P1205" s="15" t="str" cm="1">
        <f t="array" ref="P1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05" s="15" t="str" cm="1">
        <f t="array" ref="Q1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canciones/nuevas/mi_paz.html</v>
      </c>
      <c r="S1205" s="1"/>
      <c r="T1205" s="1"/>
      <c r="U1205" s="1"/>
      <c r="V1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data-author="Keith Routledge"&gt;&lt;a href="canciones/nuevas/mi_paz.html"&gt;Mi paz&lt;/a&gt;&lt;/li&gt;</v>
      </c>
      <c r="W1205" s="15" t="str">
        <f>_xlfn.TEXTBEFORE(_xlfn.TEXTAFTER(CantoralDB[[#This Row],[index.html]],"&gt;"),"&gt;")&amp;"&gt;"</f>
        <v>&lt;a href="canciones/nuevas/mi_paz.html"&gt;</v>
      </c>
    </row>
    <row r="1206" spans="1:23" x14ac:dyDescent="0.3">
      <c r="A1206" s="1">
        <f>ROW(CantoralDB[[#This Row],[Título]])-1</f>
        <v>1205</v>
      </c>
      <c r="B1206" s="1" t="s">
        <v>126</v>
      </c>
      <c r="C1206" s="1" t="s">
        <v>993</v>
      </c>
      <c r="D1206" s="1" t="s">
        <v>1001</v>
      </c>
      <c r="E1206" s="1">
        <v>225</v>
      </c>
      <c r="G1206" s="1" t="s">
        <v>209</v>
      </c>
      <c r="H1206" s="1" t="s">
        <v>1030</v>
      </c>
      <c r="J1206" s="1" t="s">
        <v>608</v>
      </c>
      <c r="M1206" s="15" t="s">
        <v>578</v>
      </c>
      <c r="N1206" s="15"/>
      <c r="O1206" s="15"/>
      <c r="P1206" s="15" t="str" cm="1">
        <f t="array" ref="P1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06" s="15" t="str" cm="1">
        <f t="array" ref="Q1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canciones/nsb/resucito_aleluya.html</v>
      </c>
      <c r="S1206" s="1"/>
      <c r="T1206" s="1"/>
      <c r="U1206" s="1"/>
      <c r="V1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data-author="Kiko Argüello" data-momento="Comunión" data-nnew="K64" data-nold="225"&gt;&lt;a href="canciones/nsb/resucito_aleluya.html"&gt;Resucitó, aleluya&lt;/a&gt;&lt;/li&gt;</v>
      </c>
      <c r="W1206" s="15" t="str">
        <f>_xlfn.TEXTBEFORE(_xlfn.TEXTAFTER(CantoralDB[[#This Row],[index.html]],"&gt;"),"&gt;")&amp;"&gt;"</f>
        <v>&lt;a href="canciones/nsb/resucito_aleluya.html"&gt;</v>
      </c>
    </row>
    <row r="1207" spans="1:23" x14ac:dyDescent="0.3">
      <c r="A1207" s="1">
        <f>ROW(CantoralDB[[#This Row],[Título]])-1</f>
        <v>1206</v>
      </c>
      <c r="B1207" s="1" t="s">
        <v>2517</v>
      </c>
      <c r="C1207" s="1"/>
      <c r="F1207" s="1">
        <v>123</v>
      </c>
      <c r="J1207" s="1"/>
      <c r="M1207" s="15" t="s">
        <v>2516</v>
      </c>
      <c r="N1207" s="15"/>
      <c r="O1207" s="15"/>
      <c r="P1207" s="15" t="str" cm="1">
        <f t="array" ref="P1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07" s="15" t="str" cm="1">
        <f t="array" ref="Q1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canciones/nuevas/te_amo_rey.html</v>
      </c>
      <c r="S1207" s="1"/>
      <c r="T1207" s="1"/>
      <c r="U1207" s="1"/>
      <c r="V1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data-author="Laurie Klein"&gt;&lt;a href="canciones/nuevas/te_amo_rey.html"&gt;Te amo, Rey&lt;/a&gt;&lt;/li&gt;</v>
      </c>
      <c r="W1207" s="15" t="str">
        <f>_xlfn.TEXTBEFORE(_xlfn.TEXTAFTER(CantoralDB[[#This Row],[index.html]],"&gt;"),"&gt;")&amp;"&gt;"</f>
        <v>&lt;a href="canciones/nuevas/te_amo_rey.html"&gt;</v>
      </c>
    </row>
    <row r="1208" spans="1:23" x14ac:dyDescent="0.3">
      <c r="A1208" s="1">
        <f>ROW(CantoralDB[[#This Row],[Título]])-1</f>
        <v>1207</v>
      </c>
      <c r="B1208" s="1" t="s">
        <v>2408</v>
      </c>
      <c r="C1208" s="1"/>
      <c r="F1208" s="1">
        <v>19</v>
      </c>
      <c r="J1208" s="1"/>
      <c r="M1208" s="15" t="s">
        <v>2407</v>
      </c>
      <c r="N1208" s="15"/>
      <c r="O1208" s="15"/>
      <c r="P1208" s="15" t="str" cm="1">
        <f t="array" ref="P1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208" s="15" t="str" cm="1">
        <f t="array" ref="Q1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canciones/lazaro_iparraguirre/si_lo_que_buscas.html</v>
      </c>
      <c r="S1208" s="1"/>
      <c r="T1208" s="1"/>
      <c r="U1208" s="1"/>
      <c r="V1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href="canciones/lazaro_iparraguirre/si_lo_que_buscas.html"&gt;Si lo que buscas&lt;/a&gt;&lt;/li&gt;</v>
      </c>
      <c r="W1208" s="15" t="str">
        <f>_xlfn.TEXTBEFORE(_xlfn.TEXTAFTER(CantoralDB[[#This Row],[index.html]],"&gt;"),"&gt;")&amp;"&gt;"</f>
        <v>&lt;a href="canciones/lazaro_iparraguirre/si_lo_que_buscas.html"&gt;</v>
      </c>
    </row>
    <row r="1209" spans="1:23" x14ac:dyDescent="0.3">
      <c r="A1209" s="1">
        <f>ROW(CantoralDB[[#This Row],[Título]])-1</f>
        <v>1208</v>
      </c>
      <c r="B1209" s="1" t="s">
        <v>2422</v>
      </c>
      <c r="C1209" s="1"/>
      <c r="F1209" s="1">
        <v>35</v>
      </c>
      <c r="J1209" s="1"/>
      <c r="M1209" s="15" t="s">
        <v>2407</v>
      </c>
      <c r="N1209" s="15"/>
      <c r="O1209" s="15"/>
      <c r="P1209" s="15" t="str" cm="1">
        <f t="array" ref="P1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209" s="15" t="str" cm="1">
        <f t="array" ref="Q1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canciones/lazaro_iparraguirre/aleluya_mirad_la_muerte.html</v>
      </c>
      <c r="S1209" s="1"/>
      <c r="T1209" s="1"/>
      <c r="U1209" s="1"/>
      <c r="V1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href="canciones/lazaro_iparraguirre/aleluya_mirad_la_muerte.html"&gt;Aleluya, mirad la muerte&lt;/a&gt;&lt;/li&gt;</v>
      </c>
      <c r="W1209" s="15" t="str">
        <f>_xlfn.TEXTBEFORE(_xlfn.TEXTAFTER(CantoralDB[[#This Row],[index.html]],"&gt;"),"&gt;")&amp;"&gt;"</f>
        <v>&lt;a href="canciones/lazaro_iparraguirre/aleluya_mirad_la_muerte.html"&gt;</v>
      </c>
    </row>
    <row r="1210" spans="1:23" x14ac:dyDescent="0.3">
      <c r="A1210" s="1">
        <f>ROW(CantoralDB[[#This Row],[Título]])-1</f>
        <v>1209</v>
      </c>
      <c r="B1210" s="1" t="s">
        <v>2433</v>
      </c>
      <c r="C1210" s="1"/>
      <c r="F1210" s="1">
        <v>47</v>
      </c>
      <c r="J1210" s="1"/>
      <c r="M1210" s="15" t="s">
        <v>2407</v>
      </c>
      <c r="N1210" s="15"/>
      <c r="O1210" s="15"/>
      <c r="P1210" s="15" t="str" cm="1">
        <f t="array" ref="P1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210" s="15" t="str" cm="1">
        <f t="array" ref="Q1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canciones/lazaro_iparraguirre/tomad_y_comed.html</v>
      </c>
      <c r="S1210" s="1"/>
      <c r="T1210" s="1"/>
      <c r="U1210" s="1"/>
      <c r="V1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href="canciones/lazaro_iparraguirre/tomad_y_comed.html"&gt;Tomad y comed&lt;/a&gt;&lt;/li&gt;</v>
      </c>
      <c r="W1210" s="15" t="str">
        <f>_xlfn.TEXTBEFORE(_xlfn.TEXTAFTER(CantoralDB[[#This Row],[index.html]],"&gt;"),"&gt;")&amp;"&gt;"</f>
        <v>&lt;a href="canciones/lazaro_iparraguirre/tomad_y_comed.html"&gt;</v>
      </c>
    </row>
    <row r="1211" spans="1:23" x14ac:dyDescent="0.3">
      <c r="A1211" s="1">
        <f>ROW(CantoralDB[[#This Row],[Título]])-1</f>
        <v>1210</v>
      </c>
      <c r="B1211" s="1" t="s">
        <v>2471</v>
      </c>
      <c r="C1211" s="1"/>
      <c r="F1211" s="1">
        <v>80</v>
      </c>
      <c r="J1211" s="1"/>
      <c r="M1211" s="15" t="s">
        <v>2407</v>
      </c>
      <c r="N1211" s="15"/>
      <c r="O1211" s="15"/>
      <c r="P1211" s="15" t="str" cm="1">
        <f t="array" ref="P1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211" s="15" t="str" cm="1">
        <f t="array" ref="Q1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canciones/lazaro_iparraguirre/yo_te_ensalzo.html</v>
      </c>
      <c r="S1211" s="1"/>
      <c r="T1211" s="1"/>
      <c r="U1211" s="1"/>
      <c r="V1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href="canciones/lazaro_iparraguirre/yo_te_ensalzo.html"&gt;Yo te ensalzo&lt;/a&gt;&lt;/li&gt;</v>
      </c>
      <c r="W1211" s="15" t="str">
        <f>_xlfn.TEXTBEFORE(_xlfn.TEXTAFTER(CantoralDB[[#This Row],[index.html]],"&gt;"),"&gt;")&amp;"&gt;"</f>
        <v>&lt;a href="canciones/lazaro_iparraguirre/yo_te_ensalzo.html"&gt;</v>
      </c>
    </row>
    <row r="1212" spans="1:23" x14ac:dyDescent="0.3">
      <c r="A1212" s="1">
        <f>ROW(CantoralDB[[#This Row],[Título]])-1</f>
        <v>1211</v>
      </c>
      <c r="B1212" s="1" t="s">
        <v>2488</v>
      </c>
      <c r="C1212" s="1"/>
      <c r="F1212" s="1">
        <v>96</v>
      </c>
      <c r="J1212" s="1"/>
      <c r="M1212" s="15" t="s">
        <v>2407</v>
      </c>
      <c r="N1212" s="15"/>
      <c r="O1212" s="15"/>
      <c r="P1212" s="15" t="str" cm="1">
        <f t="array" ref="P1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212" s="15" t="str" cm="1">
        <f t="array" ref="Q1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canciones/lazaro_iparraguirre/si_estas_buscando.html</v>
      </c>
      <c r="S1212" s="1"/>
      <c r="T1212" s="1"/>
      <c r="U1212" s="1"/>
      <c r="V1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href="canciones/lazaro_iparraguirre/si_estas_buscando.html"&gt;Si estás buscando&lt;/a&gt;&lt;/li&gt;</v>
      </c>
      <c r="W1212" s="15" t="str">
        <f>_xlfn.TEXTBEFORE(_xlfn.TEXTAFTER(CantoralDB[[#This Row],[index.html]],"&gt;"),"&gt;")&amp;"&gt;"</f>
        <v>&lt;a href="canciones/lazaro_iparraguirre/si_estas_buscando.html"&gt;</v>
      </c>
    </row>
    <row r="1213" spans="1:23" x14ac:dyDescent="0.3">
      <c r="A1213" s="1">
        <f>ROW(CantoralDB[[#This Row],[Título]])-1</f>
        <v>1212</v>
      </c>
      <c r="B1213" s="1" t="s">
        <v>2509</v>
      </c>
      <c r="C1213" s="1"/>
      <c r="F1213" s="1">
        <v>119</v>
      </c>
      <c r="J1213" s="1"/>
      <c r="M1213" s="15" t="s">
        <v>2407</v>
      </c>
      <c r="N1213" s="15"/>
      <c r="O1213" s="15"/>
      <c r="P1213" s="15" t="str" cm="1">
        <f t="array" ref="P1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213" s="15" t="str" cm="1">
        <f t="array" ref="Q1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canciones/lazaro_iparraguirre/vino_un_hombre_a_nuestro_mundo.html</v>
      </c>
      <c r="S1213" s="1"/>
      <c r="T1213" s="1"/>
      <c r="U1213" s="1"/>
      <c r="V1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href="canciones/lazaro_iparraguirre/vino_un_hombre_a_nuestro_mundo.html"&gt;Vino un hombre a nuestro mundo&lt;/a&gt;&lt;/li&gt;</v>
      </c>
      <c r="W1213" s="15" t="str">
        <f>_xlfn.TEXTBEFORE(_xlfn.TEXTAFTER(CantoralDB[[#This Row],[index.html]],"&gt;"),"&gt;")&amp;"&gt;"</f>
        <v>&lt;a href="canciones/lazaro_iparraguirre/vino_un_hombre_a_nuestro_mundo.html"&gt;</v>
      </c>
    </row>
    <row r="1214" spans="1:23" x14ac:dyDescent="0.3">
      <c r="A1214" s="1">
        <f>ROW(CantoralDB[[#This Row],[Título]])-1</f>
        <v>1213</v>
      </c>
      <c r="B1214" s="1" t="s">
        <v>885</v>
      </c>
      <c r="C1214" s="1"/>
      <c r="F1214" s="1">
        <v>133</v>
      </c>
      <c r="J1214" s="1"/>
      <c r="M1214" s="15" t="s">
        <v>2407</v>
      </c>
      <c r="N1214" s="15"/>
      <c r="O1214" s="15"/>
      <c r="P1214" s="15" t="str" cm="1">
        <f t="array" ref="P1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214" s="15" t="str" cm="1">
        <f t="array" ref="Q1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canciones/lazaro_iparraguirre/bendecid_al_señor.html</v>
      </c>
      <c r="S1214" s="1"/>
      <c r="T1214" s="1"/>
      <c r="U1214" s="1"/>
      <c r="V1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href="canciones/lazaro_iparraguirre/bendecid_al_señor.html"&gt;Bendecid al Señor&lt;/a&gt;&lt;/li&gt;</v>
      </c>
      <c r="W1214" s="15" t="str">
        <f>_xlfn.TEXTBEFORE(_xlfn.TEXTAFTER(CantoralDB[[#This Row],[index.html]],"&gt;"),"&gt;")&amp;"&gt;"</f>
        <v>&lt;a href="canciones/lazaro_iparraguirre/bendecid_al_señor.html"&gt;</v>
      </c>
    </row>
    <row r="1215" spans="1:23" x14ac:dyDescent="0.3">
      <c r="A1215" s="1">
        <f>ROW(CantoralDB[[#This Row],[Título]])-1</f>
        <v>1214</v>
      </c>
      <c r="B1215" s="1" t="s">
        <v>2536</v>
      </c>
      <c r="C1215" s="1"/>
      <c r="F1215" s="1">
        <v>140</v>
      </c>
      <c r="J1215" s="1"/>
      <c r="M1215" s="15" t="s">
        <v>2407</v>
      </c>
      <c r="N1215" s="15"/>
      <c r="O1215" s="15"/>
      <c r="P1215" s="15" t="str" cm="1">
        <f t="array" ref="P1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215" s="15" t="str" cm="1">
        <f t="array" ref="Q1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canciones/lazaro_iparraguirre/que_deseables.html</v>
      </c>
      <c r="S1215" s="1"/>
      <c r="T1215" s="1"/>
      <c r="U1215" s="1"/>
      <c r="V1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href="canciones/lazaro_iparraguirre/que_deseables.html"&gt;Qué deseables&lt;/a&gt;&lt;/li&gt;</v>
      </c>
      <c r="W1215" s="15" t="str">
        <f>_xlfn.TEXTBEFORE(_xlfn.TEXTAFTER(CantoralDB[[#This Row],[index.html]],"&gt;"),"&gt;")&amp;"&gt;"</f>
        <v>&lt;a href="canciones/lazaro_iparraguirre/que_deseables.html"&gt;</v>
      </c>
    </row>
    <row r="1216" spans="1:23" x14ac:dyDescent="0.3">
      <c r="A1216" s="1">
        <f>ROW(CantoralDB[[#This Row],[Título]])-1</f>
        <v>1215</v>
      </c>
      <c r="B1216" s="1" t="s">
        <v>2538</v>
      </c>
      <c r="C1216" s="1"/>
      <c r="F1216" s="1">
        <v>142</v>
      </c>
      <c r="H1216" s="1" t="s">
        <v>1027</v>
      </c>
      <c r="J1216" s="1" t="s">
        <v>608</v>
      </c>
      <c r="M1216" s="15" t="s">
        <v>2407</v>
      </c>
      <c r="N1216" s="15"/>
      <c r="O1216" s="15"/>
      <c r="P1216" s="15" t="str" cm="1">
        <f t="array" ref="P1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216" s="15" t="str" cm="1">
        <f t="array" ref="Q1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canciones/lazaro_iparraguirre/caminaremos.html</v>
      </c>
      <c r="S1216" s="1"/>
      <c r="T1216" s="1"/>
      <c r="U1216" s="14" t="s">
        <v>2991</v>
      </c>
      <c r="V1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href="canciones/lazaro_iparraguirre/caminaremos.html"&gt;Caminaremos&lt;/a&gt;&lt;/li&gt;</v>
      </c>
      <c r="W1216" s="15" t="str">
        <f>_xlfn.TEXTBEFORE(_xlfn.TEXTAFTER(CantoralDB[[#This Row],[index.html]],"&gt;"),"&gt;")&amp;"&gt;"</f>
        <v>&lt;a href="canciones/lazaro_iparraguirre/caminaremos.html"&gt;</v>
      </c>
    </row>
    <row r="1217" spans="1:23" x14ac:dyDescent="0.3">
      <c r="A1217" s="1">
        <f>ROW(CantoralDB[[#This Row],[Título]])-1</f>
        <v>1216</v>
      </c>
      <c r="B1217" s="1" t="s">
        <v>2620</v>
      </c>
      <c r="C1217" s="1"/>
      <c r="F1217" s="1">
        <v>229</v>
      </c>
      <c r="J1217" s="1"/>
      <c r="M1217" s="15" t="s">
        <v>2407</v>
      </c>
      <c r="N1217" s="15"/>
      <c r="O1217" s="15"/>
      <c r="P1217" s="15" t="str" cm="1">
        <f t="array" ref="P1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217" s="15" t="str" cm="1">
        <f t="array" ref="Q1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canciones/lazaro_iparraguirre/maestro.html</v>
      </c>
      <c r="S1217" s="1"/>
      <c r="T1217" s="1"/>
      <c r="U1217" s="1"/>
      <c r="V1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href="canciones/lazaro_iparraguirre/maestro.html"&gt;Maestro&lt;/a&gt;&lt;/li&gt;</v>
      </c>
      <c r="W1217" s="15" t="str">
        <f>_xlfn.TEXTBEFORE(_xlfn.TEXTAFTER(CantoralDB[[#This Row],[index.html]],"&gt;"),"&gt;")&amp;"&gt;"</f>
        <v>&lt;a href="canciones/lazaro_iparraguirre/maestro.html"&gt;</v>
      </c>
    </row>
    <row r="1218" spans="1:23" x14ac:dyDescent="0.3">
      <c r="A1218" s="1">
        <f>ROW(CantoralDB[[#This Row],[Título]])-1</f>
        <v>1217</v>
      </c>
      <c r="B1218" s="1" t="s">
        <v>2690</v>
      </c>
      <c r="C1218" s="1"/>
      <c r="F1218" s="1">
        <v>305</v>
      </c>
      <c r="J1218" s="1"/>
      <c r="M1218" s="15" t="s">
        <v>2407</v>
      </c>
      <c r="N1218" s="15"/>
      <c r="O1218" s="15"/>
      <c r="P1218" s="15" t="str" cm="1">
        <f t="array" ref="P1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218" s="15" t="str" cm="1">
        <f t="array" ref="Q1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canciones/lazaro_iparraguirre/venid_alabemos.html</v>
      </c>
      <c r="S1218" s="1"/>
      <c r="T1218" s="1"/>
      <c r="U1218" s="1"/>
      <c r="V1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href="canciones/lazaro_iparraguirre/venid_alabemos.html"&gt;Venid, alabemos&lt;/a&gt;&lt;/li&gt;</v>
      </c>
      <c r="W1218" s="15" t="str">
        <f>_xlfn.TEXTBEFORE(_xlfn.TEXTAFTER(CantoralDB[[#This Row],[index.html]],"&gt;"),"&gt;")&amp;"&gt;"</f>
        <v>&lt;a href="canciones/lazaro_iparraguirre/venid_alabemos.html"&gt;</v>
      </c>
    </row>
    <row r="1219" spans="1:23" x14ac:dyDescent="0.3">
      <c r="A1219" s="1">
        <f>ROW(CantoralDB[[#This Row],[Título]])-1</f>
        <v>1218</v>
      </c>
      <c r="B1219" s="1" t="s">
        <v>2692</v>
      </c>
      <c r="C1219" s="1"/>
      <c r="F1219" s="1">
        <v>308</v>
      </c>
      <c r="J1219" s="1"/>
      <c r="M1219" s="15" t="s">
        <v>2407</v>
      </c>
      <c r="N1219" s="15"/>
      <c r="O1219" s="15"/>
      <c r="P1219" s="15" t="str" cm="1">
        <f t="array" ref="P1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219" s="15" t="str" cm="1">
        <f t="array" ref="Q1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canciones/lazaro_iparraguirre/resucito.html</v>
      </c>
      <c r="S1219" s="1"/>
      <c r="T1219" s="1"/>
      <c r="U1219" s="1"/>
      <c r="V1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href="canciones/lazaro_iparraguirre/resucito.html"&gt;Resucitó&lt;/a&gt;&lt;/li&gt;</v>
      </c>
      <c r="W1219" s="15" t="str">
        <f>_xlfn.TEXTBEFORE(_xlfn.TEXTAFTER(CantoralDB[[#This Row],[index.html]],"&gt;"),"&gt;")&amp;"&gt;"</f>
        <v>&lt;a href="canciones/lazaro_iparraguirre/resucito.html"&gt;</v>
      </c>
    </row>
    <row r="1220" spans="1:23" x14ac:dyDescent="0.3">
      <c r="A1220" s="1">
        <f>ROW(CantoralDB[[#This Row],[Título]])-1</f>
        <v>1219</v>
      </c>
      <c r="B1220" s="1" t="s">
        <v>2757</v>
      </c>
      <c r="C1220" s="1"/>
      <c r="F1220" s="1">
        <v>372</v>
      </c>
      <c r="J1220" s="1"/>
      <c r="M1220" s="15" t="s">
        <v>2407</v>
      </c>
      <c r="N1220" s="15"/>
      <c r="O1220" s="15"/>
      <c r="P1220" s="15" t="str" cm="1">
        <f t="array" ref="P1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220" s="15" t="str" cm="1">
        <f t="array" ref="Q1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canciones/lazaro_iparraguirre/mirad_levantad.html</v>
      </c>
      <c r="S1220" s="1"/>
      <c r="T1220" s="1"/>
      <c r="U1220" s="1"/>
      <c r="V1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href="canciones/lazaro_iparraguirre/mirad_levantad.html"&gt;Mirad, levantad&lt;/a&gt;&lt;/li&gt;</v>
      </c>
      <c r="W1220" s="15" t="str">
        <f>_xlfn.TEXTBEFORE(_xlfn.TEXTAFTER(CantoralDB[[#This Row],[index.html]],"&gt;"),"&gt;")&amp;"&gt;"</f>
        <v>&lt;a href="canciones/lazaro_iparraguirre/mirad_levantad.html"&gt;</v>
      </c>
    </row>
    <row r="1221" spans="1:23" x14ac:dyDescent="0.3">
      <c r="A1221" s="1">
        <f>ROW(CantoralDB[[#This Row],[Título]])-1</f>
        <v>1220</v>
      </c>
      <c r="B1221" s="1" t="s">
        <v>2772</v>
      </c>
      <c r="C1221" s="1"/>
      <c r="F1221" s="1">
        <v>384</v>
      </c>
      <c r="J1221" s="1"/>
      <c r="M1221" s="15" t="s">
        <v>2407</v>
      </c>
      <c r="N1221" s="15"/>
      <c r="O1221" s="15"/>
      <c r="P1221" s="15" t="str" cm="1">
        <f t="array" ref="P1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Q1221" s="15" t="str" cm="1">
        <f t="array" ref="Q1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canciones/lazaro_iparraguirre/nos_dejaste_señor.html</v>
      </c>
      <c r="S1221" s="1"/>
      <c r="T1221" s="1"/>
      <c r="U1221" s="1"/>
      <c r="V1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data-author="Lázaro Iparraguirre"&gt;&lt;a href="canciones/lazaro_iparraguirre/nos_dejaste_señor.html"&gt;Nos dejaste, Señor&lt;/a&gt;&lt;/li&gt;</v>
      </c>
      <c r="W1221" s="15" t="str">
        <f>_xlfn.TEXTBEFORE(_xlfn.TEXTAFTER(CantoralDB[[#This Row],[index.html]],"&gt;"),"&gt;")&amp;"&gt;"</f>
        <v>&lt;a href="canciones/lazaro_iparraguirre/nos_dejaste_señor.html"&gt;</v>
      </c>
    </row>
    <row r="1222" spans="1:23" x14ac:dyDescent="0.3">
      <c r="A1222" s="1">
        <f>ROW(CantoralDB[[#This Row],[Título]])-1</f>
        <v>1221</v>
      </c>
      <c r="B1222" s="1" t="s">
        <v>2424</v>
      </c>
      <c r="C1222" s="1"/>
      <c r="F1222" s="1">
        <v>38</v>
      </c>
      <c r="J1222" s="1"/>
      <c r="M1222" s="15" t="s">
        <v>2425</v>
      </c>
      <c r="N1222" s="15"/>
      <c r="O1222" s="15"/>
      <c r="P1222" s="15" t="str" cm="1">
        <f t="array" ref="P1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22" s="15" t="str" cm="1">
        <f t="array" ref="Q1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canciones/nuevas/hemos_venido_a_este_lugar.html</v>
      </c>
      <c r="S1222" s="1"/>
      <c r="T1222" s="1"/>
      <c r="U1222" s="1"/>
      <c r="V1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 von Brethorst"&gt;&lt;a href="canciones/nuevas/hemos_venido_a_este_lugar.html"&gt;Hemos venido a este lugar&lt;/a&gt;&lt;/li&gt;</v>
      </c>
      <c r="W1222" s="15" t="str">
        <f>_xlfn.TEXTBEFORE(_xlfn.TEXTAFTER(CantoralDB[[#This Row],[index.html]],"&gt;"),"&gt;")&amp;"&gt;"</f>
        <v>&lt;a href="canciones/nuevas/hemos_venido_a_este_lugar.html"&gt;</v>
      </c>
    </row>
    <row r="1223" spans="1:23" x14ac:dyDescent="0.3">
      <c r="A1223" s="1">
        <f>ROW(CantoralDB[[#This Row],[Título]])-1</f>
        <v>1222</v>
      </c>
      <c r="B1223" s="1" t="s">
        <v>1031</v>
      </c>
      <c r="C1223" s="1"/>
      <c r="H1223" s="1" t="s">
        <v>1030</v>
      </c>
      <c r="J1223" s="1" t="s">
        <v>608</v>
      </c>
      <c r="M1223" s="15" t="s">
        <v>2147</v>
      </c>
      <c r="N1223" s="15"/>
      <c r="O1223" s="15"/>
      <c r="P1223" s="15" t="str" cm="1">
        <f t="array" ref="P1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23" s="15" t="str" cm="1">
        <f t="array" ref="Q1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canciones/nuevas/aleluya_(cohen).html</v>
      </c>
      <c r="S1223" s="1"/>
      <c r="T1223" s="1"/>
      <c r="U1223" s="1"/>
      <c r="V1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data-author="Leonard Cohen"&gt;&lt;a href="canciones/nuevas/aleluya_(cohen).html"&gt;Aleluya (Cohen)&lt;/a&gt;&lt;/li&gt;</v>
      </c>
      <c r="W1223" s="15" t="str">
        <f>_xlfn.TEXTBEFORE(_xlfn.TEXTAFTER(CantoralDB[[#This Row],[index.html]],"&gt;"),"&gt;")&amp;"&gt;"</f>
        <v>&lt;a href="canciones/nuevas/aleluya_(cohen).html"&gt;</v>
      </c>
    </row>
    <row r="1224" spans="1:23" x14ac:dyDescent="0.3">
      <c r="A1224" s="1">
        <f>ROW(CantoralDB[[#This Row],[Título]])-1</f>
        <v>1223</v>
      </c>
      <c r="B1224" s="1" t="s">
        <v>2719</v>
      </c>
      <c r="C1224" s="1"/>
      <c r="F1224" s="1">
        <v>340</v>
      </c>
      <c r="J1224" s="1"/>
      <c r="M1224" s="15" t="s">
        <v>2720</v>
      </c>
      <c r="N1224" s="15"/>
      <c r="O1224" s="15"/>
      <c r="P1224" s="15" t="str" cm="1">
        <f t="array" ref="P1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24" s="15" t="str" cm="1">
        <f t="array" ref="Q1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canciones/nuevas/nuestro_dios_reina.html</v>
      </c>
      <c r="S1224" s="1"/>
      <c r="T1224" s="1"/>
      <c r="U1224" s="1"/>
      <c r="V1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data-author="Leonard Smith"&gt;&lt;a href="canciones/nuevas/nuestro_dios_reina.html"&gt;Nuestro Dios reina&lt;/a&gt;&lt;/li&gt;</v>
      </c>
      <c r="W1224" s="15" t="str">
        <f>_xlfn.TEXTBEFORE(_xlfn.TEXTAFTER(CantoralDB[[#This Row],[index.html]],"&gt;"),"&gt;")&amp;"&gt;"</f>
        <v>&lt;a href="canciones/nuevas/nuestro_dios_reina.html"&gt;</v>
      </c>
    </row>
    <row r="1225" spans="1:23" x14ac:dyDescent="0.3">
      <c r="A1225" s="1">
        <f>ROW(CantoralDB[[#This Row],[Título]])-1</f>
        <v>1224</v>
      </c>
      <c r="B1225" s="1" t="s">
        <v>2473</v>
      </c>
      <c r="C1225" s="1"/>
      <c r="F1225" s="1">
        <v>82</v>
      </c>
      <c r="J1225" s="1"/>
      <c r="M1225" s="15" t="s">
        <v>2474</v>
      </c>
      <c r="N1225" s="15"/>
      <c r="O1225" s="15"/>
      <c r="P1225" s="15" t="str" cm="1">
        <f t="array" ref="P1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25" s="15" t="str" cm="1">
        <f t="array" ref="Q1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canciones/nuevas/hay_poder.html</v>
      </c>
      <c r="S1225" s="1"/>
      <c r="T1225" s="1"/>
      <c r="U1225" s="1"/>
      <c r="V1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data-author="Lewis Jones"&gt;&lt;a href="canciones/nuevas/hay_poder.html"&gt;Hay poder&lt;/a&gt;&lt;/li&gt;</v>
      </c>
      <c r="W1225" s="15" t="str">
        <f>_xlfn.TEXTBEFORE(_xlfn.TEXTAFTER(CantoralDB[[#This Row],[index.html]],"&gt;"),"&gt;")&amp;"&gt;"</f>
        <v>&lt;a href="canciones/nuevas/hay_poder.html"&gt;</v>
      </c>
    </row>
    <row r="1226" spans="1:23" x14ac:dyDescent="0.3">
      <c r="A1226" s="1">
        <f>ROW(CantoralDB[[#This Row],[Título]])-1</f>
        <v>1225</v>
      </c>
      <c r="B1226" s="1" t="s">
        <v>2164</v>
      </c>
      <c r="C1226" s="15"/>
      <c r="H1226" s="1" t="s">
        <v>531</v>
      </c>
      <c r="J1226" s="1" t="s">
        <v>608</v>
      </c>
      <c r="M1226" s="15" t="s">
        <v>2180</v>
      </c>
      <c r="N1226" s="15"/>
      <c r="O1226" s="15"/>
      <c r="P1226" s="15" t="str" cm="1">
        <f t="array" ref="P1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26" s="15" t="str" cm="1">
        <f t="array" ref="Q1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canciones/nuevas/entra_en_el_corazon_de_dios.html</v>
      </c>
      <c r="S1226" s="1"/>
      <c r="T1226" s="1"/>
      <c r="U1226" s="14" t="s">
        <v>3008</v>
      </c>
      <c r="V1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data-author="Lili Zaidín"&gt;&lt;a href="canciones/nuevas/entra_en_el_corazon_de_dios.html"&gt;Entra en el corazón de Dios&lt;/a&gt;&lt;/li&gt;</v>
      </c>
      <c r="W1226" s="15" t="str">
        <f>_xlfn.TEXTBEFORE(_xlfn.TEXTAFTER(CantoralDB[[#This Row],[index.html]],"&gt;"),"&gt;")&amp;"&gt;"</f>
        <v>&lt;a href="canciones/nuevas/entra_en_el_corazon_de_dios.html"&gt;</v>
      </c>
    </row>
    <row r="1227" spans="1:23" x14ac:dyDescent="0.3">
      <c r="A1227" s="1">
        <f>ROW(CantoralDB[[#This Row],[Título]])-1</f>
        <v>1226</v>
      </c>
      <c r="B1227" s="1" t="s">
        <v>167</v>
      </c>
      <c r="C1227" s="1" t="s">
        <v>201</v>
      </c>
      <c r="D1227" s="1" t="s">
        <v>682</v>
      </c>
      <c r="E1227" s="1">
        <v>475</v>
      </c>
      <c r="F1227" s="1">
        <v>287</v>
      </c>
      <c r="G1227" s="1" t="s">
        <v>209</v>
      </c>
      <c r="H1227" s="1" t="s">
        <v>1030</v>
      </c>
      <c r="J1227" s="1" t="s">
        <v>608</v>
      </c>
      <c r="M1227" s="15" t="s">
        <v>588</v>
      </c>
      <c r="N1227" s="15"/>
      <c r="O1227" s="15"/>
      <c r="P1227" s="15" t="str" cm="1">
        <f t="array" ref="P1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27" s="15" t="str" cm="1">
        <f t="array" ref="Q1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canciones/nsb/yo_celebrare.html</v>
      </c>
      <c r="S1227" s="1"/>
      <c r="T1227" s="1"/>
      <c r="U1227" s="1"/>
      <c r="V1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data-author="Linda Duval" data-momento="Antífonas" data-nnew="D44" data-nold="475"&gt;&lt;a href="canciones/nsb/yo_celebrare.html"&gt;Yo celebraré&lt;/a&gt;&lt;/li&gt;</v>
      </c>
      <c r="W1227" s="15" t="str">
        <f>_xlfn.TEXTBEFORE(_xlfn.TEXTAFTER(CantoralDB[[#This Row],[index.html]],"&gt;"),"&gt;")&amp;"&gt;"</f>
        <v>&lt;a href="canciones/nsb/yo_celebrare.html"&gt;</v>
      </c>
    </row>
    <row r="1228" spans="1:23" x14ac:dyDescent="0.3">
      <c r="A1228" s="1">
        <f>ROW(CantoralDB[[#This Row],[Título]])-1</f>
        <v>1227</v>
      </c>
      <c r="B1228" s="1" t="s">
        <v>29</v>
      </c>
      <c r="C1228" s="1" t="s">
        <v>194</v>
      </c>
      <c r="D1228" s="1" t="s">
        <v>990</v>
      </c>
      <c r="E1228" s="1">
        <v>413</v>
      </c>
      <c r="F1228" s="1">
        <v>152</v>
      </c>
      <c r="G1228" s="1" t="s">
        <v>209</v>
      </c>
      <c r="H1228" s="1" t="s">
        <v>531</v>
      </c>
      <c r="I1228" s="1" t="s">
        <v>2962</v>
      </c>
      <c r="J1228" s="1" t="s">
        <v>608</v>
      </c>
      <c r="M1228" s="15" t="s">
        <v>586</v>
      </c>
      <c r="N1228" s="15"/>
      <c r="O1228" s="15"/>
      <c r="P1228" s="15" t="str" cm="1">
        <f t="array" ref="P1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28" s="15" t="str" cm="1">
        <f t="array" ref="Q1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canciones/nsb/canta_aleluya.html</v>
      </c>
      <c r="S1228" s="1"/>
      <c r="T1228" s="1"/>
      <c r="U1228" s="1"/>
      <c r="V1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data-author="Linda Stassen" data-momento="Aleluya" data-nnew="E11" data-nold="413"&gt;&lt;a href="canciones/nsb/canta_aleluya.html"&gt;Canta aleluya&lt;/a&gt;&lt;/li&gt;</v>
      </c>
      <c r="W1228" s="15" t="str">
        <f>_xlfn.TEXTBEFORE(_xlfn.TEXTAFTER(CantoralDB[[#This Row],[index.html]],"&gt;"),"&gt;")&amp;"&gt;"</f>
        <v>&lt;a href="canciones/nsb/canta_aleluya.html"&gt;</v>
      </c>
    </row>
    <row r="1229" spans="1:23" x14ac:dyDescent="0.3">
      <c r="A1229" s="1">
        <f>ROW(CantoralDB[[#This Row],[Título]])-1</f>
        <v>1228</v>
      </c>
      <c r="B1229" s="1" t="s">
        <v>1255</v>
      </c>
      <c r="C1229" s="1"/>
      <c r="E1229" s="1">
        <v>123</v>
      </c>
      <c r="H1229" s="1" t="s">
        <v>1030</v>
      </c>
      <c r="J1229" s="1" t="s">
        <v>608</v>
      </c>
      <c r="M1229" s="15" t="s">
        <v>2879</v>
      </c>
      <c r="N1229" s="15"/>
      <c r="O1229" s="15"/>
      <c r="P1229" s="15" t="str" cm="1">
        <f t="array" ref="P1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29" s="15" t="str" cm="1">
        <f t="array" ref="Q1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canciones/nsb/fe_no_es_aguardar.html</v>
      </c>
      <c r="S1229" s="1"/>
      <c r="T1229" s="1"/>
      <c r="U1229" s="14" t="s">
        <v>2993</v>
      </c>
      <c r="V1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data-author="Lluís Llach" data-nold="123"&gt;&lt;a href="canciones/nsb/fe_no_es_aguardar.html"&gt;Fe no es aguardar&lt;/a&gt;&lt;/li&gt;</v>
      </c>
      <c r="W1229" s="15" t="str">
        <f>_xlfn.TEXTBEFORE(_xlfn.TEXTAFTER(CantoralDB[[#This Row],[index.html]],"&gt;"),"&gt;")&amp;"&gt;"</f>
        <v>&lt;a href="canciones/nsb/fe_no_es_aguardar.html"&gt;</v>
      </c>
    </row>
    <row r="1230" spans="1:23" x14ac:dyDescent="0.3">
      <c r="A1230" s="1">
        <f>ROW(CantoralDB[[#This Row],[Título]])-1</f>
        <v>1229</v>
      </c>
      <c r="B1230" s="1" t="s">
        <v>2559</v>
      </c>
      <c r="C1230" s="1"/>
      <c r="F1230" s="1">
        <v>324</v>
      </c>
      <c r="J1230" s="1"/>
      <c r="M1230" s="15" t="s">
        <v>2706</v>
      </c>
      <c r="N1230" s="15"/>
      <c r="O1230" s="15"/>
      <c r="P1230" s="15" t="str" cm="1">
        <f t="array" ref="P1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30" s="15" t="str" cm="1">
        <f t="array" ref="Q1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S1230" s="1"/>
      <c r="T1230" s="1"/>
      <c r="U1230" s="1"/>
      <c r="V1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data-author="Lola Tomillo"&gt;&lt;a href="canciones/nuevas/vamos_con_gozo.html"&gt;Vamos con gozo&lt;/a&gt;&lt;/li&gt;</v>
      </c>
      <c r="W1230" s="15" t="str">
        <f>_xlfn.TEXTBEFORE(_xlfn.TEXTAFTER(CantoralDB[[#This Row],[index.html]],"&gt;"),"&gt;")&amp;"&gt;"</f>
        <v>&lt;a href="canciones/nuevas/vamos_con_gozo.html"&gt;</v>
      </c>
    </row>
    <row r="1231" spans="1:23" x14ac:dyDescent="0.3">
      <c r="A1231" s="1">
        <f>ROW(CantoralDB[[#This Row],[Título]])-1</f>
        <v>1230</v>
      </c>
      <c r="B1231" s="1" t="s">
        <v>2797</v>
      </c>
      <c r="C1231" s="1"/>
      <c r="F1231" s="1">
        <v>405</v>
      </c>
      <c r="J1231" s="1"/>
      <c r="M1231" s="15" t="s">
        <v>2798</v>
      </c>
      <c r="N1231" s="15"/>
      <c r="O1231" s="15"/>
      <c r="P1231" s="15" t="str" cm="1">
        <f t="array" ref="P1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31" s="15" t="str" cm="1">
        <f t="array" ref="Q1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canciones/nuevas/aclamad_al_señor.html</v>
      </c>
      <c r="S1231" s="1"/>
      <c r="T1231" s="1"/>
      <c r="U1231" s="1"/>
      <c r="V1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data-author="Lori Black Mathis"&gt;&lt;a href="canciones/nuevas/aclamad_al_señor.html"&gt;Aclamad al Señor&lt;/a&gt;&lt;/li&gt;</v>
      </c>
      <c r="W1231" s="15" t="str">
        <f>_xlfn.TEXTBEFORE(_xlfn.TEXTAFTER(CantoralDB[[#This Row],[index.html]],"&gt;"),"&gt;")&amp;"&gt;"</f>
        <v>&lt;a href="canciones/nuevas/aclamad_al_señor.html"&gt;</v>
      </c>
    </row>
    <row r="1232" spans="1:23" x14ac:dyDescent="0.3">
      <c r="A1232" s="1">
        <f>ROW(CantoralDB[[#This Row],[Título]])-1</f>
        <v>1231</v>
      </c>
      <c r="B1232" s="1" t="s">
        <v>2441</v>
      </c>
      <c r="C1232" s="1"/>
      <c r="F1232" s="1">
        <v>51</v>
      </c>
      <c r="J1232" s="1"/>
      <c r="M1232" s="15" t="s">
        <v>2440</v>
      </c>
      <c r="N1232" s="15"/>
      <c r="O1232" s="15"/>
      <c r="P1232" s="15" t="str" cm="1">
        <f t="array" ref="P1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32" s="15" t="str" cm="1">
        <f t="array" ref="Q1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canciones/nuevas/mi_alma_esta_sedienta.html</v>
      </c>
      <c r="S1232" s="1"/>
      <c r="T1232" s="1"/>
      <c r="U1232" s="1"/>
      <c r="V1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data-author="Lourdes Fonteriz"&gt;&lt;a href="canciones/nuevas/mi_alma_esta_sedienta.html"&gt;Mi alma está sedienta&lt;/a&gt;&lt;/li&gt;</v>
      </c>
      <c r="W1232" s="15" t="str">
        <f>_xlfn.TEXTBEFORE(_xlfn.TEXTAFTER(CantoralDB[[#This Row],[index.html]],"&gt;"),"&gt;")&amp;"&gt;"</f>
        <v>&lt;a href="canciones/nuevas/mi_alma_esta_sedienta.html"&gt;</v>
      </c>
    </row>
    <row r="1233" spans="1:23" x14ac:dyDescent="0.3">
      <c r="A1233" s="1">
        <f>ROW(CantoralDB[[#This Row],[Título]])-1</f>
        <v>1232</v>
      </c>
      <c r="B1233" s="1" t="s">
        <v>2492</v>
      </c>
      <c r="C1233" s="1"/>
      <c r="F1233" s="1">
        <v>100</v>
      </c>
      <c r="J1233" s="1"/>
      <c r="M1233" s="15" t="s">
        <v>2494</v>
      </c>
      <c r="N1233" s="15"/>
      <c r="O1233" s="15"/>
      <c r="P1233" s="15" t="str" cm="1">
        <f t="array" ref="P1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33" s="15" t="str" cm="1">
        <f t="array" ref="Q1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canciones/nuevas/alguien_cerca_esta_de_mi.html</v>
      </c>
      <c r="S1233" s="1"/>
      <c r="T1233" s="1"/>
      <c r="U1233" s="1"/>
      <c r="V1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href="canciones/nuevas/alguien_cerca_esta_de_mi.html"&gt;Alguien cerca está de mí&lt;/a&gt;&lt;/li&gt;</v>
      </c>
      <c r="W1233" s="15" t="str">
        <f>_xlfn.TEXTBEFORE(_xlfn.TEXTAFTER(CantoralDB[[#This Row],[index.html]],"&gt;"),"&gt;")&amp;"&gt;"</f>
        <v>&lt;a href="canciones/nuevas/alguien_cerca_esta_de_mi.html"&gt;</v>
      </c>
    </row>
    <row r="1234" spans="1:23" x14ac:dyDescent="0.3">
      <c r="A1234" s="1">
        <f>ROW(CantoralDB[[#This Row],[Título]])-1</f>
        <v>1233</v>
      </c>
      <c r="B1234" s="1" t="s">
        <v>2544</v>
      </c>
      <c r="C1234" s="1"/>
      <c r="F1234" s="1">
        <v>148</v>
      </c>
      <c r="J1234" s="1"/>
      <c r="M1234" s="15" t="s">
        <v>2494</v>
      </c>
      <c r="N1234" s="15"/>
      <c r="O1234" s="15"/>
      <c r="P1234" s="15" t="str" cm="1">
        <f t="array" ref="P1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34" s="15" t="str" cm="1">
        <f t="array" ref="Q1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canciones/nuevas/dios_precisa_de_ti.html</v>
      </c>
      <c r="S1234" s="1"/>
      <c r="T1234" s="1"/>
      <c r="U1234" s="1"/>
      <c r="V1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href="canciones/nuevas/dios_precisa_de_ti.html"&gt;Dios precisa de ti&lt;/a&gt;&lt;/li&gt;</v>
      </c>
      <c r="W1234" s="15" t="str">
        <f>_xlfn.TEXTBEFORE(_xlfn.TEXTAFTER(CantoralDB[[#This Row],[index.html]],"&gt;"),"&gt;")&amp;"&gt;"</f>
        <v>&lt;a href="canciones/nuevas/dios_precisa_de_ti.html"&gt;</v>
      </c>
    </row>
    <row r="1235" spans="1:23" x14ac:dyDescent="0.3">
      <c r="A1235" s="1">
        <f>ROW(CantoralDB[[#This Row],[Título]])-1</f>
        <v>1234</v>
      </c>
      <c r="B1235" s="1" t="s">
        <v>2635</v>
      </c>
      <c r="C1235" s="1"/>
      <c r="F1235" s="1">
        <v>247</v>
      </c>
      <c r="J1235" s="1"/>
      <c r="M1235" s="15" t="s">
        <v>2494</v>
      </c>
      <c r="N1235" s="15"/>
      <c r="O1235" s="15"/>
      <c r="P1235" s="15" t="str" cm="1">
        <f t="array" ref="P1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35" s="15" t="str" cm="1">
        <f t="array" ref="Q1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canciones/nuevas/vive_jesus.html</v>
      </c>
      <c r="S1235" s="1"/>
      <c r="T1235" s="1"/>
      <c r="U1235" s="1"/>
      <c r="V1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href="canciones/nuevas/vive_jesus.html"&gt;Vive Jesús&lt;/a&gt;&lt;/li&gt;</v>
      </c>
      <c r="W1235" s="15" t="str">
        <f>_xlfn.TEXTBEFORE(_xlfn.TEXTAFTER(CantoralDB[[#This Row],[index.html]],"&gt;"),"&gt;")&amp;"&gt;"</f>
        <v>&lt;a href="canciones/nuevas/vive_jesus.html"&gt;</v>
      </c>
    </row>
    <row r="1236" spans="1:23" x14ac:dyDescent="0.3">
      <c r="A1236" s="1">
        <f>ROW(CantoralDB[[#This Row],[Título]])-1</f>
        <v>1235</v>
      </c>
      <c r="B1236" s="1" t="s">
        <v>2703</v>
      </c>
      <c r="C1236" s="1"/>
      <c r="F1236" s="1">
        <v>322</v>
      </c>
      <c r="J1236" s="1"/>
      <c r="M1236" s="15" t="s">
        <v>2494</v>
      </c>
      <c r="N1236" s="15"/>
      <c r="O1236" s="15"/>
      <c r="P1236" s="15" t="str" cm="1">
        <f t="array" ref="P1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36" s="15" t="str" cm="1">
        <f t="array" ref="Q1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canciones/nuevas/hay_una_promesa.html</v>
      </c>
      <c r="S1236" s="1"/>
      <c r="T1236" s="1"/>
      <c r="U1236" s="1"/>
      <c r="V1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data-author="Lucas Casaert"&gt;&lt;a href="canciones/nuevas/hay_una_promesa.html"&gt;Hay una promesa&lt;/a&gt;&lt;/li&gt;</v>
      </c>
      <c r="W1236" s="15" t="str">
        <f>_xlfn.TEXTBEFORE(_xlfn.TEXTAFTER(CantoralDB[[#This Row],[index.html]],"&gt;"),"&gt;")&amp;"&gt;"</f>
        <v>&lt;a href="canciones/nuevas/hay_una_promesa.html"&gt;</v>
      </c>
    </row>
    <row r="1237" spans="1:23" x14ac:dyDescent="0.3">
      <c r="A1237" s="1">
        <f>ROW(CantoralDB[[#This Row],[Título]])-1</f>
        <v>1236</v>
      </c>
      <c r="B1237" s="1" t="s">
        <v>2570</v>
      </c>
      <c r="C1237" s="1"/>
      <c r="F1237" s="1">
        <v>170</v>
      </c>
      <c r="J1237" s="1"/>
      <c r="M1237" s="15" t="s">
        <v>2569</v>
      </c>
      <c r="N1237" s="15"/>
      <c r="O1237" s="15"/>
      <c r="P1237" s="15" t="str" cm="1">
        <f t="array" ref="P1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37" s="15" t="str" cm="1">
        <f t="array" ref="Q1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canciones/nuevas/evangelio.html</v>
      </c>
      <c r="S1237" s="1"/>
      <c r="T1237" s="1"/>
      <c r="U1237" s="1"/>
      <c r="V1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data-author="Lucía Asturias"&gt;&lt;a href="canciones/nuevas/evangelio.html"&gt;Evangelio&lt;/a&gt;&lt;/li&gt;</v>
      </c>
      <c r="W1237" s="15" t="str">
        <f>_xlfn.TEXTBEFORE(_xlfn.TEXTAFTER(CantoralDB[[#This Row],[index.html]],"&gt;"),"&gt;")&amp;"&gt;"</f>
        <v>&lt;a href="canciones/nuevas/evangelio.html"&gt;</v>
      </c>
    </row>
    <row r="1238" spans="1:23" x14ac:dyDescent="0.3">
      <c r="A1238" s="1">
        <f>ROW(CantoralDB[[#This Row],[Título]])-1</f>
        <v>1237</v>
      </c>
      <c r="B1238" s="1" t="s">
        <v>1155</v>
      </c>
      <c r="C1238" s="1"/>
      <c r="E1238" s="1">
        <v>3</v>
      </c>
      <c r="H1238" s="1" t="s">
        <v>1027</v>
      </c>
      <c r="J1238" s="1" t="s">
        <v>608</v>
      </c>
      <c r="M1238" s="15" t="s">
        <v>2142</v>
      </c>
      <c r="N1238" s="15"/>
      <c r="O1238" s="15"/>
      <c r="P1238" s="15" t="str" cm="1">
        <f t="array" ref="P1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38" s="15" t="str" cm="1">
        <f t="array" ref="Q1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canciones/nsb/acuerdate_de_jesucristo.html</v>
      </c>
      <c r="S1238" s="1"/>
      <c r="T1238" s="1"/>
      <c r="U1238" s="1"/>
      <c r="V1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data-nold="3"&gt;&lt;a href="canciones/nsb/acuerdate_de_jesucristo.html"&gt;Acuérdate de Jesucristo&lt;/a&gt;&lt;/li&gt;</v>
      </c>
      <c r="W1238" s="15" t="str">
        <f>_xlfn.TEXTBEFORE(_xlfn.TEXTAFTER(CantoralDB[[#This Row],[index.html]],"&gt;"),"&gt;")&amp;"&gt;"</f>
        <v>&lt;a href="canciones/nsb/acuerdate_de_jesucristo.html"&gt;</v>
      </c>
    </row>
    <row r="1239" spans="1:23" x14ac:dyDescent="0.3">
      <c r="A1239" s="1">
        <f>ROW(CantoralDB[[#This Row],[Título]])-1</f>
        <v>1238</v>
      </c>
      <c r="B1239" s="1" t="s">
        <v>1164</v>
      </c>
      <c r="C1239" s="1" t="s">
        <v>199</v>
      </c>
      <c r="D1239" s="1" t="s">
        <v>1385</v>
      </c>
      <c r="E1239" s="1">
        <v>22</v>
      </c>
      <c r="G1239" s="1" t="s">
        <v>209</v>
      </c>
      <c r="H1239" s="1" t="s">
        <v>1028</v>
      </c>
      <c r="J1239" s="1" t="s">
        <v>608</v>
      </c>
      <c r="M1239" s="15" t="s">
        <v>2142</v>
      </c>
      <c r="N1239" s="15"/>
      <c r="O1239" s="15"/>
      <c r="P1239" s="15" t="str" cm="1">
        <f t="array" ref="P1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39" s="15" t="str" cm="1">
        <f t="array" ref="Q1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canciones/nsb/anunciaremos_tu_reino_señor.html</v>
      </c>
      <c r="S1239" s="1" t="s">
        <v>806</v>
      </c>
      <c r="T1239" s="1"/>
      <c r="U1239" s="1"/>
      <c r="V1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data-momento="Despedida" data-nnew="L01" data-nold="22"&gt;&lt;a href="canciones/nsb/anunciaremos_tu_reino_señor.html"&gt;Anunciaremos tu Reino, Señor&lt;/a&gt;&lt;/li&gt;</v>
      </c>
      <c r="W1239" s="15" t="str">
        <f>_xlfn.TEXTBEFORE(_xlfn.TEXTAFTER(CantoralDB[[#This Row],[index.html]],"&gt;"),"&gt;")&amp;"&gt;"</f>
        <v>&lt;a href="canciones/nsb/anunciaremos_tu_reino_señor.html"&gt;</v>
      </c>
    </row>
    <row r="1240" spans="1:23" x14ac:dyDescent="0.3">
      <c r="A1240" s="1">
        <f>ROW(CantoralDB[[#This Row],[Título]])-1</f>
        <v>1239</v>
      </c>
      <c r="B1240" s="1" t="s">
        <v>1297</v>
      </c>
      <c r="C1240" s="1"/>
      <c r="E1240" s="1">
        <v>194</v>
      </c>
      <c r="H1240" s="1" t="s">
        <v>531</v>
      </c>
      <c r="J1240" s="1" t="s">
        <v>608</v>
      </c>
      <c r="M1240" s="15" t="s">
        <v>2142</v>
      </c>
      <c r="N1240" s="15"/>
      <c r="O1240" s="15"/>
      <c r="P1240" s="15" t="str" cm="1">
        <f t="array" ref="P1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40" s="15" t="str" cm="1">
        <f t="array" ref="Q1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canciones/nsb/oh_señor_envia_tu_espiritu.html</v>
      </c>
      <c r="S1240" s="1"/>
      <c r="T1240" s="1"/>
      <c r="U1240" s="14" t="s">
        <v>2998</v>
      </c>
      <c r="V1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data-nold="194"&gt;&lt;a href="canciones/nsb/oh_señor_envia_tu_espiritu.html"&gt;Oh, Señor, envía tu Espíritu&lt;/a&gt;&lt;/li&gt;</v>
      </c>
      <c r="W1240" s="15" t="str">
        <f>_xlfn.TEXTBEFORE(_xlfn.TEXTAFTER(CantoralDB[[#This Row],[index.html]],"&gt;"),"&gt;")&amp;"&gt;"</f>
        <v>&lt;a href="canciones/nsb/oh_señor_envia_tu_espiritu.html"&gt;</v>
      </c>
    </row>
    <row r="1241" spans="1:23" x14ac:dyDescent="0.3">
      <c r="A1241" s="1">
        <f>ROW(CantoralDB[[#This Row],[Título]])-1</f>
        <v>1240</v>
      </c>
      <c r="B1241" s="1" t="s">
        <v>1337</v>
      </c>
      <c r="C1241" s="1"/>
      <c r="E1241" s="1">
        <v>268</v>
      </c>
      <c r="H1241" s="1" t="s">
        <v>1030</v>
      </c>
      <c r="J1241" s="1" t="s">
        <v>608</v>
      </c>
      <c r="M1241" s="15" t="s">
        <v>2142</v>
      </c>
      <c r="N1241" s="15"/>
      <c r="O1241" s="15"/>
      <c r="P1241" s="15" t="str" cm="1">
        <f t="array" ref="P1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41" s="15" t="str" cm="1">
        <f t="array" ref="Q1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canciones/nsb/un_solo_señor.html</v>
      </c>
      <c r="S1241" s="1"/>
      <c r="T1241" s="1"/>
      <c r="U1241" s="33" t="s">
        <v>2999</v>
      </c>
      <c r="V1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data-author="Lucien Deiss" data-nold="268"&gt;&lt;a href="canciones/nsb/un_solo_señor.html"&gt;Un solo Señor&lt;/a&gt;&lt;/li&gt;</v>
      </c>
      <c r="W1241" s="15" t="str">
        <f>_xlfn.TEXTBEFORE(_xlfn.TEXTAFTER(CantoralDB[[#This Row],[index.html]],"&gt;"),"&gt;")&amp;"&gt;"</f>
        <v>&lt;a href="canciones/nsb/un_solo_señor.html"&gt;</v>
      </c>
    </row>
    <row r="1242" spans="1:23" x14ac:dyDescent="0.3">
      <c r="A1242" s="1">
        <f>ROW(CantoralDB[[#This Row],[Título]])-1</f>
        <v>1241</v>
      </c>
      <c r="B1242" s="1" t="s">
        <v>193</v>
      </c>
      <c r="C1242" s="1"/>
      <c r="F1242" s="1">
        <v>333</v>
      </c>
      <c r="J1242" s="1"/>
      <c r="M1242" s="15" t="s">
        <v>2713</v>
      </c>
      <c r="N1242" s="15"/>
      <c r="O1242" s="15"/>
      <c r="P1242" s="15" t="str" cm="1">
        <f t="array" ref="P1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42" s="15" t="str" cm="1">
        <f t="array" ref="Q1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canciones/nuevas/gloria.html</v>
      </c>
      <c r="S1242" s="1"/>
      <c r="T1242" s="1"/>
      <c r="U1242" s="1"/>
      <c r="V1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Alberto González"&gt;&lt;a href="canciones/nuevas/gloria.html"&gt;Gloria&lt;/a&gt;&lt;/li&gt;</v>
      </c>
      <c r="W1242" s="15" t="str">
        <f>_xlfn.TEXTBEFORE(_xlfn.TEXTAFTER(CantoralDB[[#This Row],[index.html]],"&gt;"),"&gt;")&amp;"&gt;"</f>
        <v>&lt;a href="canciones/nuevas/gloria.html"&gt;</v>
      </c>
    </row>
    <row r="1243" spans="1:23" x14ac:dyDescent="0.3">
      <c r="A1243" s="1">
        <f>ROW(CantoralDB[[#This Row],[Título]])-1</f>
        <v>1242</v>
      </c>
      <c r="B1243" s="1" t="s">
        <v>2886</v>
      </c>
      <c r="C1243" s="1"/>
      <c r="E1243" s="1">
        <v>47</v>
      </c>
      <c r="H1243" s="1" t="s">
        <v>531</v>
      </c>
      <c r="J1243" s="1" t="s">
        <v>608</v>
      </c>
      <c r="M1243" s="15" t="s">
        <v>2400</v>
      </c>
      <c r="N1243" s="15"/>
      <c r="O1243" s="15"/>
      <c r="P1243" s="15" t="str" cm="1">
        <f t="array" ref="P1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243" s="15" t="str" cm="1">
        <f t="array" ref="Q1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canciones/luis_alfredo_diaz/compartir.html</v>
      </c>
      <c r="S1243" s="1"/>
      <c r="T1243" s="1"/>
      <c r="U1243" s="1"/>
      <c r="V1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data-nold="47"&gt;&lt;a href="canciones/luis_alfredo_diaz/compartir.html"&gt;Compartir&lt;/a&gt;&lt;/li&gt;</v>
      </c>
      <c r="W1243" s="15" t="str">
        <f>_xlfn.TEXTBEFORE(_xlfn.TEXTAFTER(CantoralDB[[#This Row],[index.html]],"&gt;"),"&gt;")&amp;"&gt;"</f>
        <v>&lt;a href="canciones/luis_alfredo_diaz/compartir.html"&gt;</v>
      </c>
    </row>
    <row r="1244" spans="1:23" x14ac:dyDescent="0.3">
      <c r="A1244" s="1">
        <f>ROW(CantoralDB[[#This Row],[Título]])-1</f>
        <v>1243</v>
      </c>
      <c r="B1244" s="1" t="s">
        <v>1318</v>
      </c>
      <c r="C1244" s="1"/>
      <c r="E1244" s="1">
        <v>238</v>
      </c>
      <c r="J1244" s="1"/>
      <c r="M1244" s="15" t="s">
        <v>2400</v>
      </c>
      <c r="N1244" s="15"/>
      <c r="O1244" s="15"/>
      <c r="P1244" s="15" t="str" cm="1">
        <f t="array" ref="P1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244" s="15" t="str" cm="1">
        <f t="array" ref="Q1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canciones/luis_alfredo_diaz/solidaridad.html</v>
      </c>
      <c r="S1244" s="1"/>
      <c r="T1244" s="1"/>
      <c r="U1244" s="1"/>
      <c r="V1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data-nold="238"&gt;&lt;a href="canciones/luis_alfredo_diaz/solidaridad.html"&gt;Solidaridad&lt;/a&gt;&lt;/li&gt;</v>
      </c>
      <c r="W1244" s="15" t="str">
        <f>_xlfn.TEXTBEFORE(_xlfn.TEXTAFTER(CantoralDB[[#This Row],[index.html]],"&gt;"),"&gt;")&amp;"&gt;"</f>
        <v>&lt;a href="canciones/luis_alfredo_diaz/solidaridad.html"&gt;</v>
      </c>
    </row>
    <row r="1245" spans="1:23" x14ac:dyDescent="0.3">
      <c r="A1245" s="1">
        <f>ROW(CantoralDB[[#This Row],[Título]])-1</f>
        <v>1244</v>
      </c>
      <c r="B1245" s="1" t="s">
        <v>1339</v>
      </c>
      <c r="C1245" s="1"/>
      <c r="E1245" s="1">
        <v>273</v>
      </c>
      <c r="J1245" s="1"/>
      <c r="M1245" s="15" t="s">
        <v>2400</v>
      </c>
      <c r="N1245" s="15"/>
      <c r="O1245" s="15"/>
      <c r="P1245" s="15" t="str" cm="1">
        <f t="array" ref="P1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245" s="15" t="str" cm="1">
        <f t="array" ref="Q1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canciones/luis_alfredo_diaz/un_nuevo_reino_esta_amaneciendo.html</v>
      </c>
      <c r="S1245" s="1"/>
      <c r="T1245" s="1"/>
      <c r="U1245" s="1"/>
      <c r="V1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data-nold="273"&gt;&lt;a href="canciones/luis_alfredo_diaz/un_nuevo_reino_esta_amaneciendo.html"&gt;Un nuevo Reino está amaneciendo&lt;/a&gt;&lt;/li&gt;</v>
      </c>
      <c r="W1245" s="15" t="str">
        <f>_xlfn.TEXTBEFORE(_xlfn.TEXTAFTER(CantoralDB[[#This Row],[index.html]],"&gt;"),"&gt;")&amp;"&gt;"</f>
        <v>&lt;a href="canciones/luis_alfredo_diaz/un_nuevo_reino_esta_amaneciendo.html"&gt;</v>
      </c>
    </row>
    <row r="1246" spans="1:23" x14ac:dyDescent="0.3">
      <c r="A1246" s="1">
        <f>ROW(CantoralDB[[#This Row],[Título]])-1</f>
        <v>1245</v>
      </c>
      <c r="B1246" s="1" t="s">
        <v>97</v>
      </c>
      <c r="C1246" s="1" t="s">
        <v>201</v>
      </c>
      <c r="D1246" s="1" t="s">
        <v>665</v>
      </c>
      <c r="E1246" s="1">
        <v>440</v>
      </c>
      <c r="F1246" s="1">
        <v>91</v>
      </c>
      <c r="G1246" s="1" t="s">
        <v>209</v>
      </c>
      <c r="H1246" s="1" t="s">
        <v>1027</v>
      </c>
      <c r="J1246" s="1" t="s">
        <v>608</v>
      </c>
      <c r="M1246" s="15" t="s">
        <v>2400</v>
      </c>
      <c r="N1246" s="15"/>
      <c r="O1246" s="15"/>
      <c r="P1246" s="15" t="str" cm="1">
        <f t="array" ref="P1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246" s="15" t="str" cm="1">
        <f t="array" ref="Q1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canciones/luis_alfredo_diaz/no_adoreis_a_nadie.html</v>
      </c>
      <c r="S1246" s="1" t="s">
        <v>847</v>
      </c>
      <c r="T1246" s="1"/>
      <c r="U1246" s="1"/>
      <c r="V1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data-momento="Antífonas" data-nnew="D27" data-nold="440"&gt;&lt;a href="canciones/luis_alfredo_diaz/no_adoreis_a_nadie.html"&gt;No adoréis a nadie&lt;/a&gt;&lt;/li&gt;</v>
      </c>
      <c r="W1246" s="15" t="str">
        <f>_xlfn.TEXTBEFORE(_xlfn.TEXTAFTER(CantoralDB[[#This Row],[index.html]],"&gt;"),"&gt;")&amp;"&gt;"</f>
        <v>&lt;a href="canciones/luis_alfredo_diaz/no_adoreis_a_nadie.html"&gt;</v>
      </c>
    </row>
    <row r="1247" spans="1:23" x14ac:dyDescent="0.3">
      <c r="A1247" s="1">
        <f>ROW(CantoralDB[[#This Row],[Título]])-1</f>
        <v>1246</v>
      </c>
      <c r="B1247" s="1" t="s">
        <v>120</v>
      </c>
      <c r="C1247" s="1" t="s">
        <v>195</v>
      </c>
      <c r="D1247" s="1" t="s">
        <v>768</v>
      </c>
      <c r="E1247" s="1">
        <v>450</v>
      </c>
      <c r="F1247" s="1">
        <v>401</v>
      </c>
      <c r="G1247" s="1" t="s">
        <v>209</v>
      </c>
      <c r="H1247" s="1" t="s">
        <v>1030</v>
      </c>
      <c r="J1247" s="1" t="s">
        <v>608</v>
      </c>
      <c r="M1247" s="15" t="s">
        <v>2400</v>
      </c>
      <c r="N1247" s="15"/>
      <c r="O1247" s="15"/>
      <c r="P1247" s="15" t="str" cm="1">
        <f t="array" ref="P1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247" s="15" t="str" cm="1">
        <f t="array" ref="Q1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canciones/luis_alfredo_diaz/que_te_puedo_dar.html</v>
      </c>
      <c r="S1247" s="1"/>
      <c r="T1247" s="1"/>
      <c r="U1247" s="1"/>
      <c r="V1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data-momento="Ofertorio" data-nnew="F13" data-nold="450"&gt;&lt;a href="canciones/luis_alfredo_diaz/que_te_puedo_dar.html"&gt;Qué te puedo dar&lt;/a&gt;&lt;/li&gt;</v>
      </c>
      <c r="W1247" s="15" t="str">
        <f>_xlfn.TEXTBEFORE(_xlfn.TEXTAFTER(CantoralDB[[#This Row],[index.html]],"&gt;"),"&gt;")&amp;"&gt;"</f>
        <v>&lt;a href="canciones/luis_alfredo_diaz/que_te_puedo_dar.html"&gt;</v>
      </c>
    </row>
    <row r="1248" spans="1:23" x14ac:dyDescent="0.3">
      <c r="A1248" s="1">
        <f>ROW(CantoralDB[[#This Row],[Título]])-1</f>
        <v>1247</v>
      </c>
      <c r="B1248" s="1" t="s">
        <v>139</v>
      </c>
      <c r="C1248" s="1" t="s">
        <v>993</v>
      </c>
      <c r="D1248" s="1" t="s">
        <v>1007</v>
      </c>
      <c r="E1248" s="1">
        <v>463</v>
      </c>
      <c r="F1248" s="1">
        <v>26</v>
      </c>
      <c r="G1248" s="1" t="s">
        <v>209</v>
      </c>
      <c r="H1248" s="1" t="s">
        <v>531</v>
      </c>
      <c r="J1248" s="1" t="s">
        <v>608</v>
      </c>
      <c r="M1248" s="15" t="s">
        <v>2400</v>
      </c>
      <c r="N1248" s="15"/>
      <c r="O1248" s="15"/>
      <c r="P1248" s="15" t="str" cm="1">
        <f t="array" ref="P1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248" s="15" t="str" cm="1">
        <f t="array" ref="Q1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canciones/luis_alfredo_diaz/tan_cerca_de_mi.html</v>
      </c>
      <c r="S1248" s="1"/>
      <c r="T1248" s="1"/>
      <c r="U1248" s="1"/>
      <c r="V1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data-momento="Comunión" data-nnew="K70" data-nold="463"&gt;&lt;a href="canciones/luis_alfredo_diaz/tan_cerca_de_mi.html"&gt;Tan cerca de mí&lt;/a&gt;&lt;/li&gt;</v>
      </c>
      <c r="W1248" s="15" t="str">
        <f>_xlfn.TEXTBEFORE(_xlfn.TEXTAFTER(CantoralDB[[#This Row],[index.html]],"&gt;"),"&gt;")&amp;"&gt;"</f>
        <v>&lt;a href="canciones/luis_alfredo_diaz/tan_cerca_de_mi.html"&gt;</v>
      </c>
    </row>
    <row r="1249" spans="1:23" x14ac:dyDescent="0.3">
      <c r="A1249" s="1">
        <f>ROW(CantoralDB[[#This Row],[Título]])-1</f>
        <v>1248</v>
      </c>
      <c r="B1249" s="1" t="s">
        <v>2399</v>
      </c>
      <c r="C1249" s="1"/>
      <c r="F1249" s="1">
        <v>14</v>
      </c>
      <c r="J1249" s="1"/>
      <c r="M1249" s="15" t="s">
        <v>2400</v>
      </c>
      <c r="N1249" s="15"/>
      <c r="O1249" s="15"/>
      <c r="P1249" s="15" t="str" cm="1">
        <f t="array" ref="P1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249" s="15" t="str" cm="1">
        <f t="array" ref="Q1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canciones/luis_alfredo_diaz/quiero_decir_que_si.html</v>
      </c>
      <c r="S1249" s="1"/>
      <c r="T1249" s="1"/>
      <c r="U1249" s="1"/>
      <c r="V1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href="canciones/luis_alfredo_diaz/quiero_decir_que_si.html"&gt;Quiero decir que sí&lt;/a&gt;&lt;/li&gt;</v>
      </c>
      <c r="W1249" s="15" t="str">
        <f>_xlfn.TEXTBEFORE(_xlfn.TEXTAFTER(CantoralDB[[#This Row],[index.html]],"&gt;"),"&gt;")&amp;"&gt;"</f>
        <v>&lt;a href="canciones/luis_alfredo_diaz/quiero_decir_que_si.html"&gt;</v>
      </c>
    </row>
    <row r="1250" spans="1:23" x14ac:dyDescent="0.3">
      <c r="A1250" s="1">
        <f>ROW(CantoralDB[[#This Row],[Título]])-1</f>
        <v>1249</v>
      </c>
      <c r="B1250" s="1" t="s">
        <v>2423</v>
      </c>
      <c r="C1250" s="1"/>
      <c r="F1250" s="1">
        <v>37</v>
      </c>
      <c r="J1250" s="1"/>
      <c r="M1250" s="15" t="s">
        <v>2400</v>
      </c>
      <c r="N1250" s="15"/>
      <c r="O1250" s="15"/>
      <c r="P1250" s="15" t="str" cm="1">
        <f t="array" ref="P1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250" s="15" t="str" cm="1">
        <f t="array" ref="Q1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canciones/luis_alfredo_diaz/gloria_yo_soy_libre.html</v>
      </c>
      <c r="S1250" s="1"/>
      <c r="T1250" s="1"/>
      <c r="U1250" s="1"/>
      <c r="V1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href="canciones/luis_alfredo_diaz/gloria_yo_soy_libre.html"&gt;Gloria, yo soy libre&lt;/a&gt;&lt;/li&gt;</v>
      </c>
      <c r="W1250" s="15" t="str">
        <f>_xlfn.TEXTBEFORE(_xlfn.TEXTAFTER(CantoralDB[[#This Row],[index.html]],"&gt;"),"&gt;")&amp;"&gt;"</f>
        <v>&lt;a href="canciones/luis_alfredo_diaz/gloria_yo_soy_libre.html"&gt;</v>
      </c>
    </row>
    <row r="1251" spans="1:23" x14ac:dyDescent="0.3">
      <c r="A1251" s="1">
        <f>ROW(CantoralDB[[#This Row],[Título]])-1</f>
        <v>1250</v>
      </c>
      <c r="B1251" s="1" t="s">
        <v>2484</v>
      </c>
      <c r="C1251" s="1"/>
      <c r="F1251" s="1">
        <v>92</v>
      </c>
      <c r="J1251" s="1"/>
      <c r="M1251" s="15" t="s">
        <v>2400</v>
      </c>
      <c r="N1251" s="15"/>
      <c r="O1251" s="15"/>
      <c r="P1251" s="15" t="str" cm="1">
        <f t="array" ref="P1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251" s="15" t="str" cm="1">
        <f t="array" ref="Q1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canciones/luis_alfredo_diaz/cuando_escuches.html</v>
      </c>
      <c r="S1251" s="1"/>
      <c r="T1251" s="1"/>
      <c r="U1251" s="1"/>
      <c r="V1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href="canciones/luis_alfredo_diaz/cuando_escuches.html"&gt;Cuando escuches&lt;/a&gt;&lt;/li&gt;</v>
      </c>
      <c r="W1251" s="15" t="str">
        <f>_xlfn.TEXTBEFORE(_xlfn.TEXTAFTER(CantoralDB[[#This Row],[index.html]],"&gt;"),"&gt;")&amp;"&gt;"</f>
        <v>&lt;a href="canciones/luis_alfredo_diaz/cuando_escuches.html"&gt;</v>
      </c>
    </row>
    <row r="1252" spans="1:23" x14ac:dyDescent="0.3">
      <c r="A1252" s="1">
        <f>ROW(CantoralDB[[#This Row],[Título]])-1</f>
        <v>1251</v>
      </c>
      <c r="B1252" s="1" t="s">
        <v>2541</v>
      </c>
      <c r="C1252" s="1"/>
      <c r="F1252" s="1">
        <v>145</v>
      </c>
      <c r="J1252" s="1"/>
      <c r="M1252" s="15" t="s">
        <v>2400</v>
      </c>
      <c r="N1252" s="15"/>
      <c r="O1252" s="15"/>
      <c r="P1252" s="15" t="str" cm="1">
        <f t="array" ref="P1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252" s="15" t="str" cm="1">
        <f t="array" ref="Q1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canciones/luis_alfredo_diaz/yo_no_soy_nada.html</v>
      </c>
      <c r="S1252" s="1"/>
      <c r="T1252" s="1"/>
      <c r="U1252" s="1"/>
      <c r="V1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href="canciones/luis_alfredo_diaz/yo_no_soy_nada.html"&gt;Yo no soy nada&lt;/a&gt;&lt;/li&gt;</v>
      </c>
      <c r="W1252" s="15" t="str">
        <f>_xlfn.TEXTBEFORE(_xlfn.TEXTAFTER(CantoralDB[[#This Row],[index.html]],"&gt;"),"&gt;")&amp;"&gt;"</f>
        <v>&lt;a href="canciones/luis_alfredo_diaz/yo_no_soy_nada.html"&gt;</v>
      </c>
    </row>
    <row r="1253" spans="1:23" x14ac:dyDescent="0.3">
      <c r="A1253" s="1">
        <f>ROW(CantoralDB[[#This Row],[Título]])-1</f>
        <v>1252</v>
      </c>
      <c r="B1253" s="1" t="s">
        <v>2549</v>
      </c>
      <c r="C1253" s="1"/>
      <c r="F1253" s="1">
        <v>153</v>
      </c>
      <c r="J1253" s="1"/>
      <c r="M1253" s="15" t="s">
        <v>2400</v>
      </c>
      <c r="N1253" s="15"/>
      <c r="O1253" s="15"/>
      <c r="P1253" s="15" t="str" cm="1">
        <f t="array" ref="P1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253" s="15" t="str" cm="1">
        <f t="array" ref="Q1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canciones/luis_alfredo_diaz/aqui_el_esta.html</v>
      </c>
      <c r="S1253" s="1"/>
      <c r="T1253" s="1"/>
      <c r="U1253" s="1"/>
      <c r="V1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href="canciones/luis_alfredo_diaz/aqui_el_esta.html"&gt;Aquí él está&lt;/a&gt;&lt;/li&gt;</v>
      </c>
      <c r="W1253" s="15" t="str">
        <f>_xlfn.TEXTBEFORE(_xlfn.TEXTAFTER(CantoralDB[[#This Row],[index.html]],"&gt;"),"&gt;")&amp;"&gt;"</f>
        <v>&lt;a href="canciones/luis_alfredo_diaz/aqui_el_esta.html"&gt;</v>
      </c>
    </row>
    <row r="1254" spans="1:23" x14ac:dyDescent="0.3">
      <c r="A1254" s="1">
        <f>ROW(CantoralDB[[#This Row],[Título]])-1</f>
        <v>1253</v>
      </c>
      <c r="B1254" s="1" t="s">
        <v>2572</v>
      </c>
      <c r="C1254" s="1"/>
      <c r="F1254" s="1">
        <v>173</v>
      </c>
      <c r="J1254" s="1"/>
      <c r="M1254" s="15" t="s">
        <v>2400</v>
      </c>
      <c r="N1254" s="15"/>
      <c r="O1254" s="15"/>
      <c r="P1254" s="15" t="str" cm="1">
        <f t="array" ref="P1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254" s="15" t="str" cm="1">
        <f t="array" ref="Q1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canciones/luis_alfredo_diaz/amar.html</v>
      </c>
      <c r="S1254" s="1"/>
      <c r="T1254" s="1"/>
      <c r="U1254" s="1"/>
      <c r="V1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href="canciones/luis_alfredo_diaz/amar.html"&gt;Amar&lt;/a&gt;&lt;/li&gt;</v>
      </c>
      <c r="W1254" s="15" t="str">
        <f>_xlfn.TEXTBEFORE(_xlfn.TEXTAFTER(CantoralDB[[#This Row],[index.html]],"&gt;"),"&gt;")&amp;"&gt;"</f>
        <v>&lt;a href="canciones/luis_alfredo_diaz/amar.html"&gt;</v>
      </c>
    </row>
    <row r="1255" spans="1:23" x14ac:dyDescent="0.3">
      <c r="A1255" s="1">
        <f>ROW(CantoralDB[[#This Row],[Título]])-1</f>
        <v>1254</v>
      </c>
      <c r="B1255" s="1" t="s">
        <v>2574</v>
      </c>
      <c r="C1255" s="1"/>
      <c r="F1255" s="1">
        <v>176</v>
      </c>
      <c r="J1255" s="1"/>
      <c r="M1255" s="15" t="s">
        <v>2400</v>
      </c>
      <c r="N1255" s="15"/>
      <c r="O1255" s="15"/>
      <c r="P1255" s="15" t="str" cm="1">
        <f t="array" ref="P1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255" s="15" t="str" cm="1">
        <f t="array" ref="Q1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canciones/luis_alfredo_diaz/no_quiero_ser_santa_a_medias.html</v>
      </c>
      <c r="S1255" s="1"/>
      <c r="T1255" s="1"/>
      <c r="U1255" s="1"/>
      <c r="V1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href="canciones/luis_alfredo_diaz/no_quiero_ser_santa_a_medias.html"&gt;No quiero ser santa a medias&lt;/a&gt;&lt;/li&gt;</v>
      </c>
      <c r="W1255" s="15" t="str">
        <f>_xlfn.TEXTBEFORE(_xlfn.TEXTAFTER(CantoralDB[[#This Row],[index.html]],"&gt;"),"&gt;")&amp;"&gt;"</f>
        <v>&lt;a href="canciones/luis_alfredo_diaz/no_quiero_ser_santa_a_medias.html"&gt;</v>
      </c>
    </row>
    <row r="1256" spans="1:23" x14ac:dyDescent="0.3">
      <c r="A1256" s="1">
        <f>ROW(CantoralDB[[#This Row],[Título]])-1</f>
        <v>1255</v>
      </c>
      <c r="B1256" s="1" t="s">
        <v>2580</v>
      </c>
      <c r="C1256" s="1"/>
      <c r="F1256" s="1">
        <v>181</v>
      </c>
      <c r="J1256" s="1"/>
      <c r="M1256" s="15" t="s">
        <v>2400</v>
      </c>
      <c r="N1256" s="15"/>
      <c r="O1256" s="15"/>
      <c r="P1256" s="15" t="str" cm="1">
        <f t="array" ref="P1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256" s="15" t="str" cm="1">
        <f t="array" ref="Q1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canciones/luis_alfredo_diaz/ahora_no_tengo.html</v>
      </c>
      <c r="S1256" s="1"/>
      <c r="T1256" s="1"/>
      <c r="U1256" s="1"/>
      <c r="V1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href="canciones/luis_alfredo_diaz/ahora_no_tengo.html"&gt;Ahora no tengo&lt;/a&gt;&lt;/li&gt;</v>
      </c>
      <c r="W1256" s="15" t="str">
        <f>_xlfn.TEXTBEFORE(_xlfn.TEXTAFTER(CantoralDB[[#This Row],[index.html]],"&gt;"),"&gt;")&amp;"&gt;"</f>
        <v>&lt;a href="canciones/luis_alfredo_diaz/ahora_no_tengo.html"&gt;</v>
      </c>
    </row>
    <row r="1257" spans="1:23" x14ac:dyDescent="0.3">
      <c r="A1257" s="1">
        <f>ROW(CantoralDB[[#This Row],[Título]])-1</f>
        <v>1256</v>
      </c>
      <c r="B1257" s="1" t="s">
        <v>2583</v>
      </c>
      <c r="C1257" s="1"/>
      <c r="F1257" s="1">
        <v>184</v>
      </c>
      <c r="J1257" s="1"/>
      <c r="M1257" s="15" t="s">
        <v>2400</v>
      </c>
      <c r="N1257" s="15"/>
      <c r="O1257" s="15"/>
      <c r="P1257" s="15" t="str" cm="1">
        <f t="array" ref="P1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257" s="15" t="str" cm="1">
        <f t="array" ref="Q1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canciones/luis_alfredo_diaz/deseo_ser_santa.html</v>
      </c>
      <c r="S1257" s="1"/>
      <c r="T1257" s="1"/>
      <c r="U1257" s="1"/>
      <c r="V1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href="canciones/luis_alfredo_diaz/deseo_ser_santa.html"&gt;Deseo ser santa&lt;/a&gt;&lt;/li&gt;</v>
      </c>
      <c r="W1257" s="15" t="str">
        <f>_xlfn.TEXTBEFORE(_xlfn.TEXTAFTER(CantoralDB[[#This Row],[index.html]],"&gt;"),"&gt;")&amp;"&gt;"</f>
        <v>&lt;a href="canciones/luis_alfredo_diaz/deseo_ser_santa.html"&gt;</v>
      </c>
    </row>
    <row r="1258" spans="1:23" x14ac:dyDescent="0.3">
      <c r="A1258" s="1">
        <f>ROW(CantoralDB[[#This Row],[Título]])-1</f>
        <v>1257</v>
      </c>
      <c r="B1258" s="1" t="s">
        <v>2588</v>
      </c>
      <c r="C1258" s="1"/>
      <c r="F1258" s="1">
        <v>187</v>
      </c>
      <c r="J1258" s="1"/>
      <c r="M1258" s="15" t="s">
        <v>2400</v>
      </c>
      <c r="N1258" s="15"/>
      <c r="O1258" s="15"/>
      <c r="P1258" s="15" t="str" cm="1">
        <f t="array" ref="P1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258" s="15" t="str" cm="1">
        <f t="array" ref="Q1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canciones/luis_alfredo_diaz/lo_que_agrada_a_dios.html</v>
      </c>
      <c r="S1258" s="1"/>
      <c r="T1258" s="1"/>
      <c r="U1258" s="1"/>
      <c r="V1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href="canciones/luis_alfredo_diaz/lo_que_agrada_a_dios.html"&gt;Lo que agrada a Dios&lt;/a&gt;&lt;/li&gt;</v>
      </c>
      <c r="W1258" s="15" t="str">
        <f>_xlfn.TEXTBEFORE(_xlfn.TEXTAFTER(CantoralDB[[#This Row],[index.html]],"&gt;"),"&gt;")&amp;"&gt;"</f>
        <v>&lt;a href="canciones/luis_alfredo_diaz/lo_que_agrada_a_dios.html"&gt;</v>
      </c>
    </row>
    <row r="1259" spans="1:23" x14ac:dyDescent="0.3">
      <c r="A1259" s="1">
        <f>ROW(CantoralDB[[#This Row],[Título]])-1</f>
        <v>1258</v>
      </c>
      <c r="B1259" s="1" t="s">
        <v>2589</v>
      </c>
      <c r="C1259" s="1"/>
      <c r="F1259" s="1">
        <v>189</v>
      </c>
      <c r="J1259" s="1"/>
      <c r="M1259" s="15" t="s">
        <v>2400</v>
      </c>
      <c r="N1259" s="15"/>
      <c r="O1259" s="15"/>
      <c r="P1259" s="15" t="str" cm="1">
        <f t="array" ref="P1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259" s="15" t="str" cm="1">
        <f t="array" ref="Q1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canciones/luis_alfredo_diaz/que_bueno_es_alabarte.html</v>
      </c>
      <c r="S1259" s="1"/>
      <c r="T1259" s="1"/>
      <c r="U1259" s="1"/>
      <c r="V1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href="canciones/luis_alfredo_diaz/que_bueno_es_alabarte.html"&gt;Qué bueno es alabarte&lt;/a&gt;&lt;/li&gt;</v>
      </c>
      <c r="W1259" s="15" t="str">
        <f>_xlfn.TEXTBEFORE(_xlfn.TEXTAFTER(CantoralDB[[#This Row],[index.html]],"&gt;"),"&gt;")&amp;"&gt;"</f>
        <v>&lt;a href="canciones/luis_alfredo_diaz/que_bueno_es_alabarte.html"&gt;</v>
      </c>
    </row>
    <row r="1260" spans="1:23" x14ac:dyDescent="0.3">
      <c r="A1260" s="1">
        <f>ROW(CantoralDB[[#This Row],[Título]])-1</f>
        <v>1259</v>
      </c>
      <c r="B1260" s="1" t="s">
        <v>2659</v>
      </c>
      <c r="C1260" s="1"/>
      <c r="F1260" s="1">
        <v>272</v>
      </c>
      <c r="J1260" s="1"/>
      <c r="M1260" s="15" t="s">
        <v>2400</v>
      </c>
      <c r="N1260" s="15"/>
      <c r="O1260" s="15"/>
      <c r="P1260" s="15" t="str" cm="1">
        <f t="array" ref="P1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260" s="15" t="str" cm="1">
        <f t="array" ref="Q1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canciones/luis_alfredo_diaz/vine_a_alabar_a_dios.html</v>
      </c>
      <c r="S1260" s="1"/>
      <c r="T1260" s="1"/>
      <c r="U1260" s="1"/>
      <c r="V1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href="canciones/luis_alfredo_diaz/vine_a_alabar_a_dios.html"&gt;Vine a alabar a Dios&lt;/a&gt;&lt;/li&gt;</v>
      </c>
      <c r="W1260" s="15" t="str">
        <f>_xlfn.TEXTBEFORE(_xlfn.TEXTAFTER(CantoralDB[[#This Row],[index.html]],"&gt;"),"&gt;")&amp;"&gt;"</f>
        <v>&lt;a href="canciones/luis_alfredo_diaz/vine_a_alabar_a_dios.html"&gt;</v>
      </c>
    </row>
    <row r="1261" spans="1:23" x14ac:dyDescent="0.3">
      <c r="A1261" s="1">
        <f>ROW(CantoralDB[[#This Row],[Título]])-1</f>
        <v>1260</v>
      </c>
      <c r="B1261" s="1" t="s">
        <v>2746</v>
      </c>
      <c r="C1261" s="1"/>
      <c r="F1261" s="1">
        <v>361</v>
      </c>
      <c r="J1261" s="1"/>
      <c r="M1261" s="15" t="s">
        <v>2400</v>
      </c>
      <c r="N1261" s="15"/>
      <c r="O1261" s="15"/>
      <c r="P1261" s="15" t="str" cm="1">
        <f t="array" ref="P1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261" s="15" t="str" cm="1">
        <f t="array" ref="Q1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canciones/luis_alfredo_diaz/se_siente_una_paz_tan_grande.html</v>
      </c>
      <c r="S1261" s="1"/>
      <c r="T1261" s="1"/>
      <c r="U1261" s="1"/>
      <c r="V1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Díaz"&gt;&lt;a href="canciones/luis_alfredo_diaz/se_siente_una_paz_tan_grande.html"&gt;Se siente una paz tan grande&lt;/a&gt;&lt;/li&gt;</v>
      </c>
      <c r="W1261" s="15" t="str">
        <f>_xlfn.TEXTBEFORE(_xlfn.TEXTAFTER(CantoralDB[[#This Row],[index.html]],"&gt;"),"&gt;")&amp;"&gt;"</f>
        <v>&lt;a href="canciones/luis_alfredo_diaz/se_siente_una_paz_tan_grande.html"&gt;</v>
      </c>
    </row>
    <row r="1262" spans="1:23" x14ac:dyDescent="0.3">
      <c r="A1262" s="1">
        <f>ROW(CantoralDB[[#This Row],[Título]])-1</f>
        <v>1261</v>
      </c>
      <c r="B1262" s="1" t="s">
        <v>544</v>
      </c>
      <c r="C1262" s="1" t="s">
        <v>993</v>
      </c>
      <c r="D1262" s="1" t="s">
        <v>1016</v>
      </c>
      <c r="G1262" s="1" t="s">
        <v>209</v>
      </c>
      <c r="H1262" s="1" t="s">
        <v>1027</v>
      </c>
      <c r="I1262" s="1" t="s">
        <v>2962</v>
      </c>
      <c r="J1262" s="1" t="s">
        <v>608</v>
      </c>
      <c r="M1262" s="15" t="s">
        <v>2400</v>
      </c>
      <c r="N1262" s="15"/>
      <c r="O1262" s="15"/>
      <c r="P1262" s="15" t="str" cm="1">
        <f t="array" ref="P1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Q1262" s="15" t="str" cm="1">
        <f t="array" ref="Q1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canciones/luis_alfredo_diaz/una_tarde_en_la_playa.html</v>
      </c>
      <c r="S1262" s="1" t="s">
        <v>817</v>
      </c>
      <c r="T1262" s="1"/>
      <c r="U1262" s="1"/>
      <c r="V1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Alfredo Díaz" data-momento="Comunión" data-nnew="K79"&gt;&lt;a href="canciones/luis_alfredo_diaz/una_tarde_en_la_playa.html"&gt;Una tarde en la playa&lt;/a&gt;&lt;/li&gt;</v>
      </c>
      <c r="W1262" s="15" t="str">
        <f>_xlfn.TEXTBEFORE(_xlfn.TEXTAFTER(CantoralDB[[#This Row],[index.html]],"&gt;"),"&gt;")&amp;"&gt;"</f>
        <v>&lt;a href="canciones/luis_alfredo_diaz/una_tarde_en_la_playa.html"&gt;</v>
      </c>
    </row>
    <row r="1263" spans="1:23" x14ac:dyDescent="0.3">
      <c r="A1263" s="1">
        <f>ROW(CantoralDB[[#This Row],[Título]])-1</f>
        <v>1262</v>
      </c>
      <c r="B1263" s="1" t="s">
        <v>2795</v>
      </c>
      <c r="C1263" s="1"/>
      <c r="F1263" s="1">
        <v>404</v>
      </c>
      <c r="J1263" s="1"/>
      <c r="M1263" s="15" t="s">
        <v>2796</v>
      </c>
      <c r="N1263" s="15"/>
      <c r="O1263" s="15"/>
      <c r="P1263" s="15" t="str" cm="1">
        <f t="array" ref="P1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63" s="15" t="str" cm="1">
        <f t="array" ref="Q1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canciones/nuevas/ahora_mas_que_nunca.html</v>
      </c>
      <c r="S1263" s="1"/>
      <c r="T1263" s="1"/>
      <c r="U1263" s="1"/>
      <c r="V1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Enrique Ascoy"&gt;&lt;a href="canciones/nuevas/ahora_mas_que_nunca.html"&gt;Ahora más que nunca&lt;/a&gt;&lt;/li&gt;</v>
      </c>
      <c r="W1263" s="15" t="str">
        <f>_xlfn.TEXTBEFORE(_xlfn.TEXTAFTER(CantoralDB[[#This Row],[index.html]],"&gt;"),"&gt;")&amp;"&gt;"</f>
        <v>&lt;a href="canciones/nuevas/ahora_mas_que_nunca.html"&gt;</v>
      </c>
    </row>
    <row r="1264" spans="1:23" x14ac:dyDescent="0.3">
      <c r="A1264" s="1">
        <f>ROW(CantoralDB[[#This Row],[Título]])-1</f>
        <v>1263</v>
      </c>
      <c r="B1264" s="1" t="s">
        <v>136</v>
      </c>
      <c r="C1264" s="1" t="s">
        <v>201</v>
      </c>
      <c r="D1264" s="1" t="s">
        <v>672</v>
      </c>
      <c r="E1264" s="1">
        <v>461</v>
      </c>
      <c r="G1264" s="1" t="s">
        <v>209</v>
      </c>
      <c r="H1264" s="1" t="s">
        <v>531</v>
      </c>
      <c r="I1264" s="1" t="s">
        <v>2962</v>
      </c>
      <c r="J1264" s="1" t="s">
        <v>608</v>
      </c>
      <c r="M1264" s="15" t="s">
        <v>508</v>
      </c>
      <c r="N1264" s="15"/>
      <c r="O1264" s="15"/>
      <c r="P1264" s="15" t="str" cm="1">
        <f t="array" ref="P1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64" s="15" t="str" cm="1">
        <f t="array" ref="Q1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canciones/nsb/sois_la_sal.html</v>
      </c>
      <c r="S1264" s="1" t="s">
        <v>815</v>
      </c>
      <c r="T1264" s="1"/>
      <c r="U1264" s="1"/>
      <c r="V1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 Guitarra" data-momento="Antífonas" data-nnew="D34" data-nold="461"&gt;&lt;a href="canciones/nsb/sois_la_sal.html"&gt;Sois la sal&lt;/a&gt;&lt;/li&gt;</v>
      </c>
      <c r="W1264" s="15" t="str">
        <f>_xlfn.TEXTBEFORE(_xlfn.TEXTAFTER(CantoralDB[[#This Row],[index.html]],"&gt;"),"&gt;")&amp;"&gt;"</f>
        <v>&lt;a href="canciones/nsb/sois_la_sal.html"&gt;</v>
      </c>
    </row>
    <row r="1265" spans="1:23" x14ac:dyDescent="0.3">
      <c r="A1265" s="1">
        <f>ROW(CantoralDB[[#This Row],[Título]])-1</f>
        <v>1264</v>
      </c>
      <c r="B1265" s="1" t="s">
        <v>2161</v>
      </c>
      <c r="C1265" s="15"/>
      <c r="H1265" s="1" t="s">
        <v>531</v>
      </c>
      <c r="J1265" s="1" t="s">
        <v>608</v>
      </c>
      <c r="M1265" s="15" t="s">
        <v>2958</v>
      </c>
      <c r="N1265" s="15"/>
      <c r="O1265" s="15"/>
      <c r="P1265" s="15" t="str" cm="1">
        <f t="array" ref="P1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65" s="15" t="str" cm="1">
        <f t="array" ref="Q1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canciones/nuevas/dijiste_si.html</v>
      </c>
      <c r="S1265" s="1"/>
      <c r="T1265" s="1"/>
      <c r="U1265" s="1"/>
      <c r="V1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href="canciones/nuevas/dijiste_si.html"&gt;Dijiste sí&lt;/a&gt;&lt;/li&gt;</v>
      </c>
      <c r="W1265" s="15" t="str">
        <f>_xlfn.TEXTBEFORE(_xlfn.TEXTAFTER(CantoralDB[[#This Row],[index.html]],"&gt;"),"&gt;")&amp;"&gt;"</f>
        <v>&lt;a href="canciones/nuevas/dijiste_si.html"&gt;</v>
      </c>
    </row>
    <row r="1266" spans="1:23" x14ac:dyDescent="0.3">
      <c r="A1266" s="1">
        <f>ROW(CantoralDB[[#This Row],[Título]])-1</f>
        <v>1265</v>
      </c>
      <c r="B1266" s="1" t="s">
        <v>2957</v>
      </c>
      <c r="C1266" s="1"/>
      <c r="H1266" s="1" t="s">
        <v>1030</v>
      </c>
      <c r="J1266" s="1" t="s">
        <v>608</v>
      </c>
      <c r="M1266" s="15" t="s">
        <v>2958</v>
      </c>
      <c r="N1266" s="15"/>
      <c r="O1266" s="15"/>
      <c r="P1266" s="15" t="str" cm="1">
        <f t="array" ref="P1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66" s="15" t="str" cm="1">
        <f t="array" ref="Q1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canciones/nuevas/ungidos.html</v>
      </c>
      <c r="S1266" s="1"/>
      <c r="T1266" s="1"/>
      <c r="U1266" s="1"/>
      <c r="V1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href="canciones/nuevas/ungidos.html"&gt;Ungidos&lt;/a&gt;&lt;/li&gt;</v>
      </c>
      <c r="W1266" s="15" t="str">
        <f>_xlfn.TEXTBEFORE(_xlfn.TEXTAFTER(CantoralDB[[#This Row],[index.html]],"&gt;"),"&gt;")&amp;"&gt;"</f>
        <v>&lt;a href="canciones/nuevas/ungidos.html"&gt;</v>
      </c>
    </row>
    <row r="1267" spans="1:23" x14ac:dyDescent="0.3">
      <c r="A1267" s="1">
        <f>ROW(CantoralDB[[#This Row],[Título]])-1</f>
        <v>1266</v>
      </c>
      <c r="B1267" s="1" t="s">
        <v>3017</v>
      </c>
      <c r="C1267" s="1"/>
      <c r="J1267" s="1" t="s">
        <v>608</v>
      </c>
      <c r="M1267" s="15" t="s">
        <v>2958</v>
      </c>
      <c r="N1267" s="15"/>
      <c r="O1267" s="15"/>
      <c r="P1267" s="15" t="str" cm="1">
        <f t="array" ref="P1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67" s="15" t="str" cm="1">
        <f t="array" ref="Q1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canciones/nuevas/petrus_(in_illo_uno_unum).html</v>
      </c>
      <c r="S1267" s="1"/>
      <c r="T1267" s="1"/>
      <c r="U1267" s="1"/>
      <c r="V1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data-author="Luispo"&gt;&lt;a href="canciones/nuevas/petrus_(in_illo_uno_unum).html"&gt;Petrus (In illo uno unum)&lt;/a&gt;&lt;/li&gt;</v>
      </c>
      <c r="W1267" s="15" t="str">
        <f>_xlfn.TEXTBEFORE(_xlfn.TEXTAFTER(CantoralDB[[#This Row],[index.html]],"&gt;"),"&gt;")&amp;"&gt;"</f>
        <v>&lt;a href="canciones/nuevas/petrus_(in_illo_uno_unum).html"&gt;</v>
      </c>
    </row>
    <row r="1268" spans="1:23" x14ac:dyDescent="0.3">
      <c r="A1268" s="1">
        <f>ROW(CantoralDB[[#This Row],[Título]])-1</f>
        <v>1267</v>
      </c>
      <c r="B1268" s="1" t="s">
        <v>2778</v>
      </c>
      <c r="C1268" s="1"/>
      <c r="F1268" s="1">
        <v>389</v>
      </c>
      <c r="J1268" s="1"/>
      <c r="M1268" s="15" t="s">
        <v>2779</v>
      </c>
      <c r="N1268" s="15"/>
      <c r="O1268" s="15"/>
      <c r="P1268" s="15" t="str" cm="1">
        <f t="array" ref="P1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68" s="15" t="str" cm="1">
        <f t="array" ref="Q1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canciones/nuevas/entra_en_la_presencia.html</v>
      </c>
      <c r="S1268" s="1"/>
      <c r="T1268" s="1"/>
      <c r="U1268" s="1"/>
      <c r="V1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data-author="Lynn Baird"&gt;&lt;a href="canciones/nuevas/entra_en_la_presencia.html"&gt;Entra en la presencia&lt;/a&gt;&lt;/li&gt;</v>
      </c>
      <c r="W1268" s="15" t="str">
        <f>_xlfn.TEXTBEFORE(_xlfn.TEXTAFTER(CantoralDB[[#This Row],[index.html]],"&gt;"),"&gt;")&amp;"&gt;"</f>
        <v>&lt;a href="canciones/nuevas/entra_en_la_presencia.html"&gt;</v>
      </c>
    </row>
    <row r="1269" spans="1:23" x14ac:dyDescent="0.3">
      <c r="A1269" s="1">
        <f>ROW(CantoralDB[[#This Row],[Título]])-1</f>
        <v>1268</v>
      </c>
      <c r="B1269" s="1" t="s">
        <v>22</v>
      </c>
      <c r="C1269" s="1" t="s">
        <v>993</v>
      </c>
      <c r="D1269" s="1" t="s">
        <v>1040</v>
      </c>
      <c r="E1269" s="1">
        <v>408</v>
      </c>
      <c r="G1269" s="1" t="s">
        <v>209</v>
      </c>
      <c r="H1269" s="1" t="s">
        <v>531</v>
      </c>
      <c r="I1269" s="1" t="s">
        <v>2963</v>
      </c>
      <c r="J1269" s="1" t="s">
        <v>608</v>
      </c>
      <c r="M1269" s="15" t="s">
        <v>542</v>
      </c>
      <c r="N1269" s="15"/>
      <c r="O1269" s="15"/>
      <c r="P1269" s="15" t="str" cm="1">
        <f t="array" ref="P1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69" s="15" t="str" cm="1">
        <f t="array" ref="Q1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canciones/nsb/amando_hasta_el_extremo.html</v>
      </c>
      <c r="S1269" s="1" t="s">
        <v>804</v>
      </c>
      <c r="T1269" s="1"/>
      <c r="U1269" s="1"/>
      <c r="V1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data-author="Maite López" data-momento="Comunión" data-nnew="K09" data-nold="408"&gt;&lt;a href="canciones/nsb/amando_hasta_el_extremo.html"&gt;Amando hasta el extremo&lt;/a&gt;&lt;/li&gt;</v>
      </c>
      <c r="W1269" s="15" t="str">
        <f>_xlfn.TEXTBEFORE(_xlfn.TEXTAFTER(CantoralDB[[#This Row],[index.html]],"&gt;"),"&gt;")&amp;"&gt;"</f>
        <v>&lt;a href="canciones/nsb/amando_hasta_el_extremo.html"&gt;</v>
      </c>
    </row>
    <row r="1270" spans="1:23" x14ac:dyDescent="0.3">
      <c r="A1270" s="1">
        <f>ROW(CantoralDB[[#This Row],[Título]])-1</f>
        <v>1269</v>
      </c>
      <c r="B1270" s="1" t="s">
        <v>133</v>
      </c>
      <c r="C1270" s="1"/>
      <c r="F1270" s="1">
        <v>103</v>
      </c>
      <c r="J1270" s="1"/>
      <c r="M1270" s="15" t="s">
        <v>2495</v>
      </c>
      <c r="N1270" s="15"/>
      <c r="O1270" s="15"/>
      <c r="P1270" s="15" t="str" cm="1">
        <f t="array" ref="P1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70" s="15" t="str" cm="1">
        <f t="array" ref="Q1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canciones/nuevas/señor_ten_piedad.html</v>
      </c>
      <c r="S1270" s="1"/>
      <c r="T1270" s="1"/>
      <c r="U1270" s="1"/>
      <c r="V1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data-author="Manuel Rosa"&gt;&lt;a href="canciones/nuevas/señor_ten_piedad.html"&gt;Señor, ten piedad&lt;/a&gt;&lt;/li&gt;</v>
      </c>
      <c r="W1270" s="15" t="str">
        <f>_xlfn.TEXTBEFORE(_xlfn.TEXTAFTER(CantoralDB[[#This Row],[index.html]],"&gt;"),"&gt;")&amp;"&gt;"</f>
        <v>&lt;a href="canciones/nuevas/señor_ten_piedad.html"&gt;</v>
      </c>
    </row>
    <row r="1271" spans="1:23" x14ac:dyDescent="0.3">
      <c r="A1271" s="1">
        <f>ROW(CantoralDB[[#This Row],[Título]])-1</f>
        <v>1270</v>
      </c>
      <c r="B1271" s="1" t="s">
        <v>202</v>
      </c>
      <c r="C1271" s="1"/>
      <c r="F1271" s="1">
        <v>129</v>
      </c>
      <c r="J1271" s="1"/>
      <c r="M1271" s="15" t="s">
        <v>2495</v>
      </c>
      <c r="N1271" s="15"/>
      <c r="O1271" s="15"/>
      <c r="P1271" s="15" t="str" cm="1">
        <f t="array" ref="P1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71" s="15" t="str" cm="1">
        <f t="array" ref="Q1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canciones/nuevas/cordero_de_dios.html</v>
      </c>
      <c r="S1271" s="1"/>
      <c r="T1271" s="1"/>
      <c r="U1271" s="1"/>
      <c r="V1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data-author="Manuel Rosa"&gt;&lt;a href="canciones/nuevas/cordero_de_dios.html"&gt;Cordero de Dios&lt;/a&gt;&lt;/li&gt;</v>
      </c>
      <c r="W1271" s="15" t="str">
        <f>_xlfn.TEXTBEFORE(_xlfn.TEXTAFTER(CantoralDB[[#This Row],[index.html]],"&gt;"),"&gt;")&amp;"&gt;"</f>
        <v>&lt;a href="canciones/nuevas/cordero_de_dios.html"&gt;</v>
      </c>
    </row>
    <row r="1272" spans="1:23" x14ac:dyDescent="0.3">
      <c r="A1272" s="1">
        <f>ROW(CantoralDB[[#This Row],[Título]])-1</f>
        <v>1271</v>
      </c>
      <c r="B1272" s="1" t="s">
        <v>124</v>
      </c>
      <c r="C1272" s="1" t="s">
        <v>191</v>
      </c>
      <c r="D1272" s="1" t="s">
        <v>750</v>
      </c>
      <c r="E1272" s="1">
        <v>451</v>
      </c>
      <c r="F1272" s="1">
        <v>299</v>
      </c>
      <c r="G1272" s="1" t="s">
        <v>209</v>
      </c>
      <c r="H1272" s="1" t="s">
        <v>1027</v>
      </c>
      <c r="J1272" s="1" t="s">
        <v>608</v>
      </c>
      <c r="M1272" s="15" t="s">
        <v>490</v>
      </c>
      <c r="N1272" s="15"/>
      <c r="O1272" s="15"/>
      <c r="P1272" s="15" t="str" cm="1">
        <f t="array" ref="P1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72" s="15" t="str" cm="1">
        <f t="array" ref="Q1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canciones/nsb/quiero_alabarte.html</v>
      </c>
      <c r="S1272" s="1"/>
      <c r="T1272" s="1"/>
      <c r="U1272" s="1"/>
      <c r="V1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 data-momento="Entrada" data-nnew="A30" data-nold="451"&gt;&lt;a href="canciones/nsb/quiero_alabarte.html"&gt;Quiero alabarte&lt;/a&gt;&lt;/li&gt;</v>
      </c>
      <c r="W1272" s="15" t="str">
        <f>_xlfn.TEXTBEFORE(_xlfn.TEXTAFTER(CantoralDB[[#This Row],[index.html]],"&gt;"),"&gt;")&amp;"&gt;"</f>
        <v>&lt;a href="canciones/nsb/quiero_alabarte.html"&gt;</v>
      </c>
    </row>
    <row r="1273" spans="1:23" x14ac:dyDescent="0.3">
      <c r="A1273" s="1">
        <f>ROW(CantoralDB[[#This Row],[Título]])-1</f>
        <v>1272</v>
      </c>
      <c r="B1273" s="1" t="s">
        <v>1506</v>
      </c>
      <c r="C1273" s="1"/>
      <c r="F1273" s="1">
        <v>9</v>
      </c>
      <c r="J1273" s="1"/>
      <c r="M1273" s="15" t="s">
        <v>490</v>
      </c>
      <c r="N1273" s="15"/>
      <c r="O1273" s="15"/>
      <c r="P1273" s="15" t="str" cm="1">
        <f t="array" ref="P1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73" s="15" t="str" cm="1">
        <f t="array" ref="Q1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S1273" s="1"/>
      <c r="T1273" s="1"/>
      <c r="U1273" s="1"/>
      <c r="V1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data-author="Maranatha"&gt;&lt;a href="canciones/nuevas/alegrate.html"&gt;Alégrate&lt;/a&gt;&lt;/li&gt;</v>
      </c>
      <c r="W1273" s="15" t="str">
        <f>_xlfn.TEXTBEFORE(_xlfn.TEXTAFTER(CantoralDB[[#This Row],[index.html]],"&gt;"),"&gt;")&amp;"&gt;"</f>
        <v>&lt;a href="canciones/nuevas/alegrate.html"&gt;</v>
      </c>
    </row>
    <row r="1274" spans="1:23" x14ac:dyDescent="0.3">
      <c r="A1274" s="1">
        <f>ROW(CantoralDB[[#This Row],[Título]])-1</f>
        <v>1273</v>
      </c>
      <c r="B1274" s="1" t="s">
        <v>2623</v>
      </c>
      <c r="C1274" s="1"/>
      <c r="F1274" s="1">
        <v>233</v>
      </c>
      <c r="J1274" s="1"/>
      <c r="M1274" s="15" t="s">
        <v>490</v>
      </c>
      <c r="N1274" s="15"/>
      <c r="O1274" s="15"/>
      <c r="P1274" s="15" t="str" cm="1">
        <f t="array" ref="P1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74" s="15" t="str" cm="1">
        <f t="array" ref="Q1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canciones/nuevas/resucitaremos_con_el.html</v>
      </c>
      <c r="S1274" s="1"/>
      <c r="T1274" s="1"/>
      <c r="U1274" s="1"/>
      <c r="V1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data-author="Maranatha"&gt;&lt;a href="canciones/nuevas/resucitaremos_con_el.html"&gt;Resucitaremos con él&lt;/a&gt;&lt;/li&gt;</v>
      </c>
      <c r="W1274" s="15" t="str">
        <f>_xlfn.TEXTBEFORE(_xlfn.TEXTAFTER(CantoralDB[[#This Row],[index.html]],"&gt;"),"&gt;")&amp;"&gt;"</f>
        <v>&lt;a href="canciones/nuevas/resucitaremos_con_el.html"&gt;</v>
      </c>
    </row>
    <row r="1275" spans="1:23" x14ac:dyDescent="0.3">
      <c r="A1275" s="1">
        <f>ROW(CantoralDB[[#This Row],[Título]])-1</f>
        <v>1274</v>
      </c>
      <c r="B1275" s="32" t="s">
        <v>256</v>
      </c>
      <c r="C1275" s="1" t="s">
        <v>993</v>
      </c>
      <c r="D1275" s="1" t="s">
        <v>715</v>
      </c>
      <c r="G1275" s="1" t="s">
        <v>254</v>
      </c>
      <c r="H1275" s="1" t="s">
        <v>531</v>
      </c>
      <c r="I1275" s="1" t="s">
        <v>2962</v>
      </c>
      <c r="J1275" s="1" t="s">
        <v>608</v>
      </c>
      <c r="M1275" s="15" t="s">
        <v>633</v>
      </c>
      <c r="N1275" s="15"/>
      <c r="O1275" s="15"/>
      <c r="P1275" s="15" t="str" cm="1">
        <f t="array" ref="P1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75" s="15" t="str" cm="1">
        <f t="array" ref="Q1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canciones/nsb/jesus_amigo.html</v>
      </c>
      <c r="S1275" s="1"/>
      <c r="T1275" s="1"/>
      <c r="U1275" s="1"/>
      <c r="V1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data-author="Marcela de María" data-momento="Comunión" data-nnew="K42"&gt;&lt;a href="canciones/nsb/jesus_amigo.html"&gt;Jesús, amigo&lt;/a&gt;&lt;/li&gt;</v>
      </c>
      <c r="W1275" s="15" t="str">
        <f>_xlfn.TEXTBEFORE(_xlfn.TEXTAFTER(CantoralDB[[#This Row],[index.html]],"&gt;"),"&gt;")&amp;"&gt;"</f>
        <v>&lt;a href="canciones/nsb/jesus_amigo.html"&gt;</v>
      </c>
    </row>
    <row r="1276" spans="1:23" x14ac:dyDescent="0.3">
      <c r="A1276" s="1">
        <f>ROW(CantoralDB[[#This Row],[Título]])-1</f>
        <v>1275</v>
      </c>
      <c r="B1276" s="1" t="s">
        <v>2733</v>
      </c>
      <c r="C1276" s="1"/>
      <c r="F1276" s="1">
        <v>350</v>
      </c>
      <c r="J1276" s="1"/>
      <c r="M1276" s="15" t="s">
        <v>2734</v>
      </c>
      <c r="N1276" s="15"/>
      <c r="O1276" s="15"/>
      <c r="P1276" s="15" t="str" cm="1">
        <f t="array" ref="P1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76" s="15" t="str" cm="1">
        <f t="array" ref="Q1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canciones/nuevas/clamamos_a_ti.html</v>
      </c>
      <c r="S1276" s="1"/>
      <c r="T1276" s="1"/>
      <c r="U1276" s="1"/>
      <c r="V1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data-author="Marcela Jobe"&gt;&lt;a href="canciones/nuevas/clamamos_a_ti.html"&gt;Clamamos a ti&lt;/a&gt;&lt;/li&gt;</v>
      </c>
      <c r="W1276" s="15" t="str">
        <f>_xlfn.TEXTBEFORE(_xlfn.TEXTAFTER(CantoralDB[[#This Row],[index.html]],"&gt;"),"&gt;")&amp;"&gt;"</f>
        <v>&lt;a href="canciones/nuevas/clamamos_a_ti.html"&gt;</v>
      </c>
    </row>
    <row r="1277" spans="1:23" x14ac:dyDescent="0.3">
      <c r="A1277" s="1">
        <f>ROW(CantoralDB[[#This Row],[Título]])-1</f>
        <v>1276</v>
      </c>
      <c r="B1277" s="1" t="s">
        <v>2465</v>
      </c>
      <c r="C1277" s="1"/>
      <c r="F1277" s="1">
        <v>75</v>
      </c>
      <c r="J1277" s="1"/>
      <c r="M1277" s="15" t="s">
        <v>2467</v>
      </c>
      <c r="N1277" s="15"/>
      <c r="O1277" s="15"/>
      <c r="P1277" s="15" t="str" cm="1">
        <f t="array" ref="P1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77" s="15" t="str" cm="1">
        <f t="array" ref="Q1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canciones/nuevas/la_rosa_de_saron.html</v>
      </c>
      <c r="S1277" s="1"/>
      <c r="T1277" s="1"/>
      <c r="U1277" s="1"/>
      <c r="V1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data-author="Marcelino García"&gt;&lt;a href="canciones/nuevas/la_rosa_de_saron.html"&gt;La rosa de Sarón&lt;/a&gt;&lt;/li&gt;</v>
      </c>
      <c r="W1277" s="15" t="str">
        <f>_xlfn.TEXTBEFORE(_xlfn.TEXTAFTER(CantoralDB[[#This Row],[index.html]],"&gt;"),"&gt;")&amp;"&gt;"</f>
        <v>&lt;a href="canciones/nuevas/la_rosa_de_saron.html"&gt;</v>
      </c>
    </row>
    <row r="1278" spans="1:23" x14ac:dyDescent="0.3">
      <c r="A1278" s="1">
        <f>ROW(CantoralDB[[#This Row],[Título]])-1</f>
        <v>1277</v>
      </c>
      <c r="B1278" s="1" t="s">
        <v>2827</v>
      </c>
      <c r="C1278" s="1"/>
      <c r="F1278" s="1">
        <v>427</v>
      </c>
      <c r="J1278" s="1"/>
      <c r="M1278" s="15" t="s">
        <v>2829</v>
      </c>
      <c r="N1278" s="15"/>
      <c r="O1278" s="15"/>
      <c r="P1278" s="15" t="str" cm="1">
        <f t="array" ref="P1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78" s="15" t="str" cm="1">
        <f t="array" ref="Q1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canciones/nuevas/ven_espiritu_ven.html</v>
      </c>
      <c r="S1278" s="1"/>
      <c r="T1278" s="1"/>
      <c r="U1278" s="1"/>
      <c r="V1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href="canciones/nuevas/ven_espiritu_ven.html"&gt;Ven, Espíritu, ven&lt;/a&gt;&lt;/li&gt;</v>
      </c>
      <c r="W1278" s="15" t="str">
        <f>_xlfn.TEXTBEFORE(_xlfn.TEXTAFTER(CantoralDB[[#This Row],[index.html]],"&gt;"),"&gt;")&amp;"&gt;"</f>
        <v>&lt;a href="canciones/nuevas/ven_espiritu_ven.html"&gt;</v>
      </c>
    </row>
    <row r="1279" spans="1:23" x14ac:dyDescent="0.3">
      <c r="A1279" s="1">
        <f>ROW(CantoralDB[[#This Row],[Título]])-1</f>
        <v>1278</v>
      </c>
      <c r="B1279" s="1" t="s">
        <v>2831</v>
      </c>
      <c r="C1279" s="1"/>
      <c r="F1279" s="1">
        <v>430</v>
      </c>
      <c r="J1279" s="1"/>
      <c r="M1279" s="15" t="s">
        <v>2829</v>
      </c>
      <c r="N1279" s="15"/>
      <c r="O1279" s="15"/>
      <c r="P1279" s="15" t="str" cm="1">
        <f t="array" ref="P1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79" s="15" t="str" cm="1">
        <f t="array" ref="Q1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canciones/nuevas/a_el_le_sea_la_gloria.html</v>
      </c>
      <c r="S1279" s="1"/>
      <c r="T1279" s="1"/>
      <c r="U1279" s="1"/>
      <c r="V1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Barrientos"&gt;&lt;a href="canciones/nuevas/a_el_le_sea_la_gloria.html"&gt;A él le sea la gloria&lt;/a&gt;&lt;/li&gt;</v>
      </c>
      <c r="W1279" s="15" t="str">
        <f>_xlfn.TEXTBEFORE(_xlfn.TEXTAFTER(CantoralDB[[#This Row],[index.html]],"&gt;"),"&gt;")&amp;"&gt;"</f>
        <v>&lt;a href="canciones/nuevas/a_el_le_sea_la_gloria.html"&gt;</v>
      </c>
    </row>
    <row r="1280" spans="1:23" x14ac:dyDescent="0.3">
      <c r="A1280" s="1">
        <f>ROW(CantoralDB[[#This Row],[Título]])-1</f>
        <v>1279</v>
      </c>
      <c r="B1280" s="1" t="s">
        <v>557</v>
      </c>
      <c r="C1280" s="1" t="s">
        <v>201</v>
      </c>
      <c r="D1280" s="1" t="s">
        <v>673</v>
      </c>
      <c r="G1280" s="1" t="s">
        <v>553</v>
      </c>
      <c r="H1280" s="1" t="s">
        <v>531</v>
      </c>
      <c r="J1280" s="1" t="s">
        <v>608</v>
      </c>
      <c r="M1280" s="15" t="s">
        <v>613</v>
      </c>
      <c r="N1280" s="15"/>
      <c r="O1280" s="15"/>
      <c r="P1280" s="15" t="str" cm="1">
        <f t="array" ref="P1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80" s="15" t="str" cm="1">
        <f t="array" ref="Q1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canciones/nsb/te_amo_señor.html</v>
      </c>
      <c r="S1280" s="1" t="s">
        <v>861</v>
      </c>
      <c r="T1280" s="1"/>
      <c r="U1280" s="1"/>
      <c r="V1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 López" data-momento="Antífonas" data-nnew="D35"&gt;&lt;a href="canciones/nsb/te_amo_señor.html"&gt;Te amo, Señor&lt;/a&gt;&lt;/li&gt;</v>
      </c>
      <c r="W1280" s="15" t="str">
        <f>_xlfn.TEXTBEFORE(_xlfn.TEXTAFTER(CantoralDB[[#This Row],[index.html]],"&gt;"),"&gt;")&amp;"&gt;"</f>
        <v>&lt;a href="canciones/nsb/te_amo_señor.html"&gt;</v>
      </c>
    </row>
    <row r="1281" spans="1:23" x14ac:dyDescent="0.3">
      <c r="A1281" s="1">
        <f>ROW(CantoralDB[[#This Row],[Título]])-1</f>
        <v>1280</v>
      </c>
      <c r="B1281" s="1" t="s">
        <v>230</v>
      </c>
      <c r="C1281" s="1" t="s">
        <v>993</v>
      </c>
      <c r="D1281" s="1" t="s">
        <v>999</v>
      </c>
      <c r="H1281" s="1" t="s">
        <v>1027</v>
      </c>
      <c r="J1281" s="1" t="s">
        <v>608</v>
      </c>
      <c r="M1281" s="15" t="s">
        <v>507</v>
      </c>
      <c r="N1281" s="15"/>
      <c r="O1281" s="15"/>
      <c r="P1281" s="15" t="str" cm="1">
        <f t="array" ref="P1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81" s="15" t="str" cm="1">
        <f t="array" ref="Q1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canciones/nsb/quien_nos_separara.html</v>
      </c>
      <c r="S1281" s="1"/>
      <c r="T1281" s="1"/>
      <c r="U1281" s="1"/>
      <c r="V1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Frisina" data-momento="Comunión" data-nnew="K62"&gt;&lt;a href="canciones/nsb/quien_nos_separara.html"&gt;Quién nos separará&lt;/a&gt;&lt;/li&gt;</v>
      </c>
      <c r="W1281" s="15" t="str">
        <f>_xlfn.TEXTBEFORE(_xlfn.TEXTAFTER(CantoralDB[[#This Row],[index.html]],"&gt;"),"&gt;")&amp;"&gt;"</f>
        <v>&lt;a href="canciones/nsb/quien_nos_separara.html"&gt;</v>
      </c>
    </row>
    <row r="1282" spans="1:23" x14ac:dyDescent="0.3">
      <c r="A1282" s="1">
        <f>ROW(CantoralDB[[#This Row],[Título]])-1</f>
        <v>1281</v>
      </c>
      <c r="B1282" s="1" t="s">
        <v>1785</v>
      </c>
      <c r="C1282" s="1"/>
      <c r="F1282" s="1">
        <v>7</v>
      </c>
      <c r="J1282" s="1"/>
      <c r="M1282" s="15" t="s">
        <v>2393</v>
      </c>
      <c r="N1282" s="15"/>
      <c r="O1282" s="15"/>
      <c r="P1282" s="15" t="str" cm="1">
        <f t="array" ref="P1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282" s="15" t="str" cm="1">
        <f t="array" ref="Q1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canciones/marcos_witt/heme_aqui.html</v>
      </c>
      <c r="S1282" s="1"/>
      <c r="T1282" s="1"/>
      <c r="U1282" s="1"/>
      <c r="V1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href="canciones/marcos_witt/heme_aqui.html"&gt;Heme aquí&lt;/a&gt;&lt;/li&gt;</v>
      </c>
      <c r="W1282" s="15" t="str">
        <f>_xlfn.TEXTBEFORE(_xlfn.TEXTAFTER(CantoralDB[[#This Row],[index.html]],"&gt;"),"&gt;")&amp;"&gt;"</f>
        <v>&lt;a href="canciones/marcos_witt/heme_aqui.html"&gt;</v>
      </c>
    </row>
    <row r="1283" spans="1:23" x14ac:dyDescent="0.3">
      <c r="A1283" s="1">
        <f>ROW(CantoralDB[[#This Row],[Título]])-1</f>
        <v>1282</v>
      </c>
      <c r="B1283" s="1" t="s">
        <v>2481</v>
      </c>
      <c r="C1283" s="1"/>
      <c r="F1283" s="1">
        <v>89</v>
      </c>
      <c r="J1283" s="1"/>
      <c r="M1283" s="15" t="s">
        <v>2393</v>
      </c>
      <c r="N1283" s="15"/>
      <c r="O1283" s="15"/>
      <c r="P1283" s="15" t="str" cm="1">
        <f t="array" ref="P1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283" s="15" t="str" cm="1">
        <f t="array" ref="Q1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canciones/marcos_witt/temprano_yo_te_buscare.html</v>
      </c>
      <c r="S1283" s="1"/>
      <c r="T1283" s="1"/>
      <c r="U1283" s="1"/>
      <c r="V1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href="canciones/marcos_witt/temprano_yo_te_buscare.html"&gt;Temprano yo te buscaré&lt;/a&gt;&lt;/li&gt;</v>
      </c>
      <c r="W1283" s="15" t="str">
        <f>_xlfn.TEXTBEFORE(_xlfn.TEXTAFTER(CantoralDB[[#This Row],[index.html]],"&gt;"),"&gt;")&amp;"&gt;"</f>
        <v>&lt;a href="canciones/marcos_witt/temprano_yo_te_buscare.html"&gt;</v>
      </c>
    </row>
    <row r="1284" spans="1:23" x14ac:dyDescent="0.3">
      <c r="A1284" s="1">
        <f>ROW(CantoralDB[[#This Row],[Título]])-1</f>
        <v>1283</v>
      </c>
      <c r="B1284" s="1" t="s">
        <v>2531</v>
      </c>
      <c r="C1284" s="1"/>
      <c r="F1284" s="1">
        <v>134</v>
      </c>
      <c r="J1284" s="1"/>
      <c r="M1284" s="15" t="s">
        <v>2393</v>
      </c>
      <c r="N1284" s="15"/>
      <c r="O1284" s="15"/>
      <c r="P1284" s="15" t="str" cm="1">
        <f t="array" ref="P1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284" s="15" t="str" cm="1">
        <f t="array" ref="Q1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canciones/marcos_witt/renuevame.html</v>
      </c>
      <c r="S1284" s="1"/>
      <c r="T1284" s="1"/>
      <c r="U1284" s="1"/>
      <c r="V1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href="canciones/marcos_witt/renuevame.html"&gt;Renuévame&lt;/a&gt;&lt;/li&gt;</v>
      </c>
      <c r="W1284" s="15" t="str">
        <f>_xlfn.TEXTBEFORE(_xlfn.TEXTAFTER(CantoralDB[[#This Row],[index.html]],"&gt;"),"&gt;")&amp;"&gt;"</f>
        <v>&lt;a href="canciones/marcos_witt/renuevame.html"&gt;</v>
      </c>
    </row>
    <row r="1285" spans="1:23" x14ac:dyDescent="0.3">
      <c r="A1285" s="1">
        <f>ROW(CantoralDB[[#This Row],[Título]])-1</f>
        <v>1284</v>
      </c>
      <c r="B1285" s="1" t="s">
        <v>2671</v>
      </c>
      <c r="C1285" s="1"/>
      <c r="F1285" s="1">
        <v>286</v>
      </c>
      <c r="J1285" s="1"/>
      <c r="M1285" s="15" t="s">
        <v>2393</v>
      </c>
      <c r="N1285" s="15"/>
      <c r="O1285" s="15"/>
      <c r="P1285" s="15" t="str" cm="1">
        <f t="array" ref="P1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285" s="15" t="str" cm="1">
        <f t="array" ref="Q1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canciones/marcos_witt/cuan_bello_es_el_señor.html</v>
      </c>
      <c r="S1285" s="1"/>
      <c r="T1285" s="1"/>
      <c r="U1285" s="1"/>
      <c r="V1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href="canciones/marcos_witt/cuan_bello_es_el_señor.html"&gt;Cuán bello es el Señor&lt;/a&gt;&lt;/li&gt;</v>
      </c>
      <c r="W1285" s="15" t="str">
        <f>_xlfn.TEXTBEFORE(_xlfn.TEXTAFTER(CantoralDB[[#This Row],[index.html]],"&gt;"),"&gt;")&amp;"&gt;"</f>
        <v>&lt;a href="canciones/marcos_witt/cuan_bello_es_el_señor.html"&gt;</v>
      </c>
    </row>
    <row r="1286" spans="1:23" x14ac:dyDescent="0.3">
      <c r="A1286" s="1">
        <f>ROW(CantoralDB[[#This Row],[Título]])-1</f>
        <v>1285</v>
      </c>
      <c r="B1286" s="1" t="s">
        <v>2699</v>
      </c>
      <c r="C1286" s="1"/>
      <c r="F1286" s="1">
        <v>316</v>
      </c>
      <c r="J1286" s="1"/>
      <c r="M1286" s="15" t="s">
        <v>2393</v>
      </c>
      <c r="N1286" s="15"/>
      <c r="O1286" s="15"/>
      <c r="P1286" s="15" t="str" cm="1">
        <f t="array" ref="P1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286" s="15" t="str" cm="1">
        <f t="array" ref="Q1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canciones/marcos_witt/mas_el_dios_de_toda_gracia.html</v>
      </c>
      <c r="S1286" s="1"/>
      <c r="T1286" s="1"/>
      <c r="U1286" s="1"/>
      <c r="V1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href="canciones/marcos_witt/mas_el_dios_de_toda_gracia.html"&gt;Mas el Dios de toda gracia&lt;/a&gt;&lt;/li&gt;</v>
      </c>
      <c r="W1286" s="15" t="str">
        <f>_xlfn.TEXTBEFORE(_xlfn.TEXTAFTER(CantoralDB[[#This Row],[index.html]],"&gt;"),"&gt;")&amp;"&gt;"</f>
        <v>&lt;a href="canciones/marcos_witt/mas_el_dios_de_toda_gracia.html"&gt;</v>
      </c>
    </row>
    <row r="1287" spans="1:23" x14ac:dyDescent="0.3">
      <c r="A1287" s="1">
        <f>ROW(CantoralDB[[#This Row],[Título]])-1</f>
        <v>1286</v>
      </c>
      <c r="B1287" s="1" t="s">
        <v>2744</v>
      </c>
      <c r="C1287" s="1"/>
      <c r="F1287" s="1">
        <v>359</v>
      </c>
      <c r="J1287" s="1"/>
      <c r="M1287" s="15" t="s">
        <v>2393</v>
      </c>
      <c r="N1287" s="15"/>
      <c r="O1287" s="15"/>
      <c r="P1287" s="15" t="str" cm="1">
        <f t="array" ref="P1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287" s="15" t="str" cm="1">
        <f t="array" ref="Q1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canciones/marcos_witt/has_cambiado_mi_lamento_en_baile.html</v>
      </c>
      <c r="S1287" s="1"/>
      <c r="T1287" s="1"/>
      <c r="U1287" s="1"/>
      <c r="V1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href="canciones/marcos_witt/has_cambiado_mi_lamento_en_baile.html"&gt;Has cambiado mi lamento en baile&lt;/a&gt;&lt;/li&gt;</v>
      </c>
      <c r="W1287" s="15" t="str">
        <f>_xlfn.TEXTBEFORE(_xlfn.TEXTAFTER(CantoralDB[[#This Row],[index.html]],"&gt;"),"&gt;")&amp;"&gt;"</f>
        <v>&lt;a href="canciones/marcos_witt/has_cambiado_mi_lamento_en_baile.html"&gt;</v>
      </c>
    </row>
    <row r="1288" spans="1:23" x14ac:dyDescent="0.3">
      <c r="A1288" s="1">
        <f>ROW(CantoralDB[[#This Row],[Título]])-1</f>
        <v>1287</v>
      </c>
      <c r="B1288" s="1" t="s">
        <v>2754</v>
      </c>
      <c r="C1288" s="1"/>
      <c r="F1288" s="1">
        <v>370</v>
      </c>
      <c r="J1288" s="1"/>
      <c r="M1288" s="15" t="s">
        <v>2393</v>
      </c>
      <c r="N1288" s="15"/>
      <c r="O1288" s="15"/>
      <c r="P1288" s="15" t="str" cm="1">
        <f t="array" ref="P1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288" s="15" t="str" cm="1">
        <f t="array" ref="Q1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canciones/marcos_witt/tu_amor_por_mi.html</v>
      </c>
      <c r="S1288" s="1"/>
      <c r="T1288" s="1"/>
      <c r="U1288" s="1"/>
      <c r="V1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href="canciones/marcos_witt/tu_amor_por_mi.html"&gt;Tu amor por mí&lt;/a&gt;&lt;/li&gt;</v>
      </c>
      <c r="W1288" s="15" t="str">
        <f>_xlfn.TEXTBEFORE(_xlfn.TEXTAFTER(CantoralDB[[#This Row],[index.html]],"&gt;"),"&gt;")&amp;"&gt;"</f>
        <v>&lt;a href="canciones/marcos_witt/tu_amor_por_mi.html"&gt;</v>
      </c>
    </row>
    <row r="1289" spans="1:23" x14ac:dyDescent="0.3">
      <c r="A1289" s="1">
        <f>ROW(CantoralDB[[#This Row],[Título]])-1</f>
        <v>1288</v>
      </c>
      <c r="B1289" s="1" t="s">
        <v>2838</v>
      </c>
      <c r="C1289" s="1"/>
      <c r="F1289" s="1">
        <v>436</v>
      </c>
      <c r="J1289" s="1"/>
      <c r="M1289" s="15" t="s">
        <v>2393</v>
      </c>
      <c r="N1289" s="15"/>
      <c r="O1289" s="15"/>
      <c r="P1289" s="15" t="str" cm="1">
        <f t="array" ref="P1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Q1289" s="15" t="str" cm="1">
        <f t="array" ref="Q1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canciones/marcos_witt/enciende_una_luz.html</v>
      </c>
      <c r="S1289" s="1"/>
      <c r="T1289" s="1"/>
      <c r="U1289" s="1"/>
      <c r="V1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data-author="Marcos Witt"&gt;&lt;a href="canciones/marcos_witt/enciende_una_luz.html"&gt;Enciende una luz&lt;/a&gt;&lt;/li&gt;</v>
      </c>
      <c r="W1289" s="15" t="str">
        <f>_xlfn.TEXTBEFORE(_xlfn.TEXTAFTER(CantoralDB[[#This Row],[index.html]],"&gt;"),"&gt;")&amp;"&gt;"</f>
        <v>&lt;a href="canciones/marcos_witt/enciende_una_luz.html"&gt;</v>
      </c>
    </row>
    <row r="1290" spans="1:23" x14ac:dyDescent="0.3">
      <c r="A1290" s="1">
        <f>ROW(CantoralDB[[#This Row],[Título]])-1</f>
        <v>1289</v>
      </c>
      <c r="B1290" s="1" t="s">
        <v>2749</v>
      </c>
      <c r="C1290" s="1"/>
      <c r="F1290" s="1">
        <v>366</v>
      </c>
      <c r="J1290" s="1"/>
      <c r="M1290" s="15" t="s">
        <v>2750</v>
      </c>
      <c r="N1290" s="15"/>
      <c r="O1290" s="15"/>
      <c r="P1290" s="15" t="str" cm="1">
        <f t="array" ref="P1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90" s="15" t="str" cm="1">
        <f t="array" ref="Q1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canciones/nuevas/con_gozo_al_señor_cantare.html</v>
      </c>
      <c r="S1290" s="1"/>
      <c r="T1290" s="1"/>
      <c r="U1290" s="1"/>
      <c r="V1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data-author="Marga Trufero"&gt;&lt;a href="canciones/nuevas/con_gozo_al_señor_cantare.html"&gt;Con gozo al Señor cantaré&lt;/a&gt;&lt;/li&gt;</v>
      </c>
      <c r="W1290" s="15" t="str">
        <f>_xlfn.TEXTBEFORE(_xlfn.TEXTAFTER(CantoralDB[[#This Row],[index.html]],"&gt;"),"&gt;")&amp;"&gt;"</f>
        <v>&lt;a href="canciones/nuevas/con_gozo_al_señor_cantare.html"&gt;</v>
      </c>
    </row>
    <row r="1291" spans="1:23" x14ac:dyDescent="0.3">
      <c r="A1291" s="1">
        <f>ROW(CantoralDB[[#This Row],[Título]])-1</f>
        <v>1290</v>
      </c>
      <c r="B1291" s="1" t="s">
        <v>1226</v>
      </c>
      <c r="C1291" s="1"/>
      <c r="F1291" s="1">
        <v>102</v>
      </c>
      <c r="J1291" s="1"/>
      <c r="M1291" s="15" t="s">
        <v>2493</v>
      </c>
      <c r="N1291" s="15"/>
      <c r="O1291" s="15"/>
      <c r="P1291" s="15" t="str" cm="1">
        <f t="array" ref="P1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91" s="15" t="str" cm="1">
        <f t="array" ref="Q1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canciones/nuevas/el_espiritu_del_señor.html</v>
      </c>
      <c r="S1291" s="1"/>
      <c r="T1291" s="1"/>
      <c r="U1291" s="1"/>
      <c r="V1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 Puy Montaner"&gt;&lt;a href="canciones/nuevas/el_espiritu_del_señor.html"&gt;El Espíritu del Señor&lt;/a&gt;&lt;/li&gt;</v>
      </c>
      <c r="W1291" s="15" t="str">
        <f>_xlfn.TEXTBEFORE(_xlfn.TEXTAFTER(CantoralDB[[#This Row],[index.html]],"&gt;"),"&gt;")&amp;"&gt;"</f>
        <v>&lt;a href="canciones/nuevas/el_espiritu_del_señor.html"&gt;</v>
      </c>
    </row>
    <row r="1292" spans="1:23" x14ac:dyDescent="0.3">
      <c r="A1292" s="1">
        <f>ROW(CantoralDB[[#This Row],[Título]])-1</f>
        <v>1291</v>
      </c>
      <c r="B1292" s="1" t="s">
        <v>2808</v>
      </c>
      <c r="C1292" s="1"/>
      <c r="F1292" s="1">
        <v>411</v>
      </c>
      <c r="J1292" s="1"/>
      <c r="M1292" s="15" t="s">
        <v>2807</v>
      </c>
      <c r="N1292" s="15"/>
      <c r="O1292" s="15"/>
      <c r="P1292" s="15" t="str" cm="1">
        <f t="array" ref="P1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92" s="15" t="str" cm="1">
        <f t="array" ref="Q1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canciones/nuevas/de_rodillas_madre.html</v>
      </c>
      <c r="S1292" s="1"/>
      <c r="T1292" s="1"/>
      <c r="U1292" s="1"/>
      <c r="V1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data-author="María Parkinson"&gt;&lt;a href="canciones/nuevas/de_rodillas_madre.html"&gt;De rodillas, madre&lt;/a&gt;&lt;/li&gt;</v>
      </c>
      <c r="W1292" s="15" t="str">
        <f>_xlfn.TEXTBEFORE(_xlfn.TEXTAFTER(CantoralDB[[#This Row],[index.html]],"&gt;"),"&gt;")&amp;"&gt;"</f>
        <v>&lt;a href="canciones/nuevas/de_rodillas_madre.html"&gt;</v>
      </c>
    </row>
    <row r="1293" spans="1:23" x14ac:dyDescent="0.3">
      <c r="A1293" s="1">
        <f>ROW(CantoralDB[[#This Row],[Título]])-1</f>
        <v>1292</v>
      </c>
      <c r="B1293" s="1" t="s">
        <v>1220</v>
      </c>
      <c r="C1293" s="1"/>
      <c r="E1293" s="1">
        <v>300</v>
      </c>
      <c r="H1293" s="1" t="s">
        <v>1028</v>
      </c>
      <c r="J1293" s="1" t="s">
        <v>608</v>
      </c>
      <c r="M1293" s="15" t="s">
        <v>2916</v>
      </c>
      <c r="N1293" s="15"/>
      <c r="O1293" s="15"/>
      <c r="P1293" s="15" t="str" cm="1">
        <f t="array" ref="P1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293" s="15" t="str" cm="1">
        <f t="array" ref="Q1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canciones/nsb/adios_adios_amigos.html</v>
      </c>
      <c r="S1293" s="1"/>
      <c r="T1293" s="1"/>
      <c r="U1293" s="1"/>
      <c r="V1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data-author="Mariano Fuertes" data-nold="300"&gt;&lt;a href="canciones/nsb/adios_adios_amigos.html"&gt;Adiós, adiós amigos&lt;/a&gt;&lt;/li&gt;</v>
      </c>
      <c r="W1293" s="15" t="str">
        <f>_xlfn.TEXTBEFORE(_xlfn.TEXTAFTER(CantoralDB[[#This Row],[index.html]],"&gt;"),"&gt;")&amp;"&gt;"</f>
        <v>&lt;a href="canciones/nsb/adios_adios_amigos.html"&gt;</v>
      </c>
    </row>
    <row r="1294" spans="1:23" x14ac:dyDescent="0.3">
      <c r="A1294" s="1">
        <f>ROW(CantoralDB[[#This Row],[Título]])-1</f>
        <v>1293</v>
      </c>
      <c r="B1294" s="1" t="s">
        <v>2820</v>
      </c>
      <c r="C1294" s="1"/>
      <c r="F1294" s="1">
        <v>420</v>
      </c>
      <c r="J1294" s="1"/>
      <c r="M1294" s="15" t="s">
        <v>2817</v>
      </c>
      <c r="N1294" s="15"/>
      <c r="O1294" s="15"/>
      <c r="P1294" s="15" t="str" cm="1">
        <f t="array" ref="P1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94" s="15" t="str" cm="1">
        <f t="array" ref="Q1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canciones/nuevas/eres_mi_respirar.html</v>
      </c>
      <c r="S1294" s="1"/>
      <c r="T1294" s="1"/>
      <c r="U1294" s="1"/>
      <c r="V1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data-author="Marie Barnett"&gt;&lt;a href="canciones/nuevas/eres_mi_respirar.html"&gt;Eres mi respirar&lt;/a&gt;&lt;/li&gt;</v>
      </c>
      <c r="W1294" s="15" t="str">
        <f>_xlfn.TEXTBEFORE(_xlfn.TEXTAFTER(CantoralDB[[#This Row],[index.html]],"&gt;"),"&gt;")&amp;"&gt;"</f>
        <v>&lt;a href="canciones/nuevas/eres_mi_respirar.html"&gt;</v>
      </c>
    </row>
    <row r="1295" spans="1:23" x14ac:dyDescent="0.3">
      <c r="A1295" s="1">
        <f>ROW(CantoralDB[[#This Row],[Título]])-1</f>
        <v>1294</v>
      </c>
      <c r="B1295" s="1" t="s">
        <v>2567</v>
      </c>
      <c r="C1295" s="1"/>
      <c r="F1295" s="1">
        <v>169</v>
      </c>
      <c r="J1295" s="1"/>
      <c r="M1295" s="15" t="s">
        <v>2568</v>
      </c>
      <c r="N1295" s="15"/>
      <c r="O1295" s="15"/>
      <c r="P1295" s="15" t="str" cm="1">
        <f t="array" ref="P1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95" s="15" t="str" cm="1">
        <f t="array" ref="Q1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canciones/nuevas/siento.html</v>
      </c>
      <c r="S1295" s="1"/>
      <c r="T1295" s="1"/>
      <c r="U1295" s="1"/>
      <c r="V1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Cecilia"&gt;&lt;a href="canciones/nuevas/siento.html"&gt;Siento&lt;/a&gt;&lt;/li&gt;</v>
      </c>
      <c r="W1295" s="15" t="str">
        <f>_xlfn.TEXTBEFORE(_xlfn.TEXTAFTER(CantoralDB[[#This Row],[index.html]],"&gt;"),"&gt;")&amp;"&gt;"</f>
        <v>&lt;a href="canciones/nuevas/siento.html"&gt;</v>
      </c>
    </row>
    <row r="1296" spans="1:23" x14ac:dyDescent="0.3">
      <c r="A1296" s="1">
        <f>ROW(CantoralDB[[#This Row],[Título]])-1</f>
        <v>1295</v>
      </c>
      <c r="B1296" s="1" t="s">
        <v>2768</v>
      </c>
      <c r="C1296" s="1"/>
      <c r="F1296" s="1">
        <v>383</v>
      </c>
      <c r="J1296" s="1"/>
      <c r="M1296" s="15" t="s">
        <v>2771</v>
      </c>
      <c r="N1296" s="15"/>
      <c r="O1296" s="15"/>
      <c r="P1296" s="15" t="str" cm="1">
        <f t="array" ref="P1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96" s="15" t="str" cm="1">
        <f t="array" ref="Q1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canciones/nuevas/asi_es_dios.html</v>
      </c>
      <c r="S1296" s="1"/>
      <c r="T1296" s="1"/>
      <c r="U1296" s="1"/>
      <c r="V1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Liste"&gt;&lt;a href="canciones/nuevas/asi_es_dios.html"&gt;Así es Dios&lt;/a&gt;&lt;/li&gt;</v>
      </c>
      <c r="W1296" s="15" t="str">
        <f>_xlfn.TEXTBEFORE(_xlfn.TEXTAFTER(CantoralDB[[#This Row],[index.html]],"&gt;"),"&gt;")&amp;"&gt;"</f>
        <v>&lt;a href="canciones/nuevas/asi_es_dios.html"&gt;</v>
      </c>
    </row>
    <row r="1297" spans="1:23" x14ac:dyDescent="0.3">
      <c r="A1297" s="1">
        <f>ROW(CantoralDB[[#This Row],[Título]])-1</f>
        <v>1296</v>
      </c>
      <c r="B1297" s="1" t="s">
        <v>2532</v>
      </c>
      <c r="C1297" s="1"/>
      <c r="F1297" s="1">
        <v>136</v>
      </c>
      <c r="J1297" s="1"/>
      <c r="M1297" s="15" t="s">
        <v>2533</v>
      </c>
      <c r="N1297" s="15"/>
      <c r="O1297" s="15"/>
      <c r="P1297" s="15" t="str" cm="1">
        <f t="array" ref="P1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97" s="15" t="str" cm="1">
        <f t="array" ref="Q1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canciones/nuevas/aleluya_cristo_vive.html</v>
      </c>
      <c r="S1297" s="1"/>
      <c r="T1297" s="1"/>
      <c r="U1297" s="1"/>
      <c r="V1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y Noemí"&gt;&lt;a href="canciones/nuevas/aleluya_cristo_vive.html"&gt;Aleluya, Cristo vive&lt;/a&gt;&lt;/li&gt;</v>
      </c>
      <c r="W1297" s="15" t="str">
        <f>_xlfn.TEXTBEFORE(_xlfn.TEXTAFTER(CantoralDB[[#This Row],[index.html]],"&gt;"),"&gt;")&amp;"&gt;"</f>
        <v>&lt;a href="canciones/nuevas/aleluya_cristo_vive.html"&gt;</v>
      </c>
    </row>
    <row r="1298" spans="1:23" x14ac:dyDescent="0.3">
      <c r="A1298" s="1">
        <f>ROW(CantoralDB[[#This Row],[Título]])-1</f>
        <v>1297</v>
      </c>
      <c r="B1298" s="1" t="s">
        <v>2566</v>
      </c>
      <c r="C1298" s="1"/>
      <c r="F1298" s="1">
        <v>168</v>
      </c>
      <c r="J1298" s="1"/>
      <c r="M1298" s="15" t="s">
        <v>2533</v>
      </c>
      <c r="N1298" s="15"/>
      <c r="O1298" s="15"/>
      <c r="P1298" s="15" t="str" cm="1">
        <f t="array" ref="P1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98" s="15" t="str" cm="1">
        <f t="array" ref="Q1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canciones/nuevas/jesus_te_quiere_asi.html</v>
      </c>
      <c r="S1298" s="1"/>
      <c r="T1298" s="1"/>
      <c r="U1298" s="1"/>
      <c r="V1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data-author="Marisa y Noemí"&gt;&lt;a href="canciones/nuevas/jesus_te_quiere_asi.html"&gt;Jesús te quiere así&lt;/a&gt;&lt;/li&gt;</v>
      </c>
      <c r="W1298" s="15" t="str">
        <f>_xlfn.TEXTBEFORE(_xlfn.TEXTAFTER(CantoralDB[[#This Row],[index.html]],"&gt;"),"&gt;")&amp;"&gt;"</f>
        <v>&lt;a href="canciones/nuevas/jesus_te_quiere_asi.html"&gt;</v>
      </c>
    </row>
    <row r="1299" spans="1:23" x14ac:dyDescent="0.3">
      <c r="A1299" s="1">
        <f>ROW(CantoralDB[[#This Row],[Título]])-1</f>
        <v>1298</v>
      </c>
      <c r="B1299" s="1" t="s">
        <v>2751</v>
      </c>
      <c r="C1299" s="1"/>
      <c r="F1299" s="1">
        <v>367</v>
      </c>
      <c r="J1299" s="1"/>
      <c r="M1299" s="15" t="s">
        <v>2752</v>
      </c>
      <c r="N1299" s="15"/>
      <c r="O1299" s="15"/>
      <c r="P1299" s="15" t="str" cm="1">
        <f t="array" ref="P1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299" s="15" t="str" cm="1">
        <f t="array" ref="Q1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canciones/nuevas/en_presencia.html</v>
      </c>
      <c r="S1299" s="1"/>
      <c r="T1299" s="1"/>
      <c r="U1299" s="1"/>
      <c r="V1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data-author="Mark Altragge"&gt;&lt;a href="canciones/nuevas/en_presencia.html"&gt;En presencia&lt;/a&gt;&lt;/li&gt;</v>
      </c>
      <c r="W1299" s="15" t="str">
        <f>_xlfn.TEXTBEFORE(_xlfn.TEXTAFTER(CantoralDB[[#This Row],[index.html]],"&gt;"),"&gt;")&amp;"&gt;"</f>
        <v>&lt;a href="canciones/nuevas/en_presencia.html"&gt;</v>
      </c>
    </row>
    <row r="1300" spans="1:23" x14ac:dyDescent="0.3">
      <c r="A1300" s="1">
        <f>ROW(CantoralDB[[#This Row],[Título]])-1</f>
        <v>1299</v>
      </c>
      <c r="B1300" s="1" t="s">
        <v>2763</v>
      </c>
      <c r="C1300" s="1"/>
      <c r="F1300" s="1">
        <v>377</v>
      </c>
      <c r="J1300" s="1"/>
      <c r="M1300" s="15" t="s">
        <v>2764</v>
      </c>
      <c r="N1300" s="15"/>
      <c r="O1300" s="15"/>
      <c r="P1300" s="15" t="str" cm="1">
        <f t="array" ref="P1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00" s="15" t="str" cm="1">
        <f t="array" ref="Q1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canciones/nuevas/jesus_tengo_sed.html</v>
      </c>
      <c r="S1300" s="1"/>
      <c r="T1300" s="1"/>
      <c r="U1300" s="1"/>
      <c r="V1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Calvo"&gt;&lt;a href="canciones/nuevas/jesus_tengo_sed.html"&gt;Jesús, tengo sed&lt;/a&gt;&lt;/li&gt;</v>
      </c>
      <c r="W1300" s="15" t="str">
        <f>_xlfn.TEXTBEFORE(_xlfn.TEXTAFTER(CantoralDB[[#This Row],[index.html]],"&gt;"),"&gt;")&amp;"&gt;"</f>
        <v>&lt;a href="canciones/nuevas/jesus_tengo_sed.html"&gt;</v>
      </c>
    </row>
    <row r="1301" spans="1:23" x14ac:dyDescent="0.3">
      <c r="A1301" s="1">
        <f>ROW(CantoralDB[[#This Row],[Título]])-1</f>
        <v>1300</v>
      </c>
      <c r="B1301" s="1" t="s">
        <v>2510</v>
      </c>
      <c r="C1301" s="1"/>
      <c r="F1301" s="1">
        <v>120</v>
      </c>
      <c r="J1301" s="1"/>
      <c r="M1301" s="15" t="s">
        <v>2511</v>
      </c>
      <c r="N1301" s="15"/>
      <c r="O1301" s="15"/>
      <c r="P1301" s="15" t="str" cm="1">
        <f t="array" ref="P1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301" s="15" t="str" cm="1">
        <f t="array" ref="Q1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canciones/marta_gil-delgado/hagase_en_nosotros.html</v>
      </c>
      <c r="S1301" s="1"/>
      <c r="T1301" s="1"/>
      <c r="U1301" s="1"/>
      <c r="V1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href="canciones/marta_gil-delgado/hagase_en_nosotros.html"&gt;Hágase en nosotros&lt;/a&gt;&lt;/li&gt;</v>
      </c>
      <c r="W1301" s="15" t="str">
        <f>_xlfn.TEXTBEFORE(_xlfn.TEXTAFTER(CantoralDB[[#This Row],[index.html]],"&gt;"),"&gt;")&amp;"&gt;"</f>
        <v>&lt;a href="canciones/marta_gil-delgado/hagase_en_nosotros.html"&gt;</v>
      </c>
    </row>
    <row r="1302" spans="1:23" x14ac:dyDescent="0.3">
      <c r="A1302" s="1">
        <f>ROW(CantoralDB[[#This Row],[Título]])-1</f>
        <v>1301</v>
      </c>
      <c r="B1302" s="1" t="s">
        <v>2540</v>
      </c>
      <c r="C1302" s="1"/>
      <c r="F1302" s="1">
        <v>144</v>
      </c>
      <c r="J1302" s="1"/>
      <c r="M1302" s="15" t="s">
        <v>2511</v>
      </c>
      <c r="N1302" s="15"/>
      <c r="O1302" s="15"/>
      <c r="P1302" s="15" t="str" cm="1">
        <f t="array" ref="P1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302" s="15" t="str" cm="1">
        <f t="array" ref="Q1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canciones/marta_gil-delgado/ven_espiritu_de_amor.html</v>
      </c>
      <c r="S1302" s="1"/>
      <c r="T1302" s="1"/>
      <c r="U1302" s="1"/>
      <c r="V1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href="canciones/marta_gil-delgado/ven_espiritu_de_amor.html"&gt;Ven, Espíritu de amor&lt;/a&gt;&lt;/li&gt;</v>
      </c>
      <c r="W1302" s="15" t="str">
        <f>_xlfn.TEXTBEFORE(_xlfn.TEXTAFTER(CantoralDB[[#This Row],[index.html]],"&gt;"),"&gt;")&amp;"&gt;"</f>
        <v>&lt;a href="canciones/marta_gil-delgado/ven_espiritu_de_amor.html"&gt;</v>
      </c>
    </row>
    <row r="1303" spans="1:23" x14ac:dyDescent="0.3">
      <c r="A1303" s="1">
        <f>ROW(CantoralDB[[#This Row],[Título]])-1</f>
        <v>1302</v>
      </c>
      <c r="B1303" s="1" t="s">
        <v>2560</v>
      </c>
      <c r="C1303" s="1"/>
      <c r="F1303" s="1">
        <v>163</v>
      </c>
      <c r="J1303" s="1"/>
      <c r="M1303" s="15" t="s">
        <v>2511</v>
      </c>
      <c r="N1303" s="15"/>
      <c r="O1303" s="15"/>
      <c r="P1303" s="15" t="str" cm="1">
        <f t="array" ref="P1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303" s="15" t="str" cm="1">
        <f t="array" ref="Q1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canciones/marta_gil-delgado/jesus_quedate_aqui.html</v>
      </c>
      <c r="S1303" s="1"/>
      <c r="T1303" s="1"/>
      <c r="U1303" s="1"/>
      <c r="V1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href="canciones/marta_gil-delgado/jesus_quedate_aqui.html"&gt;Jesús, quédate aquí&lt;/a&gt;&lt;/li&gt;</v>
      </c>
      <c r="W1303" s="15" t="str">
        <f>_xlfn.TEXTBEFORE(_xlfn.TEXTAFTER(CantoralDB[[#This Row],[index.html]],"&gt;"),"&gt;")&amp;"&gt;"</f>
        <v>&lt;a href="canciones/marta_gil-delgado/jesus_quedate_aqui.html"&gt;</v>
      </c>
    </row>
    <row r="1304" spans="1:23" x14ac:dyDescent="0.3">
      <c r="A1304" s="1">
        <f>ROW(CantoralDB[[#This Row],[Título]])-1</f>
        <v>1303</v>
      </c>
      <c r="B1304" s="1" t="s">
        <v>1628</v>
      </c>
      <c r="C1304" s="1"/>
      <c r="F1304" s="1">
        <v>193</v>
      </c>
      <c r="J1304" s="1"/>
      <c r="M1304" s="15" t="s">
        <v>2511</v>
      </c>
      <c r="N1304" s="15"/>
      <c r="O1304" s="15"/>
      <c r="P1304" s="15" t="str" cm="1">
        <f t="array" ref="P1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304" s="15" t="str" cm="1">
        <f t="array" ref="Q1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canciones/marta_gil-delgado/cristo.html</v>
      </c>
      <c r="S1304" s="1"/>
      <c r="T1304" s="1"/>
      <c r="U1304" s="1"/>
      <c r="V1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href="canciones/marta_gil-delgado/cristo.html"&gt;Cristo&lt;/a&gt;&lt;/li&gt;</v>
      </c>
      <c r="W1304" s="15" t="str">
        <f>_xlfn.TEXTBEFORE(_xlfn.TEXTAFTER(CantoralDB[[#This Row],[index.html]],"&gt;"),"&gt;")&amp;"&gt;"</f>
        <v>&lt;a href="canciones/marta_gil-delgado/cristo.html"&gt;</v>
      </c>
    </row>
    <row r="1305" spans="1:23" x14ac:dyDescent="0.3">
      <c r="A1305" s="1">
        <f>ROW(CantoralDB[[#This Row],[Título]])-1</f>
        <v>1304</v>
      </c>
      <c r="B1305" s="1" t="s">
        <v>1578</v>
      </c>
      <c r="C1305" s="1"/>
      <c r="F1305" s="1">
        <v>228</v>
      </c>
      <c r="J1305" s="1"/>
      <c r="M1305" s="15" t="s">
        <v>2511</v>
      </c>
      <c r="N1305" s="15"/>
      <c r="O1305" s="15"/>
      <c r="P1305" s="15" t="str" cm="1">
        <f t="array" ref="P1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305" s="15" t="str" cm="1">
        <f t="array" ref="Q1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canciones/marta_gil-delgado/no_temais.html</v>
      </c>
      <c r="S1305" s="1"/>
      <c r="T1305" s="1"/>
      <c r="U1305" s="1"/>
      <c r="V1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href="canciones/marta_gil-delgado/no_temais.html"&gt;No temáis&lt;/a&gt;&lt;/li&gt;</v>
      </c>
      <c r="W1305" s="15" t="str">
        <f>_xlfn.TEXTBEFORE(_xlfn.TEXTAFTER(CantoralDB[[#This Row],[index.html]],"&gt;"),"&gt;")&amp;"&gt;"</f>
        <v>&lt;a href="canciones/marta_gil-delgado/no_temais.html"&gt;</v>
      </c>
    </row>
    <row r="1306" spans="1:23" x14ac:dyDescent="0.3">
      <c r="A1306" s="1">
        <f>ROW(CantoralDB[[#This Row],[Título]])-1</f>
        <v>1305</v>
      </c>
      <c r="B1306" s="1" t="s">
        <v>2691</v>
      </c>
      <c r="C1306" s="1"/>
      <c r="F1306" s="1">
        <v>307</v>
      </c>
      <c r="J1306" s="1"/>
      <c r="M1306" s="15" t="s">
        <v>2511</v>
      </c>
      <c r="N1306" s="15"/>
      <c r="O1306" s="15"/>
      <c r="P1306" s="15" t="str" cm="1">
        <f t="array" ref="P1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306" s="15" t="str" cm="1">
        <f t="array" ref="Q1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canciones/marta_gil-delgado/cree_y_veras_la_gloria_de_dios.html</v>
      </c>
      <c r="S1306" s="1"/>
      <c r="T1306" s="1"/>
      <c r="U1306" s="1"/>
      <c r="V1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href="canciones/marta_gil-delgado/cree_y_veras_la_gloria_de_dios.html"&gt;Cree y verás la gloria de Dios&lt;/a&gt;&lt;/li&gt;</v>
      </c>
      <c r="W1306" s="15" t="str">
        <f>_xlfn.TEXTBEFORE(_xlfn.TEXTAFTER(CantoralDB[[#This Row],[index.html]],"&gt;"),"&gt;")&amp;"&gt;"</f>
        <v>&lt;a href="canciones/marta_gil-delgado/cree_y_veras_la_gloria_de_dios.html"&gt;</v>
      </c>
    </row>
    <row r="1307" spans="1:23" x14ac:dyDescent="0.3">
      <c r="A1307" s="1">
        <f>ROW(CantoralDB[[#This Row],[Título]])-1</f>
        <v>1306</v>
      </c>
      <c r="B1307" s="1" t="s">
        <v>2714</v>
      </c>
      <c r="C1307" s="1"/>
      <c r="F1307" s="1">
        <v>334</v>
      </c>
      <c r="J1307" s="1"/>
      <c r="M1307" s="15" t="s">
        <v>2511</v>
      </c>
      <c r="N1307" s="15"/>
      <c r="O1307" s="15"/>
      <c r="P1307" s="15" t="str" cm="1">
        <f t="array" ref="P1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307" s="15" t="str" cm="1">
        <f t="array" ref="Q1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canciones/marta_gil-delgado/hasta_los_confines_de_la_tierra.html</v>
      </c>
      <c r="S1307" s="1"/>
      <c r="T1307" s="1"/>
      <c r="U1307" s="1"/>
      <c r="V1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href="canciones/marta_gil-delgado/hasta_los_confines_de_la_tierra.html"&gt;Hasta los confines de la tierra&lt;/a&gt;&lt;/li&gt;</v>
      </c>
      <c r="W1307" s="15" t="str">
        <f>_xlfn.TEXTBEFORE(_xlfn.TEXTAFTER(CantoralDB[[#This Row],[index.html]],"&gt;"),"&gt;")&amp;"&gt;"</f>
        <v>&lt;a href="canciones/marta_gil-delgado/hasta_los_confines_de_la_tierra.html"&gt;</v>
      </c>
    </row>
    <row r="1308" spans="1:23" x14ac:dyDescent="0.3">
      <c r="A1308" s="1">
        <f>ROW(CantoralDB[[#This Row],[Título]])-1</f>
        <v>1307</v>
      </c>
      <c r="B1308" s="1" t="s">
        <v>2773</v>
      </c>
      <c r="C1308" s="1"/>
      <c r="F1308" s="1">
        <v>385</v>
      </c>
      <c r="J1308" s="1"/>
      <c r="M1308" s="15" t="s">
        <v>2511</v>
      </c>
      <c r="N1308" s="15"/>
      <c r="O1308" s="15"/>
      <c r="P1308" s="15" t="str" cm="1">
        <f t="array" ref="P1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308" s="15" t="str" cm="1">
        <f t="array" ref="Q1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canciones/marta_gil-delgado/gloria_al_cordero.html</v>
      </c>
      <c r="S1308" s="1"/>
      <c r="T1308" s="1"/>
      <c r="U1308" s="1"/>
      <c r="V1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href="canciones/marta_gil-delgado/gloria_al_cordero.html"&gt;Gloria al Cordero&lt;/a&gt;&lt;/li&gt;</v>
      </c>
      <c r="W1308" s="15" t="str">
        <f>_xlfn.TEXTBEFORE(_xlfn.TEXTAFTER(CantoralDB[[#This Row],[index.html]],"&gt;"),"&gt;")&amp;"&gt;"</f>
        <v>&lt;a href="canciones/marta_gil-delgado/gloria_al_cordero.html"&gt;</v>
      </c>
    </row>
    <row r="1309" spans="1:23" x14ac:dyDescent="0.3">
      <c r="A1309" s="1">
        <f>ROW(CantoralDB[[#This Row],[Título]])-1</f>
        <v>1308</v>
      </c>
      <c r="B1309" s="1" t="s">
        <v>2843</v>
      </c>
      <c r="C1309" s="1"/>
      <c r="F1309" s="1">
        <v>441</v>
      </c>
      <c r="J1309" s="1"/>
      <c r="M1309" s="15" t="s">
        <v>2511</v>
      </c>
      <c r="N1309" s="15"/>
      <c r="O1309" s="15"/>
      <c r="P1309" s="15" t="str" cm="1">
        <f t="array" ref="P1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309" s="15" t="str" cm="1">
        <f t="array" ref="Q1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canciones/marta_gil-delgado/quien_es_este.html</v>
      </c>
      <c r="S1309" s="1"/>
      <c r="T1309" s="1"/>
      <c r="U1309" s="1"/>
      <c r="V1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href="canciones/marta_gil-delgado/quien_es_este.html"&gt;Quién es este&lt;/a&gt;&lt;/li&gt;</v>
      </c>
      <c r="W1309" s="15" t="str">
        <f>_xlfn.TEXTBEFORE(_xlfn.TEXTAFTER(CantoralDB[[#This Row],[index.html]],"&gt;"),"&gt;")&amp;"&gt;"</f>
        <v>&lt;a href="canciones/marta_gil-delgado/quien_es_este.html"&gt;</v>
      </c>
    </row>
    <row r="1310" spans="1:23" x14ac:dyDescent="0.3">
      <c r="A1310" s="1">
        <f>ROW(CantoralDB[[#This Row],[Título]])-1</f>
        <v>1309</v>
      </c>
      <c r="B1310" s="1" t="s">
        <v>2849</v>
      </c>
      <c r="C1310" s="1"/>
      <c r="F1310" s="1">
        <v>448</v>
      </c>
      <c r="J1310" s="1"/>
      <c r="M1310" s="15" t="s">
        <v>2511</v>
      </c>
      <c r="N1310" s="15"/>
      <c r="O1310" s="15"/>
      <c r="P1310" s="15" t="str" cm="1">
        <f t="array" ref="P1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Q1310" s="15" t="str" cm="1">
        <f t="array" ref="Q1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canciones/marta_gil-delgado/no_me_callare.html</v>
      </c>
      <c r="S1310" s="1"/>
      <c r="T1310" s="1"/>
      <c r="U1310" s="1"/>
      <c r="V1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data-author="Marta Gil-Delgado"&gt;&lt;a href="canciones/marta_gil-delgado/no_me_callare.html"&gt;No me callaré&lt;/a&gt;&lt;/li&gt;</v>
      </c>
      <c r="W1310" s="15" t="str">
        <f>_xlfn.TEXTBEFORE(_xlfn.TEXTAFTER(CantoralDB[[#This Row],[index.html]],"&gt;"),"&gt;")&amp;"&gt;"</f>
        <v>&lt;a href="canciones/marta_gil-delgado/no_me_callare.html"&gt;</v>
      </c>
    </row>
    <row r="1311" spans="1:23" x14ac:dyDescent="0.3">
      <c r="A1311" s="1">
        <f>ROW(CantoralDB[[#This Row],[Título]])-1</f>
        <v>1310</v>
      </c>
      <c r="B1311" s="1" t="s">
        <v>2402</v>
      </c>
      <c r="C1311" s="1"/>
      <c r="F1311" s="1">
        <v>15</v>
      </c>
      <c r="J1311" s="1"/>
      <c r="M1311" s="15" t="s">
        <v>2401</v>
      </c>
      <c r="N1311" s="15"/>
      <c r="O1311" s="15"/>
      <c r="P1311" s="15" t="str" cm="1">
        <f t="array" ref="P1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11" s="15" t="str" cm="1">
        <f t="array" ref="Q1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canciones/nuevas/cristo_heme_aqui.html</v>
      </c>
      <c r="S1311" s="1"/>
      <c r="T1311" s="1"/>
      <c r="U1311" s="1"/>
      <c r="V1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Mancilla"&gt;&lt;a href="canciones/nuevas/cristo_heme_aqui.html"&gt;Cristo, heme aquí&lt;/a&gt;&lt;/li&gt;</v>
      </c>
      <c r="W1311" s="15" t="str">
        <f>_xlfn.TEXTBEFORE(_xlfn.TEXTAFTER(CantoralDB[[#This Row],[index.html]],"&gt;"),"&gt;")&amp;"&gt;"</f>
        <v>&lt;a href="canciones/nuevas/cristo_heme_aqui.html"&gt;</v>
      </c>
    </row>
    <row r="1312" spans="1:23" x14ac:dyDescent="0.3">
      <c r="A1312" s="1">
        <f>ROW(CantoralDB[[#This Row],[Título]])-1</f>
        <v>1311</v>
      </c>
      <c r="B1312" s="1" t="s">
        <v>96</v>
      </c>
      <c r="C1312" s="1" t="s">
        <v>993</v>
      </c>
      <c r="D1312" s="1" t="s">
        <v>721</v>
      </c>
      <c r="E1312" s="1">
        <v>439</v>
      </c>
      <c r="F1312" s="1">
        <v>328</v>
      </c>
      <c r="G1312" s="1" t="s">
        <v>209</v>
      </c>
      <c r="H1312" s="1" t="s">
        <v>531</v>
      </c>
      <c r="J1312" s="1" t="s">
        <v>608</v>
      </c>
      <c r="M1312" s="15" t="s">
        <v>575</v>
      </c>
      <c r="N1312" s="15"/>
      <c r="O1312" s="15"/>
      <c r="P1312" s="15" t="str" cm="1">
        <f t="array" ref="P1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12" s="15" t="str" cm="1">
        <f t="array" ref="Q1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canciones/nsb/nadie_te_ama_como_yo.html</v>
      </c>
      <c r="S1312" s="1" t="s">
        <v>846</v>
      </c>
      <c r="T1312" s="1"/>
      <c r="U1312" s="1"/>
      <c r="V1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 data-momento="Comunión" data-nnew="K48" data-nold="439"&gt;&lt;a href="canciones/nsb/nadie_te_ama_como_yo.html"&gt;Nadie te ama como Yo&lt;/a&gt;&lt;/li&gt;</v>
      </c>
      <c r="W1312" s="15" t="str">
        <f>_xlfn.TEXTBEFORE(_xlfn.TEXTAFTER(CantoralDB[[#This Row],[index.html]],"&gt;"),"&gt;")&amp;"&gt;"</f>
        <v>&lt;a href="canciones/nsb/nadie_te_ama_como_yo.html"&gt;</v>
      </c>
    </row>
    <row r="1313" spans="1:23" x14ac:dyDescent="0.3">
      <c r="A1313" s="1">
        <f>ROW(CantoralDB[[#This Row],[Título]])-1</f>
        <v>1312</v>
      </c>
      <c r="B1313" s="1" t="s">
        <v>2598</v>
      </c>
      <c r="C1313" s="1"/>
      <c r="F1313" s="1">
        <v>200</v>
      </c>
      <c r="J1313" s="1"/>
      <c r="M1313" s="15" t="s">
        <v>575</v>
      </c>
      <c r="N1313" s="15"/>
      <c r="O1313" s="15"/>
      <c r="P1313" s="15" t="str" cm="1">
        <f t="array" ref="P1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13" s="15" t="str" cm="1">
        <f t="array" ref="Q1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canciones/nuevas/la_pancita.html</v>
      </c>
      <c r="S1313" s="1"/>
      <c r="T1313" s="1"/>
      <c r="U1313" s="1"/>
      <c r="V1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Valverde"&gt;&lt;a href="canciones/nuevas/la_pancita.html"&gt;La pancita&lt;/a&gt;&lt;/li&gt;</v>
      </c>
      <c r="W1313" s="15" t="str">
        <f>_xlfn.TEXTBEFORE(_xlfn.TEXTAFTER(CantoralDB[[#This Row],[index.html]],"&gt;"),"&gt;")&amp;"&gt;"</f>
        <v>&lt;a href="canciones/nuevas/la_pancita.html"&gt;</v>
      </c>
    </row>
    <row r="1314" spans="1:23" x14ac:dyDescent="0.3">
      <c r="A1314" s="1">
        <f>ROW(CantoralDB[[#This Row],[Título]])-1</f>
        <v>1313</v>
      </c>
      <c r="B1314" s="1" t="s">
        <v>2639</v>
      </c>
      <c r="C1314" s="1"/>
      <c r="F1314" s="1">
        <v>255</v>
      </c>
      <c r="J1314" s="1"/>
      <c r="M1314" s="15" t="s">
        <v>575</v>
      </c>
      <c r="N1314" s="15"/>
      <c r="O1314" s="15"/>
      <c r="P1314" s="15" t="str" cm="1">
        <f t="array" ref="P1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14" s="15" t="str" cm="1">
        <f t="array" ref="Q1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canciones/nuevas/gloria_a_jesus_el_señor.html</v>
      </c>
      <c r="S1314" s="1"/>
      <c r="T1314" s="1"/>
      <c r="U1314" s="1"/>
      <c r="V1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data-author="Martín Valverde"&gt;&lt;a href="canciones/nuevas/gloria_a_jesus_el_señor.html"&gt;Gloria a Jesús, el Señor&lt;/a&gt;&lt;/li&gt;</v>
      </c>
      <c r="W1314" s="15" t="str">
        <f>_xlfn.TEXTBEFORE(_xlfn.TEXTAFTER(CantoralDB[[#This Row],[index.html]],"&gt;"),"&gt;")&amp;"&gt;"</f>
        <v>&lt;a href="canciones/nuevas/gloria_a_jesus_el_señor.html"&gt;</v>
      </c>
    </row>
    <row r="1315" spans="1:23" x14ac:dyDescent="0.3">
      <c r="A1315" s="1">
        <f>ROW(CantoralDB[[#This Row],[Título]])-1</f>
        <v>1314</v>
      </c>
      <c r="B1315" s="1" t="s">
        <v>2717</v>
      </c>
      <c r="C1315" s="1"/>
      <c r="F1315" s="1">
        <v>337</v>
      </c>
      <c r="J1315" s="1"/>
      <c r="M1315" s="15" t="s">
        <v>2718</v>
      </c>
      <c r="N1315" s="15"/>
      <c r="O1315" s="15"/>
      <c r="P1315" s="15" t="str" cm="1">
        <f t="array" ref="P1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15" s="15" t="str" cm="1">
        <f t="array" ref="Q1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canciones/nuevas/el_señor_resucitado.html</v>
      </c>
      <c r="S1315" s="1"/>
      <c r="T1315" s="1"/>
      <c r="U1315" s="1"/>
      <c r="V1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data-author="Marvin Frey"&gt;&lt;a href="canciones/nuevas/el_señor_resucitado.html"&gt;El Señor resucitado&lt;/a&gt;&lt;/li&gt;</v>
      </c>
      <c r="W1315" s="15" t="str">
        <f>_xlfn.TEXTBEFORE(_xlfn.TEXTAFTER(CantoralDB[[#This Row],[index.html]],"&gt;"),"&gt;")&amp;"&gt;"</f>
        <v>&lt;a href="canciones/nuevas/el_señor_resucitado.html"&gt;</v>
      </c>
    </row>
    <row r="1316" spans="1:23" x14ac:dyDescent="0.3">
      <c r="A1316" s="1">
        <f>ROW(CantoralDB[[#This Row],[Título]])-1</f>
        <v>1315</v>
      </c>
      <c r="B1316" s="1" t="s">
        <v>1180</v>
      </c>
      <c r="C1316" s="1"/>
      <c r="E1316" s="1">
        <v>49</v>
      </c>
      <c r="J1316" s="1"/>
      <c r="M1316" s="15" t="s">
        <v>2887</v>
      </c>
      <c r="N1316" s="15"/>
      <c r="O1316" s="15"/>
      <c r="P1316" s="15" t="str" cm="1">
        <f t="array" ref="P1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16" s="15" t="str" cm="1">
        <f t="array" ref="Q1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canciones/nsb/cristiano_es_vivir.html</v>
      </c>
      <c r="S1316" s="1"/>
      <c r="T1316" s="1"/>
      <c r="U1316" s="1"/>
      <c r="V1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data-nold="49"&gt;&lt;a href="canciones/nsb/cristiano_es_vivir.html"&gt;Cristiano es vivir&lt;/a&gt;&lt;/li&gt;</v>
      </c>
      <c r="W1316" s="15" t="str">
        <f>_xlfn.TEXTBEFORE(_xlfn.TEXTAFTER(CantoralDB[[#This Row],[index.html]],"&gt;"),"&gt;")&amp;"&gt;"</f>
        <v>&lt;a href="canciones/nsb/cristiano_es_vivir.html"&gt;</v>
      </c>
    </row>
    <row r="1317" spans="1:23" x14ac:dyDescent="0.3">
      <c r="A1317" s="1">
        <f>ROW(CantoralDB[[#This Row],[Título]])-1</f>
        <v>1316</v>
      </c>
      <c r="B1317" s="1" t="s">
        <v>1203</v>
      </c>
      <c r="C1317" s="1"/>
      <c r="E1317" s="1">
        <v>80</v>
      </c>
      <c r="J1317" s="1"/>
      <c r="M1317" s="15" t="s">
        <v>2887</v>
      </c>
      <c r="N1317" s="15"/>
      <c r="O1317" s="15"/>
      <c r="P1317" s="15" t="str" cm="1">
        <f t="array" ref="P1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17" s="15" t="str" cm="1">
        <f t="array" ref="Q1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canciones/nsb/depende_de_ti_y_de_mi.html</v>
      </c>
      <c r="S1317" s="1"/>
      <c r="T1317" s="1"/>
      <c r="U1317" s="1"/>
      <c r="V1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data-nold="80"&gt;&lt;a href="canciones/nsb/depende_de_ti_y_de_mi.html"&gt;Depende de ti y de mí&lt;/a&gt;&lt;/li&gt;</v>
      </c>
      <c r="W1317" s="15" t="str">
        <f>_xlfn.TEXTBEFORE(_xlfn.TEXTAFTER(CantoralDB[[#This Row],[index.html]],"&gt;"),"&gt;")&amp;"&gt;"</f>
        <v>&lt;a href="canciones/nsb/depende_de_ti_y_de_mi.html"&gt;</v>
      </c>
    </row>
    <row r="1318" spans="1:23" x14ac:dyDescent="0.3">
      <c r="A1318" s="1">
        <f>ROW(CantoralDB[[#This Row],[Título]])-1</f>
        <v>1317</v>
      </c>
      <c r="B1318" s="1" t="s">
        <v>1308</v>
      </c>
      <c r="C1318" s="1"/>
      <c r="E1318" s="1">
        <v>218</v>
      </c>
      <c r="J1318" s="1"/>
      <c r="M1318" s="15" t="s">
        <v>2887</v>
      </c>
      <c r="N1318" s="15"/>
      <c r="O1318" s="15"/>
      <c r="P1318" s="15" t="str" cm="1">
        <f t="array" ref="P1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18" s="15" t="str" cm="1">
        <f t="array" ref="Q1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canciones/nsb/quien_mas_amigo_que_tu.html</v>
      </c>
      <c r="S1318" s="1"/>
      <c r="T1318" s="1"/>
      <c r="U1318" s="1"/>
      <c r="V1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data-author="Mercedes González" data-nold="218"&gt;&lt;a href="canciones/nsb/quien_mas_amigo_que_tu.html"&gt;Quién más amigo que tú&lt;/a&gt;&lt;/li&gt;</v>
      </c>
      <c r="W1318" s="15" t="str">
        <f>_xlfn.TEXTBEFORE(_xlfn.TEXTAFTER(CantoralDB[[#This Row],[index.html]],"&gt;"),"&gt;")&amp;"&gt;"</f>
        <v>&lt;a href="canciones/nsb/quien_mas_amigo_que_tu.html"&gt;</v>
      </c>
    </row>
    <row r="1319" spans="1:23" x14ac:dyDescent="0.3">
      <c r="A1319" s="1">
        <f>ROW(CantoralDB[[#This Row],[Título]])-1</f>
        <v>1318</v>
      </c>
      <c r="B1319" s="1" t="s">
        <v>2447</v>
      </c>
      <c r="C1319" s="1"/>
      <c r="F1319" s="1">
        <v>56</v>
      </c>
      <c r="J1319" s="1"/>
      <c r="M1319" s="15" t="s">
        <v>2448</v>
      </c>
      <c r="N1319" s="15"/>
      <c r="O1319" s="15"/>
      <c r="P1319" s="15" t="str" cm="1">
        <f t="array" ref="P1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19" s="15" t="str" cm="1">
        <f t="array" ref="Q1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canciones/nuevas/viejos_y_jovenes.html</v>
      </c>
      <c r="S1319" s="1"/>
      <c r="T1319" s="1"/>
      <c r="U1319" s="1"/>
      <c r="V1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data-author="Merla Watson"&gt;&lt;a href="canciones/nuevas/viejos_y_jovenes.html"&gt;Viejos y jóvenes&lt;/a&gt;&lt;/li&gt;</v>
      </c>
      <c r="W1319" s="15" t="str">
        <f>_xlfn.TEXTBEFORE(_xlfn.TEXTAFTER(CantoralDB[[#This Row],[index.html]],"&gt;"),"&gt;")&amp;"&gt;"</f>
        <v>&lt;a href="canciones/nuevas/viejos_y_jovenes.html"&gt;</v>
      </c>
    </row>
    <row r="1320" spans="1:23" x14ac:dyDescent="0.3">
      <c r="A1320" s="1">
        <f>ROW(CantoralDB[[#This Row],[Título]])-1</f>
        <v>1319</v>
      </c>
      <c r="B1320" s="1" t="s">
        <v>2596</v>
      </c>
      <c r="C1320" s="1"/>
      <c r="F1320" s="1">
        <v>199</v>
      </c>
      <c r="J1320" s="1"/>
      <c r="M1320" s="15" t="s">
        <v>2597</v>
      </c>
      <c r="N1320" s="15"/>
      <c r="O1320" s="15"/>
      <c r="P1320" s="15" t="str" cm="1">
        <f t="array" ref="P1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20" s="15" t="str" cm="1">
        <f t="array" ref="Q1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canciones/nuevas/clamaremos_al_señor.html</v>
      </c>
      <c r="S1320" s="1"/>
      <c r="T1320" s="1"/>
      <c r="U1320" s="1"/>
      <c r="V1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data-author="Michael O'Shields"&gt;&lt;a href="canciones/nuevas/clamaremos_al_señor.html"&gt;Clamaremos al Señor&lt;/a&gt;&lt;/li&gt;</v>
      </c>
      <c r="W1320" s="15" t="str">
        <f>_xlfn.TEXTBEFORE(_xlfn.TEXTAFTER(CantoralDB[[#This Row],[index.html]],"&gt;"),"&gt;")&amp;"&gt;"</f>
        <v>&lt;a href="canciones/nuevas/clamaremos_al_señor.html"&gt;</v>
      </c>
    </row>
    <row r="1321" spans="1:23" x14ac:dyDescent="0.3">
      <c r="A1321" s="1">
        <f>ROW(CantoralDB[[#This Row],[Título]])-1</f>
        <v>1320</v>
      </c>
      <c r="B1321" s="1" t="s">
        <v>2802</v>
      </c>
      <c r="C1321" s="1"/>
      <c r="F1321" s="1">
        <v>408</v>
      </c>
      <c r="J1321" s="1"/>
      <c r="M1321" s="15" t="s">
        <v>2803</v>
      </c>
      <c r="N1321" s="15"/>
      <c r="O1321" s="15"/>
      <c r="P1321" s="15" t="str" cm="1">
        <f t="array" ref="P1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21" s="15" t="str" cm="1">
        <f t="array" ref="Q1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canciones/nuevas/agnus_dei.html</v>
      </c>
      <c r="S1321" s="1"/>
      <c r="T1321" s="1"/>
      <c r="U1321" s="1"/>
      <c r="V1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data-author="Michael W. Smith"&gt;&lt;a href="canciones/nuevas/agnus_dei.html"&gt;Agnus Dei&lt;/a&gt;&lt;/li&gt;</v>
      </c>
      <c r="W1321" s="15" t="str">
        <f>_xlfn.TEXTBEFORE(_xlfn.TEXTAFTER(CantoralDB[[#This Row],[index.html]],"&gt;"),"&gt;")&amp;"&gt;"</f>
        <v>&lt;a href="canciones/nuevas/agnus_dei.html"&gt;</v>
      </c>
    </row>
    <row r="1322" spans="1:23" x14ac:dyDescent="0.3">
      <c r="A1322" s="1">
        <f>ROW(CantoralDB[[#This Row],[Título]])-1</f>
        <v>1321</v>
      </c>
      <c r="B1322" s="1" t="s">
        <v>2730</v>
      </c>
      <c r="C1322" s="1"/>
      <c r="F1322" s="1">
        <v>348</v>
      </c>
      <c r="J1322" s="1"/>
      <c r="M1322" s="15" t="s">
        <v>2731</v>
      </c>
      <c r="N1322" s="15"/>
      <c r="O1322" s="15"/>
      <c r="P1322" s="15" t="str" cm="1">
        <f t="array" ref="P1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22" s="15" t="str" cm="1">
        <f t="array" ref="Q1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canciones/nuevas/exaltad.html</v>
      </c>
      <c r="S1322" s="1"/>
      <c r="T1322" s="1"/>
      <c r="U1322" s="1"/>
      <c r="V1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Casina"&gt;&lt;a href="canciones/nuevas/exaltad.html"&gt;Exaltad&lt;/a&gt;&lt;/li&gt;</v>
      </c>
      <c r="W1322" s="15" t="str">
        <f>_xlfn.TEXTBEFORE(_xlfn.TEXTAFTER(CantoralDB[[#This Row],[index.html]],"&gt;"),"&gt;")&amp;"&gt;"</f>
        <v>&lt;a href="canciones/nuevas/exaltad.html"&gt;</v>
      </c>
    </row>
    <row r="1323" spans="1:23" x14ac:dyDescent="0.3">
      <c r="A1323" s="1">
        <f>ROW(CantoralDB[[#This Row],[Título]])-1</f>
        <v>1322</v>
      </c>
      <c r="B1323" s="1" t="s">
        <v>2761</v>
      </c>
      <c r="C1323" s="1"/>
      <c r="F1323" s="1">
        <v>375</v>
      </c>
      <c r="J1323" s="1"/>
      <c r="M1323" s="15" t="s">
        <v>2731</v>
      </c>
      <c r="N1323" s="15"/>
      <c r="O1323" s="15"/>
      <c r="P1323" s="15" t="str" cm="1">
        <f t="array" ref="P1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23" s="15" t="str" cm="1">
        <f t="array" ref="Q1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canciones/nuevas/tu_fidelidad.html</v>
      </c>
      <c r="S1323" s="1"/>
      <c r="T1323" s="1"/>
      <c r="U1323" s="1"/>
      <c r="V1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Casina"&gt;&lt;a href="canciones/nuevas/tu_fidelidad.html"&gt;Tu fidelidad&lt;/a&gt;&lt;/li&gt;</v>
      </c>
      <c r="W1323" s="15" t="str">
        <f>_xlfn.TEXTBEFORE(_xlfn.TEXTAFTER(CantoralDB[[#This Row],[index.html]],"&gt;"),"&gt;")&amp;"&gt;"</f>
        <v>&lt;a href="canciones/nuevas/tu_fidelidad.html"&gt;</v>
      </c>
    </row>
    <row r="1324" spans="1:23" x14ac:dyDescent="0.3">
      <c r="A1324" s="1">
        <f>ROW(CantoralDB[[#This Row],[Título]])-1</f>
        <v>1323</v>
      </c>
      <c r="B1324" s="1" t="s">
        <v>1</v>
      </c>
      <c r="C1324" s="1" t="s">
        <v>476</v>
      </c>
      <c r="D1324" s="1" t="s">
        <v>1358</v>
      </c>
      <c r="E1324" s="1">
        <v>1</v>
      </c>
      <c r="G1324" s="1" t="s">
        <v>209</v>
      </c>
      <c r="H1324" s="1" t="s">
        <v>1028</v>
      </c>
      <c r="J1324" s="1" t="s">
        <v>608</v>
      </c>
      <c r="M1324" s="15" t="s">
        <v>487</v>
      </c>
      <c r="N1324" s="15"/>
      <c r="O1324" s="15"/>
      <c r="P1324" s="15" t="str" cm="1">
        <f t="array" ref="P1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24" s="15" t="str" cm="1">
        <f t="array" ref="Q1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canciones/miguel_manzano/a_belen_se_va_y_se_viene.html</v>
      </c>
      <c r="S1324" s="1"/>
      <c r="T1324" s="1"/>
      <c r="U1324" s="1"/>
      <c r="V1324" s="17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data-momento="Navidad" data-nnew="O01" data-nold="1"&gt;&lt;a href="canciones/miguel_manzano/a_belen_se_va_y_se_viene.html"&gt;A Belén se va y se viene&lt;/a&gt;&lt;/li&gt;</v>
      </c>
      <c r="W1324" s="15" t="str">
        <f>_xlfn.TEXTBEFORE(_xlfn.TEXTAFTER(CantoralDB[[#This Row],[index.html]],"&gt;"),"&gt;")&amp;"&gt;"</f>
        <v>&lt;a href="canciones/miguel_manzano/a_belen_se_va_y_se_viene.html"&gt;</v>
      </c>
    </row>
    <row r="1325" spans="1:23" x14ac:dyDescent="0.3">
      <c r="A1325" s="1">
        <f>ROW(CantoralDB[[#This Row],[Título]])-1</f>
        <v>1324</v>
      </c>
      <c r="B1325" s="1" t="s">
        <v>1159</v>
      </c>
      <c r="C1325" s="1"/>
      <c r="E1325" s="1">
        <v>11</v>
      </c>
      <c r="H1325" s="1" t="s">
        <v>1028</v>
      </c>
      <c r="J1325" s="1" t="s">
        <v>608</v>
      </c>
      <c r="M1325" s="15" t="s">
        <v>487</v>
      </c>
      <c r="N1325" s="15"/>
      <c r="O1325" s="15"/>
      <c r="P1325" s="15" t="str" cm="1">
        <f t="array" ref="P1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25" s="15" t="str" cm="1">
        <f t="array" ref="Q1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canciones/miguel_manzano/aclama_al_señor_tierra_entera.html</v>
      </c>
      <c r="S1325" s="1"/>
      <c r="T1325" s="1"/>
      <c r="U1325" s="1"/>
      <c r="V1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data-nold="11"&gt;&lt;a href="canciones/miguel_manzano/aclama_al_señor_tierra_entera.html"&gt;Aclama al Señor, tierra entera&lt;/a&gt;&lt;/li&gt;</v>
      </c>
      <c r="W1325" s="15" t="str">
        <f>_xlfn.TEXTBEFORE(_xlfn.TEXTAFTER(CantoralDB[[#This Row],[index.html]],"&gt;"),"&gt;")&amp;"&gt;"</f>
        <v>&lt;a href="canciones/miguel_manzano/aclama_al_señor_tierra_entera.html"&gt;</v>
      </c>
    </row>
    <row r="1326" spans="1:23" x14ac:dyDescent="0.3">
      <c r="A1326" s="1">
        <f>ROW(CantoralDB[[#This Row],[Título]])-1</f>
        <v>1325</v>
      </c>
      <c r="B1326" s="1" t="s">
        <v>18</v>
      </c>
      <c r="C1326" s="1" t="s">
        <v>194</v>
      </c>
      <c r="D1326" s="1" t="s">
        <v>1378</v>
      </c>
      <c r="E1326" s="1">
        <v>14</v>
      </c>
      <c r="G1326" s="1" t="s">
        <v>209</v>
      </c>
      <c r="H1326" s="1" t="s">
        <v>1028</v>
      </c>
      <c r="J1326" s="1" t="s">
        <v>608</v>
      </c>
      <c r="M1326" s="15" t="s">
        <v>487</v>
      </c>
      <c r="N1326" s="15"/>
      <c r="O1326" s="15"/>
      <c r="P1326" s="15" t="str" cm="1">
        <f t="array" ref="P1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26" s="15" t="str" cm="1">
        <f t="array" ref="Q1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canciones/miguel_manzano/aleluya_el_señor_es_nuestro_rey.html</v>
      </c>
      <c r="S1326" s="1" t="s">
        <v>801</v>
      </c>
      <c r="T1326" s="1"/>
      <c r="U1326" s="1"/>
      <c r="V1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data-momento="Aleluya" data-nnew="E07" data-nold="14"&gt;&lt;a href="canciones/miguel_manzano/aleluya_el_señor_es_nuestro_rey.html"&gt;Aleluya, el Señor es nuestro Rey&lt;/a&gt;&lt;/li&gt;</v>
      </c>
      <c r="W1326" s="15" t="str">
        <f>_xlfn.TEXTBEFORE(_xlfn.TEXTAFTER(CantoralDB[[#This Row],[index.html]],"&gt;"),"&gt;")&amp;"&gt;"</f>
        <v>&lt;a href="canciones/miguel_manzano/aleluya_el_señor_es_nuestro_rey.html"&gt;</v>
      </c>
    </row>
    <row r="1327" spans="1:23" x14ac:dyDescent="0.3">
      <c r="A1327" s="1">
        <f>ROW(CantoralDB[[#This Row],[Título]])-1</f>
        <v>1326</v>
      </c>
      <c r="B1327" s="1" t="s">
        <v>1166</v>
      </c>
      <c r="C1327" s="1"/>
      <c r="E1327" s="1">
        <v>25</v>
      </c>
      <c r="H1327" s="1" t="s">
        <v>1028</v>
      </c>
      <c r="J1327" s="1" t="s">
        <v>608</v>
      </c>
      <c r="M1327" s="15" t="s">
        <v>487</v>
      </c>
      <c r="N1327" s="15"/>
      <c r="O1327" s="15"/>
      <c r="P1327" s="15" t="str" cm="1">
        <f t="array" ref="P1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27" s="15" t="str" cm="1">
        <f t="array" ref="Q1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canciones/miguel_manzano/a_ti_levanto_mis_ojos.html</v>
      </c>
      <c r="S1327" s="1"/>
      <c r="T1327" s="1"/>
      <c r="U1327" s="1"/>
      <c r="V1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data-nold="25"&gt;&lt;a href="canciones/miguel_manzano/a_ti_levanto_mis_ojos.html"&gt;A ti levanto mis ojos&lt;/a&gt;&lt;/li&gt;</v>
      </c>
      <c r="W1327" s="15" t="str">
        <f>_xlfn.TEXTBEFORE(_xlfn.TEXTAFTER(CantoralDB[[#This Row],[index.html]],"&gt;"),"&gt;")&amp;"&gt;"</f>
        <v>&lt;a href="canciones/miguel_manzano/a_ti_levanto_mis_ojos.html"&gt;</v>
      </c>
    </row>
    <row r="1328" spans="1:23" x14ac:dyDescent="0.3">
      <c r="A1328" s="1">
        <f>ROW(CantoralDB[[#This Row],[Título]])-1</f>
        <v>1327</v>
      </c>
      <c r="B1328" s="1" t="s">
        <v>1170</v>
      </c>
      <c r="C1328" s="1"/>
      <c r="E1328" s="1">
        <v>33</v>
      </c>
      <c r="H1328" s="1" t="s">
        <v>531</v>
      </c>
      <c r="J1328" s="1" t="s">
        <v>608</v>
      </c>
      <c r="M1328" s="15" t="s">
        <v>487</v>
      </c>
      <c r="N1328" s="15"/>
      <c r="O1328" s="15"/>
      <c r="P1328" s="15" t="str" cm="1">
        <f t="array" ref="P1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28" s="15" t="str" cm="1">
        <f t="array" ref="Q1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canciones/miguel_manzano/alma_mia_recobra_tu_calma.html</v>
      </c>
      <c r="S1328" s="1"/>
      <c r="T1328" s="1"/>
      <c r="U1328" s="1"/>
      <c r="V1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data-nold="33"&gt;&lt;a href="canciones/miguel_manzano/alma_mia_recobra_tu_calma.html"&gt;Alma mía, recobra tu calma&lt;/a&gt;&lt;/li&gt;</v>
      </c>
      <c r="W1328" s="15" t="str">
        <f>_xlfn.TEXTBEFORE(_xlfn.TEXTAFTER(CantoralDB[[#This Row],[index.html]],"&gt;"),"&gt;")&amp;"&gt;"</f>
        <v>&lt;a href="canciones/miguel_manzano/alma_mia_recobra_tu_calma.html"&gt;</v>
      </c>
    </row>
    <row r="1329" spans="1:23" x14ac:dyDescent="0.3">
      <c r="A1329" s="1">
        <f>ROW(CantoralDB[[#This Row],[Título]])-1</f>
        <v>1328</v>
      </c>
      <c r="B1329" s="1" t="s">
        <v>36</v>
      </c>
      <c r="C1329" s="1" t="s">
        <v>993</v>
      </c>
      <c r="D1329" s="1" t="s">
        <v>689</v>
      </c>
      <c r="E1329" s="1">
        <v>60</v>
      </c>
      <c r="G1329" s="1" t="s">
        <v>209</v>
      </c>
      <c r="H1329" s="1" t="s">
        <v>1030</v>
      </c>
      <c r="I1329" s="1" t="s">
        <v>2959</v>
      </c>
      <c r="J1329" s="1" t="s">
        <v>608</v>
      </c>
      <c r="M1329" s="15" t="s">
        <v>487</v>
      </c>
      <c r="N1329" s="15"/>
      <c r="O1329" s="15"/>
      <c r="P1329" s="15" t="str" cm="1">
        <f t="array" ref="P1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29" s="15" t="str" cm="1">
        <f t="array" ref="Q1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canciones/miguel_manzano/con_vosotros_esta.html</v>
      </c>
      <c r="S1329" s="1" t="s">
        <v>816</v>
      </c>
      <c r="T1329" s="1"/>
      <c r="U1329" s="1"/>
      <c r="V1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data-momento="Comunión" data-nnew="K16" data-nold="60"&gt;&lt;a href="canciones/miguel_manzano/con_vosotros_esta.html"&gt;Con vosotros está&lt;/a&gt;&lt;/li&gt;</v>
      </c>
      <c r="W1329" s="15" t="str">
        <f>_xlfn.TEXTBEFORE(_xlfn.TEXTAFTER(CantoralDB[[#This Row],[index.html]],"&gt;"),"&gt;")&amp;"&gt;"</f>
        <v>&lt;a href="canciones/miguel_manzano/con_vosotros_esta.html"&gt;</v>
      </c>
    </row>
    <row r="1330" spans="1:23" x14ac:dyDescent="0.3">
      <c r="A1330" s="1">
        <f>ROW(CantoralDB[[#This Row],[Título]])-1</f>
        <v>1329</v>
      </c>
      <c r="B1330" s="1" t="s">
        <v>1193</v>
      </c>
      <c r="C1330" s="1"/>
      <c r="E1330" s="1">
        <v>66</v>
      </c>
      <c r="H1330" s="1" t="s">
        <v>1028</v>
      </c>
      <c r="J1330" s="1" t="s">
        <v>608</v>
      </c>
      <c r="M1330" s="15" t="s">
        <v>487</v>
      </c>
      <c r="N1330" s="15"/>
      <c r="O1330" s="15"/>
      <c r="P1330" s="15" t="str" cm="1">
        <f t="array" ref="P1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30" s="15" t="str" cm="1">
        <f t="array" ref="Q1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canciones/miguel_manzano/cuando_vendras_señor.html</v>
      </c>
      <c r="S1330" s="1"/>
      <c r="T1330" s="1"/>
      <c r="U1330" s="1"/>
      <c r="V1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data-nold="66"&gt;&lt;a href="canciones/miguel_manzano/cuando_vendras_señor.html"&gt;Cuándo vendrás, Señor&lt;/a&gt;&lt;/li&gt;</v>
      </c>
      <c r="W1330" s="15" t="str">
        <f>_xlfn.TEXTBEFORE(_xlfn.TEXTAFTER(CantoralDB[[#This Row],[index.html]],"&gt;"),"&gt;")&amp;"&gt;"</f>
        <v>&lt;a href="canciones/miguel_manzano/cuando_vendras_señor.html"&gt;</v>
      </c>
    </row>
    <row r="1331" spans="1:23" x14ac:dyDescent="0.3">
      <c r="A1331" s="1">
        <f>ROW(CantoralDB[[#This Row],[Título]])-1</f>
        <v>1330</v>
      </c>
      <c r="B1331" s="1" t="s">
        <v>42</v>
      </c>
      <c r="C1331" s="1" t="s">
        <v>195</v>
      </c>
      <c r="D1331" s="1" t="s">
        <v>1407</v>
      </c>
      <c r="E1331" s="1">
        <v>67</v>
      </c>
      <c r="G1331" s="1" t="s">
        <v>209</v>
      </c>
      <c r="H1331" s="1" t="s">
        <v>531</v>
      </c>
      <c r="I1331" s="1" t="s">
        <v>2962</v>
      </c>
      <c r="J1331" s="1" t="s">
        <v>608</v>
      </c>
      <c r="M1331" s="15" t="s">
        <v>487</v>
      </c>
      <c r="N1331" s="15"/>
      <c r="O1331" s="15"/>
      <c r="P1331" s="15" t="str" cm="1">
        <f t="array" ref="P1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31" s="15" t="str" cm="1">
        <f t="array" ref="Q1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canciones/miguel_manzano/cuando_el_pobre_nada_tiene.html</v>
      </c>
      <c r="S1331" s="1"/>
      <c r="T1331" s="1"/>
      <c r="U1331" s="1"/>
      <c r="V1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data-momento="Ofertorio" data-nnew="F05" data-nold="67"&gt;&lt;a href="canciones/miguel_manzano/cuando_el_pobre_nada_tiene.html"&gt;Cuando el pobre nada tiene&lt;/a&gt;&lt;/li&gt;</v>
      </c>
      <c r="W1331" s="15" t="str">
        <f>_xlfn.TEXTBEFORE(_xlfn.TEXTAFTER(CantoralDB[[#This Row],[index.html]],"&gt;"),"&gt;")&amp;"&gt;"</f>
        <v>&lt;a href="canciones/miguel_manzano/cuando_el_pobre_nada_tiene.html"&gt;</v>
      </c>
    </row>
    <row r="1332" spans="1:23" x14ac:dyDescent="0.3">
      <c r="A1332" s="1">
        <f>ROW(CantoralDB[[#This Row],[Título]])-1</f>
        <v>1331</v>
      </c>
      <c r="B1332" s="1" t="s">
        <v>2120</v>
      </c>
      <c r="C1332" s="1"/>
      <c r="E1332" s="1">
        <v>79</v>
      </c>
      <c r="H1332" s="1" t="s">
        <v>1028</v>
      </c>
      <c r="J1332" s="1" t="s">
        <v>608</v>
      </c>
      <c r="M1332" s="15" t="s">
        <v>487</v>
      </c>
      <c r="N1332" s="15"/>
      <c r="O1332" s="15"/>
      <c r="P1332" s="15" t="str" cm="1">
        <f t="array" ref="P1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32" s="15" t="str" cm="1">
        <f t="array" ref="Q1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canciones/miguel_manzano/desde_lo_hondo.html</v>
      </c>
      <c r="S1332" s="1"/>
      <c r="T1332" s="1"/>
      <c r="U1332" s="1"/>
      <c r="V1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data-nold="79"&gt;&lt;a href="canciones/miguel_manzano/desde_lo_hondo.html"&gt;Desde lo hondo&lt;/a&gt;&lt;/li&gt;</v>
      </c>
      <c r="W1332" s="15" t="str">
        <f>_xlfn.TEXTBEFORE(_xlfn.TEXTAFTER(CantoralDB[[#This Row],[index.html]],"&gt;"),"&gt;")&amp;"&gt;"</f>
        <v>&lt;a href="canciones/miguel_manzano/desde_lo_hondo.html"&gt;</v>
      </c>
    </row>
    <row r="1333" spans="1:23" x14ac:dyDescent="0.3">
      <c r="A1333" s="1">
        <f>ROW(CantoralDB[[#This Row],[Título]])-1</f>
        <v>1332</v>
      </c>
      <c r="B1333" s="1" t="s">
        <v>1212</v>
      </c>
      <c r="C1333" s="1"/>
      <c r="E1333" s="1">
        <v>90</v>
      </c>
      <c r="H1333" s="1" t="s">
        <v>1030</v>
      </c>
      <c r="J1333" s="1" t="s">
        <v>608</v>
      </c>
      <c r="M1333" s="15" t="s">
        <v>487</v>
      </c>
      <c r="N1333" s="15"/>
      <c r="O1333" s="15"/>
      <c r="P1333" s="15" t="str" cm="1">
        <f t="array" ref="P1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33" s="15" t="str" cm="1">
        <f t="array" ref="Q1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canciones/miguel_manzano/el_pueblo_gime_en_el_dolor.html</v>
      </c>
      <c r="S1333" s="1"/>
      <c r="T1333" s="1"/>
      <c r="U1333" s="1"/>
      <c r="V1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data-nold="90"&gt;&lt;a href="canciones/miguel_manzano/el_pueblo_gime_en_el_dolor.html"&gt;El pueblo gime en el dolor&lt;/a&gt;&lt;/li&gt;</v>
      </c>
      <c r="W1333" s="15" t="str">
        <f>_xlfn.TEXTBEFORE(_xlfn.TEXTAFTER(CantoralDB[[#This Row],[index.html]],"&gt;"),"&gt;")&amp;"&gt;"</f>
        <v>&lt;a href="canciones/miguel_manzano/el_pueblo_gime_en_el_dolor.html"&gt;</v>
      </c>
    </row>
    <row r="1334" spans="1:23" x14ac:dyDescent="0.3">
      <c r="A1334" s="1">
        <f>ROW(CantoralDB[[#This Row],[Título]])-1</f>
        <v>1333</v>
      </c>
      <c r="B1334" s="1" t="s">
        <v>66</v>
      </c>
      <c r="C1334" s="1" t="s">
        <v>201</v>
      </c>
      <c r="D1334" s="1" t="s">
        <v>656</v>
      </c>
      <c r="E1334" s="1">
        <v>113</v>
      </c>
      <c r="G1334" s="1" t="s">
        <v>209</v>
      </c>
      <c r="H1334" s="1" t="s">
        <v>531</v>
      </c>
      <c r="I1334" s="1" t="s">
        <v>2962</v>
      </c>
      <c r="J1334" s="1" t="s">
        <v>608</v>
      </c>
      <c r="M1334" s="15" t="s">
        <v>487</v>
      </c>
      <c r="N1334" s="15"/>
      <c r="O1334" s="15"/>
      <c r="P1334" s="15" t="str" cm="1">
        <f t="array" ref="P1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34" s="15" t="str" cm="1">
        <f t="array" ref="Q1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canciones/miguel_manzano/este_es_el_dia_en_que_actuo_el_señor.html</v>
      </c>
      <c r="S1334" s="1" t="s">
        <v>834</v>
      </c>
      <c r="T1334" s="1"/>
      <c r="U1334" s="1"/>
      <c r="V1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data-momento="Antífonas" data-nnew="D18" data-nold="113"&gt;&lt;a href="canciones/miguel_manzano/este_es_el_dia_en_que_actuo_el_señor.html"&gt;Este es el día en que actuó el Señor&lt;/a&gt;&lt;/li&gt;</v>
      </c>
      <c r="W1334" s="15" t="str">
        <f>_xlfn.TEXTBEFORE(_xlfn.TEXTAFTER(CantoralDB[[#This Row],[index.html]],"&gt;"),"&gt;")&amp;"&gt;"</f>
        <v>&lt;a href="canciones/miguel_manzano/este_es_el_dia_en_que_actuo_el_señor.html"&gt;</v>
      </c>
    </row>
    <row r="1335" spans="1:23" x14ac:dyDescent="0.3">
      <c r="A1335" s="1">
        <f>ROW(CantoralDB[[#This Row],[Título]])-1</f>
        <v>1334</v>
      </c>
      <c r="B1335" s="1" t="s">
        <v>1271</v>
      </c>
      <c r="C1335" s="1"/>
      <c r="E1335" s="1">
        <v>151</v>
      </c>
      <c r="J1335" s="1"/>
      <c r="M1335" s="15" t="s">
        <v>487</v>
      </c>
      <c r="N1335" s="15"/>
      <c r="O1335" s="15"/>
      <c r="P1335" s="15" t="str" cm="1">
        <f t="array" ref="P1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35" s="15" t="str" cm="1">
        <f t="array" ref="Q1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canciones/miguel_manzano/levanto_mis_ojos_a_los_montes.html</v>
      </c>
      <c r="S1335" s="1"/>
      <c r="T1335" s="1"/>
      <c r="U1335" s="1"/>
      <c r="V1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data-nold="151"&gt;&lt;a href="canciones/miguel_manzano/levanto_mis_ojos_a_los_montes.html"&gt;Levanto mis ojos a los montes&lt;/a&gt;&lt;/li&gt;</v>
      </c>
      <c r="W1335" s="15" t="str">
        <f>_xlfn.TEXTBEFORE(_xlfn.TEXTAFTER(CantoralDB[[#This Row],[index.html]],"&gt;"),"&gt;")&amp;"&gt;"</f>
        <v>&lt;a href="canciones/miguel_manzano/levanto_mis_ojos_a_los_montes.html"&gt;</v>
      </c>
    </row>
    <row r="1336" spans="1:23" x14ac:dyDescent="0.3">
      <c r="A1336" s="1">
        <f>ROW(CantoralDB[[#This Row],[Título]])-1</f>
        <v>1335</v>
      </c>
      <c r="B1336" s="1" t="s">
        <v>1274</v>
      </c>
      <c r="C1336" s="1"/>
      <c r="E1336" s="1">
        <v>155</v>
      </c>
      <c r="J1336" s="1"/>
      <c r="M1336" s="15" t="s">
        <v>487</v>
      </c>
      <c r="N1336" s="15"/>
      <c r="O1336" s="15"/>
      <c r="P1336" s="15" t="str" cm="1">
        <f t="array" ref="P1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36" s="15" t="str" cm="1">
        <f t="array" ref="Q1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canciones/miguel_manzano/la_tierra_que_hoy_pisamos.html</v>
      </c>
      <c r="S1336" s="1"/>
      <c r="T1336" s="1"/>
      <c r="U1336" s="1"/>
      <c r="V1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data-nold="155"&gt;&lt;a href="canciones/miguel_manzano/la_tierra_que_hoy_pisamos.html"&gt;La tierra que hoy pisamos&lt;/a&gt;&lt;/li&gt;</v>
      </c>
      <c r="W1336" s="15" t="str">
        <f>_xlfn.TEXTBEFORE(_xlfn.TEXTAFTER(CantoralDB[[#This Row],[index.html]],"&gt;"),"&gt;")&amp;"&gt;"</f>
        <v>&lt;a href="canciones/miguel_manzano/la_tierra_que_hoy_pisamos.html"&gt;</v>
      </c>
    </row>
    <row r="1337" spans="1:23" x14ac:dyDescent="0.3">
      <c r="A1337" s="1">
        <f>ROW(CantoralDB[[#This Row],[Título]])-1</f>
        <v>1336</v>
      </c>
      <c r="B1337" s="1" t="s">
        <v>94</v>
      </c>
      <c r="C1337" s="1" t="s">
        <v>993</v>
      </c>
      <c r="D1337" s="1" t="s">
        <v>719</v>
      </c>
      <c r="E1337" s="1">
        <v>166</v>
      </c>
      <c r="G1337" s="1" t="s">
        <v>209</v>
      </c>
      <c r="H1337" s="1" t="s">
        <v>1027</v>
      </c>
      <c r="J1337" s="1" t="s">
        <v>608</v>
      </c>
      <c r="M1337" s="15" t="s">
        <v>487</v>
      </c>
      <c r="N1337" s="15"/>
      <c r="O1337" s="15"/>
      <c r="P1337" s="15" t="str" cm="1">
        <f t="array" ref="P1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37" s="15" t="str" cm="1">
        <f t="array" ref="Q1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canciones/miguel_manzano/mirad_al_suelo.html</v>
      </c>
      <c r="S1337" s="1" t="s">
        <v>844</v>
      </c>
      <c r="T1337" s="1"/>
      <c r="U1337" s="1"/>
      <c r="V1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data-momento="Comunión" data-nnew="K46" data-nold="166"&gt;&lt;a href="canciones/miguel_manzano/mirad_al_suelo.html"&gt;Mirad al suelo&lt;/a&gt;&lt;/li&gt;</v>
      </c>
      <c r="W1337" s="15" t="str">
        <f>_xlfn.TEXTBEFORE(_xlfn.TEXTAFTER(CantoralDB[[#This Row],[index.html]],"&gt;"),"&gt;")&amp;"&gt;"</f>
        <v>&lt;a href="canciones/miguel_manzano/mirad_al_suelo.html"&gt;</v>
      </c>
    </row>
    <row r="1338" spans="1:23" x14ac:dyDescent="0.3">
      <c r="A1338" s="1">
        <f>ROW(CantoralDB[[#This Row],[Título]])-1</f>
        <v>1337</v>
      </c>
      <c r="B1338" s="1" t="s">
        <v>1302</v>
      </c>
      <c r="C1338" s="1"/>
      <c r="E1338" s="1">
        <v>206</v>
      </c>
      <c r="J1338" s="1"/>
      <c r="M1338" s="15" t="s">
        <v>487</v>
      </c>
      <c r="N1338" s="15"/>
      <c r="O1338" s="15"/>
      <c r="P1338" s="15" t="str" cm="1">
        <f t="array" ref="P1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38" s="15" t="str" cm="1">
        <f t="array" ref="Q1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canciones/miguel_manzano/porque_el_mundo_esta_lleno_de_misterios.html</v>
      </c>
      <c r="S1338" s="1"/>
      <c r="T1338" s="1"/>
      <c r="U1338" s="1"/>
      <c r="V1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data-nold="206"&gt;&lt;a href="canciones/miguel_manzano/porque_el_mundo_esta_lleno_de_misterios.html"&gt;Porque el mundo está lleno de misterios&lt;/a&gt;&lt;/li&gt;</v>
      </c>
      <c r="W1338" s="15" t="str">
        <f>_xlfn.TEXTBEFORE(_xlfn.TEXTAFTER(CantoralDB[[#This Row],[index.html]],"&gt;"),"&gt;")&amp;"&gt;"</f>
        <v>&lt;a href="canciones/miguel_manzano/porque_el_mundo_esta_lleno_de_misterios.html"&gt;</v>
      </c>
    </row>
    <row r="1339" spans="1:23" x14ac:dyDescent="0.3">
      <c r="A1339" s="1">
        <f>ROW(CantoralDB[[#This Row],[Título]])-1</f>
        <v>1338</v>
      </c>
      <c r="B1339" s="1" t="s">
        <v>119</v>
      </c>
      <c r="C1339" s="1" t="s">
        <v>191</v>
      </c>
      <c r="D1339" s="1" t="s">
        <v>748</v>
      </c>
      <c r="E1339" s="1">
        <v>221</v>
      </c>
      <c r="G1339" s="1" t="s">
        <v>209</v>
      </c>
      <c r="H1339" s="1" t="s">
        <v>1029</v>
      </c>
      <c r="J1339" s="1" t="s">
        <v>608</v>
      </c>
      <c r="M1339" s="15" t="s">
        <v>487</v>
      </c>
      <c r="N1339" s="15"/>
      <c r="O1339" s="15"/>
      <c r="P1339" s="15" t="str" cm="1">
        <f t="array" ref="P1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39" s="15" t="str" cm="1">
        <f t="array" ref="Q1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canciones/miguel_manzano/que_alegria_cuando_me_dijeron.html</v>
      </c>
      <c r="S1339" s="1" t="s">
        <v>857</v>
      </c>
      <c r="T1339" s="1"/>
      <c r="U1339" s="1"/>
      <c r="V1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data-momento="Entrada" data-nnew="A28" data-nold="221"&gt;&lt;a href="canciones/miguel_manzano/que_alegria_cuando_me_dijeron.html"&gt;Qué alegría cuando me dijeron&lt;/a&gt;&lt;/li&gt;</v>
      </c>
      <c r="W1339" s="15" t="str">
        <f>_xlfn.TEXTBEFORE(_xlfn.TEXTAFTER(CantoralDB[[#This Row],[index.html]],"&gt;"),"&gt;")&amp;"&gt;"</f>
        <v>&lt;a href="canciones/miguel_manzano/que_alegria_cuando_me_dijeron.html"&gt;</v>
      </c>
    </row>
    <row r="1340" spans="1:23" x14ac:dyDescent="0.3">
      <c r="A1340" s="1">
        <f>ROW(CantoralDB[[#This Row],[Título]])-1</f>
        <v>1339</v>
      </c>
      <c r="B1340" s="1" t="s">
        <v>1317</v>
      </c>
      <c r="C1340" s="1"/>
      <c r="E1340" s="1">
        <v>236</v>
      </c>
      <c r="J1340" s="1"/>
      <c r="M1340" s="15" t="s">
        <v>487</v>
      </c>
      <c r="N1340" s="15"/>
      <c r="O1340" s="15"/>
      <c r="P1340" s="15" t="str" cm="1">
        <f t="array" ref="P1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40" s="15" t="str" cm="1">
        <f t="array" ref="Q1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canciones/miguel_manzano/sacareis_aguas_con_gozo.html</v>
      </c>
      <c r="S1340" s="1"/>
      <c r="T1340" s="1"/>
      <c r="U1340" s="1"/>
      <c r="V1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data-nold="236"&gt;&lt;a href="canciones/miguel_manzano/sacareis_aguas_con_gozo.html"&gt;Sacaréis aguas con gozo&lt;/a&gt;&lt;/li&gt;</v>
      </c>
      <c r="W1340" s="15" t="str">
        <f>_xlfn.TEXTBEFORE(_xlfn.TEXTAFTER(CantoralDB[[#This Row],[index.html]],"&gt;"),"&gt;")&amp;"&gt;"</f>
        <v>&lt;a href="canciones/miguel_manzano/sacareis_aguas_con_gozo.html"&gt;</v>
      </c>
    </row>
    <row r="1341" spans="1:23" x14ac:dyDescent="0.3">
      <c r="A1341" s="1">
        <f>ROW(CantoralDB[[#This Row],[Título]])-1</f>
        <v>1340</v>
      </c>
      <c r="B1341" s="1" t="s">
        <v>149</v>
      </c>
      <c r="C1341" s="1" t="s">
        <v>201</v>
      </c>
      <c r="D1341" s="1" t="s">
        <v>676</v>
      </c>
      <c r="E1341" s="1">
        <v>264</v>
      </c>
      <c r="G1341" s="1" t="s">
        <v>209</v>
      </c>
      <c r="H1341" s="1" t="s">
        <v>1028</v>
      </c>
      <c r="I1341" s="1" t="s">
        <v>2962</v>
      </c>
      <c r="J1341" s="1" t="s">
        <v>608</v>
      </c>
      <c r="M1341" s="15" t="s">
        <v>487</v>
      </c>
      <c r="N1341" s="15"/>
      <c r="O1341" s="15"/>
      <c r="P1341" s="15" t="str" cm="1">
        <f t="array" ref="P1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41" s="15" t="str" cm="1">
        <f t="array" ref="Q1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canciones/miguel_manzano/tu_reino_es_vida.html</v>
      </c>
      <c r="S1341" s="1"/>
      <c r="T1341" s="1"/>
      <c r="U1341" s="1"/>
      <c r="V1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data-momento="Antífonas" data-nnew="D38" data-nold="264"&gt;&lt;a href="canciones/miguel_manzano/tu_reino_es_vida.html"&gt;Tu Reino es vida&lt;/a&gt;&lt;/li&gt;</v>
      </c>
      <c r="W1341" s="15" t="str">
        <f>_xlfn.TEXTBEFORE(_xlfn.TEXTAFTER(CantoralDB[[#This Row],[index.html]],"&gt;"),"&gt;")&amp;"&gt;"</f>
        <v>&lt;a href="canciones/miguel_manzano/tu_reino_es_vida.html"&gt;</v>
      </c>
    </row>
    <row r="1342" spans="1:23" x14ac:dyDescent="0.3">
      <c r="A1342" s="1">
        <f>ROW(CantoralDB[[#This Row],[Título]])-1</f>
        <v>1341</v>
      </c>
      <c r="B1342" s="1" t="s">
        <v>250</v>
      </c>
      <c r="C1342" s="1" t="s">
        <v>202</v>
      </c>
      <c r="D1342" s="1" t="s">
        <v>1404</v>
      </c>
      <c r="G1342" s="1" t="s">
        <v>248</v>
      </c>
      <c r="H1342" s="1" t="s">
        <v>1027</v>
      </c>
      <c r="J1342" s="1" t="s">
        <v>608</v>
      </c>
      <c r="M1342" s="15" t="s">
        <v>487</v>
      </c>
      <c r="N1342" s="15"/>
      <c r="O1342" s="15"/>
      <c r="P1342" s="15" t="str" cm="1">
        <f t="array" ref="P1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Q1342" s="15" t="str" cm="1">
        <f t="array" ref="Q1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canciones/miguel_manzano/cordero_de_dios_(manzano).html</v>
      </c>
      <c r="S1342" s="1"/>
      <c r="T1342" s="1"/>
      <c r="U1342" s="1"/>
      <c r="V1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 Manzano" data-momento="Cordero de Dios" data-nnew="J04"&gt;&lt;a href="canciones/miguel_manzano/cordero_de_dios_(manzano).html"&gt;Cordero de Dios (Manzano)&lt;/a&gt;&lt;/li&gt;</v>
      </c>
      <c r="W1342" s="15" t="str">
        <f>_xlfn.TEXTBEFORE(_xlfn.TEXTAFTER(CantoralDB[[#This Row],[index.html]],"&gt;"),"&gt;")&amp;"&gt;"</f>
        <v>&lt;a href="canciones/miguel_manzano/cordero_de_dios_(manzano).html"&gt;</v>
      </c>
    </row>
    <row r="1343" spans="1:23" x14ac:dyDescent="0.3">
      <c r="A1343" s="1">
        <f>ROW(CantoralDB[[#This Row],[Título]])-1</f>
        <v>1342</v>
      </c>
      <c r="B1343" s="1" t="s">
        <v>72</v>
      </c>
      <c r="C1343" s="1" t="s">
        <v>200</v>
      </c>
      <c r="D1343" s="1" t="s">
        <v>1428</v>
      </c>
      <c r="E1343" s="1">
        <v>428</v>
      </c>
      <c r="G1343" s="1" t="s">
        <v>209</v>
      </c>
      <c r="H1343" s="1" t="s">
        <v>531</v>
      </c>
      <c r="I1343" s="1" t="s">
        <v>2962</v>
      </c>
      <c r="J1343" s="1" t="s">
        <v>608</v>
      </c>
      <c r="M1343" s="15" t="s">
        <v>258</v>
      </c>
      <c r="N1343" s="15"/>
      <c r="O1343" s="15"/>
      <c r="P1343" s="15" t="str" cm="1">
        <f t="array" ref="P1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43" s="15" t="str" cm="1">
        <f t="array" ref="Q1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canciones/nsb/hagase.html</v>
      </c>
      <c r="S1343" s="1" t="s">
        <v>836</v>
      </c>
      <c r="T1343" s="1"/>
      <c r="U1343" s="1"/>
      <c r="V1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data-momento="María" data-nnew="M05" data-nold="428"&gt;&lt;a href="canciones/nsb/hagase.html"&gt;Hágase&lt;/a&gt;&lt;/li&gt;</v>
      </c>
      <c r="W1343" s="15" t="str">
        <f>_xlfn.TEXTBEFORE(_xlfn.TEXTAFTER(CantoralDB[[#This Row],[index.html]],"&gt;"),"&gt;")&amp;"&gt;"</f>
        <v>&lt;a href="canciones/nsb/hagase.html"&gt;</v>
      </c>
    </row>
    <row r="1344" spans="1:23" x14ac:dyDescent="0.3">
      <c r="A1344" s="1">
        <f>ROW(CantoralDB[[#This Row],[Título]])-1</f>
        <v>1343</v>
      </c>
      <c r="B1344" s="1" t="s">
        <v>99</v>
      </c>
      <c r="C1344" s="1" t="s">
        <v>198</v>
      </c>
      <c r="D1344" s="1" t="s">
        <v>1442</v>
      </c>
      <c r="E1344" s="1">
        <v>442</v>
      </c>
      <c r="G1344" s="1" t="s">
        <v>209</v>
      </c>
      <c r="H1344" s="1" t="s">
        <v>1029</v>
      </c>
      <c r="J1344" s="1" t="s">
        <v>608</v>
      </c>
      <c r="M1344" s="15" t="s">
        <v>258</v>
      </c>
      <c r="N1344" s="15"/>
      <c r="O1344" s="15"/>
      <c r="P1344" s="15" t="str" cm="1">
        <f t="array" ref="P1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44" s="15" t="str" cm="1">
        <f t="array" ref="Q1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canciones/nsb/no_se_canso_de_hacer_el_bien.html</v>
      </c>
      <c r="S1344" s="1"/>
      <c r="T1344" s="1"/>
      <c r="U1344" s="1"/>
      <c r="V1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data-momento="Paz" data-nnew="I04" data-nold="442"&gt;&lt;a href="canciones/nsb/no_se_canso_de_hacer_el_bien.html"&gt;No se cansó de hacer el bien&lt;/a&gt;&lt;/li&gt;</v>
      </c>
      <c r="W1344" s="15" t="str">
        <f>_xlfn.TEXTBEFORE(_xlfn.TEXTAFTER(CantoralDB[[#This Row],[index.html]],"&gt;"),"&gt;")&amp;"&gt;"</f>
        <v>&lt;a href="canciones/nsb/no_se_canso_de_hacer_el_bien.html"&gt;</v>
      </c>
    </row>
    <row r="1345" spans="1:23" x14ac:dyDescent="0.3">
      <c r="A1345" s="1">
        <f>ROW(CantoralDB[[#This Row],[Título]])-1</f>
        <v>1344</v>
      </c>
      <c r="B1345" s="1" t="s">
        <v>534</v>
      </c>
      <c r="C1345" s="1" t="s">
        <v>200</v>
      </c>
      <c r="D1345" s="1" t="s">
        <v>1044</v>
      </c>
      <c r="G1345" s="1" t="s">
        <v>258</v>
      </c>
      <c r="H1345" s="1" t="s">
        <v>531</v>
      </c>
      <c r="I1345" s="1" t="s">
        <v>2960</v>
      </c>
      <c r="J1345" s="1" t="s">
        <v>608</v>
      </c>
      <c r="M1345" s="15" t="s">
        <v>258</v>
      </c>
      <c r="N1345" s="15"/>
      <c r="O1345" s="15"/>
      <c r="P1345" s="15" t="str" cm="1">
        <f t="array" ref="P1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45" s="15" t="str" cm="1">
        <f t="array" ref="Q1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canciones/nsb/maria_de_nazaret.html</v>
      </c>
      <c r="S1345" s="1"/>
      <c r="T1345" s="1"/>
      <c r="U1345" s="1"/>
      <c r="V1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data-momento="María" data-nnew="M10"&gt;&lt;a href="canciones/nsb/maria_de_nazaret.html"&gt;María de Nazaret&lt;/a&gt;&lt;/li&gt;</v>
      </c>
      <c r="W1345" s="15" t="str">
        <f>_xlfn.TEXTBEFORE(_xlfn.TEXTAFTER(CantoralDB[[#This Row],[index.html]],"&gt;"),"&gt;")&amp;"&gt;"</f>
        <v>&lt;a href="canciones/nsb/maria_de_nazaret.html"&gt;</v>
      </c>
    </row>
    <row r="1346" spans="1:23" x14ac:dyDescent="0.3">
      <c r="A1346" s="1">
        <f>ROW(CantoralDB[[#This Row],[Título]])-1</f>
        <v>1345</v>
      </c>
      <c r="B1346" s="1" t="s">
        <v>257</v>
      </c>
      <c r="C1346" s="1" t="s">
        <v>201</v>
      </c>
      <c r="D1346" s="1" t="s">
        <v>681</v>
      </c>
      <c r="G1346" s="1" t="s">
        <v>258</v>
      </c>
      <c r="H1346" s="1" t="s">
        <v>1027</v>
      </c>
      <c r="J1346" s="1" t="s">
        <v>608</v>
      </c>
      <c r="M1346" s="15" t="s">
        <v>258</v>
      </c>
      <c r="N1346" s="15"/>
      <c r="O1346" s="15"/>
      <c r="P1346" s="15" t="str" cm="1">
        <f t="array" ref="P1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46" s="15" t="str" cm="1">
        <f t="array" ref="Q1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canciones/nsb/yendo_contigo.html</v>
      </c>
      <c r="S1346" s="1"/>
      <c r="T1346" s="1"/>
      <c r="U1346" s="1"/>
      <c r="V1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data-author="Migueli" data-momento="Antífonas" data-nnew="D43"&gt;&lt;a href="canciones/nsb/yendo_contigo.html"&gt;Yendo contigo&lt;/a&gt;&lt;/li&gt;</v>
      </c>
      <c r="W1346" s="15" t="str">
        <f>_xlfn.TEXTBEFORE(_xlfn.TEXTAFTER(CantoralDB[[#This Row],[index.html]],"&gt;"),"&gt;")&amp;"&gt;"</f>
        <v>&lt;a href="canciones/nsb/yendo_contigo.html"&gt;</v>
      </c>
    </row>
    <row r="1347" spans="1:23" x14ac:dyDescent="0.3">
      <c r="A1347" s="1">
        <f>ROW(CantoralDB[[#This Row],[Título]])-1</f>
        <v>1346</v>
      </c>
      <c r="B1347" s="1" t="s">
        <v>2661</v>
      </c>
      <c r="C1347" s="1"/>
      <c r="F1347" s="1">
        <v>275</v>
      </c>
      <c r="J1347" s="1"/>
      <c r="M1347" s="15" t="s">
        <v>2662</v>
      </c>
      <c r="N1347" s="15"/>
      <c r="O1347" s="15"/>
      <c r="P1347" s="15" t="str" cm="1">
        <f t="array" ref="P1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47" s="15" t="str" cm="1">
        <f t="array" ref="Q1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canciones/nuevas/no_tengo_mas.html</v>
      </c>
      <c r="S1347" s="1"/>
      <c r="T1347" s="1"/>
      <c r="U1347" s="1"/>
      <c r="V1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data-author="Milagros Rosa"&gt;&lt;a href="canciones/nuevas/no_tengo_mas.html"&gt;No tengo más&lt;/a&gt;&lt;/li&gt;</v>
      </c>
      <c r="W1347" s="15" t="str">
        <f>_xlfn.TEXTBEFORE(_xlfn.TEXTAFTER(CantoralDB[[#This Row],[index.html]],"&gt;"),"&gt;")&amp;"&gt;"</f>
        <v>&lt;a href="canciones/nuevas/no_tengo_mas.html"&gt;</v>
      </c>
    </row>
    <row r="1348" spans="1:23" x14ac:dyDescent="0.3">
      <c r="A1348" s="1">
        <f>ROW(CantoralDB[[#This Row],[Título]])-1</f>
        <v>1347</v>
      </c>
      <c r="B1348" s="1" t="s">
        <v>1189</v>
      </c>
      <c r="C1348" s="1"/>
      <c r="E1348" s="1">
        <v>61</v>
      </c>
      <c r="H1348" s="1" t="s">
        <v>531</v>
      </c>
      <c r="J1348" s="1" t="s">
        <v>608</v>
      </c>
      <c r="M1348" s="15" t="s">
        <v>2086</v>
      </c>
      <c r="N1348" s="15"/>
      <c r="O1348" s="15"/>
      <c r="P1348" s="15" t="str" cm="1">
        <f t="array" ref="P1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48" s="15" t="str" cm="1">
        <f t="array" ref="Q1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canciones/nsb/creo_señor_firmemente.html</v>
      </c>
      <c r="S1348" s="1"/>
      <c r="T1348" s="1"/>
      <c r="U1348" s="1"/>
      <c r="V1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data-nold="61"&gt;&lt;a href="canciones/nsb/creo_señor_firmemente.html"&gt;Creo, Señor, firmemente&lt;/a&gt;&lt;/li&gt;</v>
      </c>
      <c r="W1348" s="15" t="str">
        <f>_xlfn.TEXTBEFORE(_xlfn.TEXTAFTER(CantoralDB[[#This Row],[index.html]],"&gt;"),"&gt;")&amp;"&gt;"</f>
        <v>&lt;a href="canciones/nsb/creo_señor_firmemente.html"&gt;</v>
      </c>
    </row>
    <row r="1349" spans="1:23" x14ac:dyDescent="0.3">
      <c r="A1349" s="1">
        <f>ROW(CantoralDB[[#This Row],[Título]])-1</f>
        <v>1348</v>
      </c>
      <c r="B1349" s="1" t="s">
        <v>1286</v>
      </c>
      <c r="C1349" s="1"/>
      <c r="E1349" s="1">
        <v>176</v>
      </c>
      <c r="H1349" s="1" t="s">
        <v>473</v>
      </c>
      <c r="J1349" s="1" t="s">
        <v>608</v>
      </c>
      <c r="M1349" s="15" t="s">
        <v>2086</v>
      </c>
      <c r="N1349" s="15"/>
      <c r="O1349" s="15"/>
      <c r="P1349" s="15" t="str" cm="1">
        <f t="array" ref="P1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49" s="15" t="str" cm="1">
        <f t="array" ref="Q1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canciones/nsb/no_hay_cosa_mas_bonita_que_mirar.html</v>
      </c>
      <c r="S1349" s="1"/>
      <c r="T1349" s="1"/>
      <c r="U1349" s="1"/>
      <c r="V1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data-nold="176"&gt;&lt;a href="canciones/nsb/no_hay_cosa_mas_bonita_que_mirar.html"&gt;No hay cosa más bonita que mirar&lt;/a&gt;&lt;/li&gt;</v>
      </c>
      <c r="W1349" s="15" t="str">
        <f>_xlfn.TEXTBEFORE(_xlfn.TEXTAFTER(CantoralDB[[#This Row],[index.html]],"&gt;"),"&gt;")&amp;"&gt;"</f>
        <v>&lt;a href="canciones/nsb/no_hay_cosa_mas_bonita_que_mirar.html"&gt;</v>
      </c>
    </row>
    <row r="1350" spans="1:23" x14ac:dyDescent="0.3">
      <c r="A1350" s="1">
        <f>ROW(CantoralDB[[#This Row],[Título]])-1</f>
        <v>1349</v>
      </c>
      <c r="B1350" s="1" t="s">
        <v>1341</v>
      </c>
      <c r="C1350" s="1"/>
      <c r="E1350" s="1">
        <v>279</v>
      </c>
      <c r="J1350" s="1"/>
      <c r="M1350" s="15" t="s">
        <v>2086</v>
      </c>
      <c r="N1350" s="15"/>
      <c r="O1350" s="15"/>
      <c r="P1350" s="15" t="str" cm="1">
        <f t="array" ref="P1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50" s="15" t="str" cm="1">
        <f t="array" ref="Q1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canciones/nsb/vamos_a_la_cena.html</v>
      </c>
      <c r="S1350" s="1"/>
      <c r="T1350" s="1"/>
      <c r="U1350" s="1"/>
      <c r="V1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nicaragüense" data-nold="279"&gt;&lt;a href="canciones/nsb/vamos_a_la_cena.html"&gt;Vamos a la Cena&lt;/a&gt;&lt;/li&gt;</v>
      </c>
      <c r="W1350" s="15" t="str">
        <f>_xlfn.TEXTBEFORE(_xlfn.TEXTAFTER(CantoralDB[[#This Row],[index.html]],"&gt;"),"&gt;")&amp;"&gt;"</f>
        <v>&lt;a href="canciones/nsb/vamos_a_la_cena.html"&gt;</v>
      </c>
    </row>
    <row r="1351" spans="1:23" x14ac:dyDescent="0.3">
      <c r="A1351" s="1">
        <f>ROW(CantoralDB[[#This Row],[Título]])-1</f>
        <v>1350</v>
      </c>
      <c r="B1351" s="1" t="s">
        <v>527</v>
      </c>
      <c r="C1351" s="1" t="s">
        <v>196</v>
      </c>
      <c r="D1351" s="1" t="s">
        <v>777</v>
      </c>
      <c r="E1351" s="1">
        <v>231</v>
      </c>
      <c r="G1351" s="1" t="s">
        <v>209</v>
      </c>
      <c r="H1351" s="1" t="s">
        <v>1027</v>
      </c>
      <c r="I1351" s="1" t="s">
        <v>2962</v>
      </c>
      <c r="J1351" s="1" t="s">
        <v>608</v>
      </c>
      <c r="M1351" s="15" t="s">
        <v>518</v>
      </c>
      <c r="N1351" s="15"/>
      <c r="O1351" s="15"/>
      <c r="P1351" s="15" t="str" cm="1">
        <f t="array" ref="P1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51" s="15" t="str" cm="1">
        <f t="array" ref="Q1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canciones/nsb/santo_salvadoreño.html</v>
      </c>
      <c r="S1351" s="1"/>
      <c r="T1351" s="1"/>
      <c r="U1351" s="1"/>
      <c r="V1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salvadoreña" data-momento="Santo" data-nnew="G10" data-nold="231"&gt;&lt;a href="canciones/nsb/santo_salvadoreño.html"&gt;Santo salvadoreño&lt;/a&gt;&lt;/li&gt;</v>
      </c>
      <c r="W1351" s="15" t="str">
        <f>_xlfn.TEXTBEFORE(_xlfn.TEXTAFTER(CantoralDB[[#This Row],[index.html]],"&gt;"),"&gt;")&amp;"&gt;"</f>
        <v>&lt;a href="canciones/nsb/santo_salvadoreño.html"&gt;</v>
      </c>
    </row>
    <row r="1352" spans="1:23" x14ac:dyDescent="0.3">
      <c r="A1352" s="1">
        <f>ROW(CantoralDB[[#This Row],[Título]])-1</f>
        <v>1351</v>
      </c>
      <c r="B1352" s="1" t="s">
        <v>158</v>
      </c>
      <c r="C1352" s="1" t="s">
        <v>191</v>
      </c>
      <c r="D1352" s="1" t="s">
        <v>758</v>
      </c>
      <c r="E1352" s="1">
        <v>285</v>
      </c>
      <c r="G1352" s="1" t="s">
        <v>209</v>
      </c>
      <c r="H1352" s="1" t="s">
        <v>1030</v>
      </c>
      <c r="J1352" s="1" t="s">
        <v>608</v>
      </c>
      <c r="M1352" s="15" t="s">
        <v>518</v>
      </c>
      <c r="N1352" s="15"/>
      <c r="O1352" s="15"/>
      <c r="P1352" s="15" t="str" cm="1">
        <f t="array" ref="P1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52" s="15" t="str" cm="1">
        <f t="array" ref="Q1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canciones/nsb/vamos_todos_al_banquete.html</v>
      </c>
      <c r="S1352" s="1"/>
      <c r="T1352" s="1"/>
      <c r="U1352" s="1"/>
      <c r="V1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data-author="Misa salvadoreña" data-momento="Entrada" data-nnew="A38" data-nold="285"&gt;&lt;a href="canciones/nsb/vamos_todos_al_banquete.html"&gt;Vamos todos al banquete&lt;/a&gt;&lt;/li&gt;</v>
      </c>
      <c r="W1352" s="15" t="str">
        <f>_xlfn.TEXTBEFORE(_xlfn.TEXTAFTER(CantoralDB[[#This Row],[index.html]],"&gt;"),"&gt;")&amp;"&gt;"</f>
        <v>&lt;a href="canciones/nsb/vamos_todos_al_banquete.html"&gt;</v>
      </c>
    </row>
    <row r="1353" spans="1:23" x14ac:dyDescent="0.3">
      <c r="A1353" s="1">
        <f>ROW(CantoralDB[[#This Row],[Título]])-1</f>
        <v>1352</v>
      </c>
      <c r="B1353" s="1" t="s">
        <v>622</v>
      </c>
      <c r="C1353" s="1" t="s">
        <v>202</v>
      </c>
      <c r="D1353" s="1" t="s">
        <v>1406</v>
      </c>
      <c r="G1353" s="1" t="s">
        <v>553</v>
      </c>
      <c r="H1353" s="1" t="s">
        <v>531</v>
      </c>
      <c r="J1353" s="1" t="s">
        <v>608</v>
      </c>
      <c r="M1353" s="15" t="s">
        <v>623</v>
      </c>
      <c r="N1353" s="15"/>
      <c r="O1353" s="15"/>
      <c r="P1353" s="15" t="str" cm="1">
        <f t="array" ref="P1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53" s="15" t="str" cm="1">
        <f t="array" ref="Q1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canciones/nsb/cordero_de_dios_(mies).html</v>
      </c>
      <c r="S1353" s="1"/>
      <c r="T1353" s="1"/>
      <c r="U1353" s="1"/>
      <c r="V1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data-author="Misioneros de la Esperanza" data-momento="Cordero de Dios" data-nnew="J06"&gt;&lt;a href="canciones/nsb/cordero_de_dios_(mies).html"&gt;Cordero de Dios (MiEs)&lt;/a&gt;&lt;/li&gt;</v>
      </c>
      <c r="W1353" s="15" t="str">
        <f>_xlfn.TEXTBEFORE(_xlfn.TEXTAFTER(CantoralDB[[#This Row],[index.html]],"&gt;"),"&gt;")&amp;"&gt;"</f>
        <v>&lt;a href="canciones/nsb/cordero_de_dios_(mies).html"&gt;</v>
      </c>
    </row>
    <row r="1354" spans="1:23" x14ac:dyDescent="0.3">
      <c r="A1354" s="1">
        <f>ROW(CantoralDB[[#This Row],[Título]])-1</f>
        <v>1353</v>
      </c>
      <c r="B1354" s="1" t="s">
        <v>232</v>
      </c>
      <c r="C1354" s="1" t="s">
        <v>196</v>
      </c>
      <c r="D1354" s="1" t="s">
        <v>1466</v>
      </c>
      <c r="G1354" s="1" t="s">
        <v>216</v>
      </c>
      <c r="H1354" s="1" t="s">
        <v>531</v>
      </c>
      <c r="J1354" s="1" t="s">
        <v>608</v>
      </c>
      <c r="M1354" s="15" t="s">
        <v>524</v>
      </c>
      <c r="N1354" s="15"/>
      <c r="O1354" s="15"/>
      <c r="P1354" s="15" t="str" cm="1">
        <f t="array" ref="P1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54" s="15" t="str" cm="1">
        <f t="array" ref="Q1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canciones/nsb/santo_(mocedades).html</v>
      </c>
      <c r="S1354" s="1"/>
      <c r="T1354" s="1"/>
      <c r="U1354" s="1"/>
      <c r="V1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data-author="Mocedades" data-momento="Santo" data-nnew="G09"&gt;&lt;a href="canciones/nsb/santo_(mocedades).html"&gt;Santo (Mocedades)&lt;/a&gt;&lt;/li&gt;</v>
      </c>
      <c r="W1354" s="15" t="str">
        <f>_xlfn.TEXTBEFORE(_xlfn.TEXTAFTER(CantoralDB[[#This Row],[index.html]],"&gt;"),"&gt;")&amp;"&gt;"</f>
        <v>&lt;a href="canciones/nsb/santo_(mocedades).html"&gt;</v>
      </c>
    </row>
    <row r="1355" spans="1:23" x14ac:dyDescent="0.3">
      <c r="A1355" s="1">
        <f>ROW(CantoralDB[[#This Row],[Título]])-1</f>
        <v>1354</v>
      </c>
      <c r="B1355" s="1" t="s">
        <v>14</v>
      </c>
      <c r="C1355" s="1" t="s">
        <v>194</v>
      </c>
      <c r="D1355" s="1" t="s">
        <v>1373</v>
      </c>
      <c r="E1355" s="1">
        <v>403</v>
      </c>
      <c r="G1355" s="1" t="s">
        <v>209</v>
      </c>
      <c r="H1355" s="1" t="s">
        <v>1029</v>
      </c>
      <c r="J1355" s="1" t="s">
        <v>608</v>
      </c>
      <c r="M1355" s="15" t="s">
        <v>511</v>
      </c>
      <c r="N1355" s="15"/>
      <c r="O1355" s="15"/>
      <c r="P1355" s="15" t="str" cm="1">
        <f t="array" ref="P1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55" s="15" t="str" cm="1">
        <f t="array" ref="Q1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canciones/nsb/aleluya_(santiago).html</v>
      </c>
      <c r="S1355" s="1"/>
      <c r="T1355" s="1"/>
      <c r="U1355" s="1"/>
      <c r="V1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data-author="Nico Montero" data-momento="Aleluya" data-nnew="E03" data-nold="403"&gt;&lt;a href="canciones/nsb/aleluya_(santiago).html"&gt;Aleluya (Santiago)&lt;/a&gt;&lt;/li&gt;</v>
      </c>
      <c r="W1355" s="15" t="str">
        <f>_xlfn.TEXTBEFORE(_xlfn.TEXTAFTER(CantoralDB[[#This Row],[index.html]],"&gt;"),"&gt;")&amp;"&gt;"</f>
        <v>&lt;a href="canciones/nsb/aleluya_(santiago).html"&gt;</v>
      </c>
    </row>
    <row r="1356" spans="1:23" x14ac:dyDescent="0.3">
      <c r="A1356" s="1">
        <f>ROW(CantoralDB[[#This Row],[Título]])-1</f>
        <v>1355</v>
      </c>
      <c r="B1356" s="1" t="s">
        <v>2386</v>
      </c>
      <c r="C1356" s="1" t="s">
        <v>201</v>
      </c>
      <c r="D1356" s="1" t="s">
        <v>653</v>
      </c>
      <c r="F1356" s="1">
        <v>443</v>
      </c>
      <c r="G1356" s="1" t="s">
        <v>209</v>
      </c>
      <c r="H1356" s="1" t="s">
        <v>531</v>
      </c>
      <c r="J1356" s="1" t="s">
        <v>608</v>
      </c>
      <c r="M1356" s="15" t="s">
        <v>511</v>
      </c>
      <c r="N1356" s="15"/>
      <c r="O1356" s="15"/>
      <c r="P1356" s="15" t="str" cm="1">
        <f t="array" ref="P1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56" s="15" t="str" cm="1">
        <f t="array" ref="Q1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canciones/nsb/el_señor_es_mi_pastor_(nico_montero).html</v>
      </c>
      <c r="S1356" s="1" t="s">
        <v>827</v>
      </c>
      <c r="T1356" s="1"/>
      <c r="U1356" s="1"/>
      <c r="V1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data-author="Nico Montero" data-momento="Antífonas" data-nnew="D15"&gt;&lt;a href="canciones/nsb/el_señor_es_mi_pastor_(nico_montero).html"&gt;El Señor es mi pastor (Nico Montero)&lt;/a&gt;&lt;/li&gt;</v>
      </c>
      <c r="W1356" s="15" t="str">
        <f>_xlfn.TEXTBEFORE(_xlfn.TEXTAFTER(CantoralDB[[#This Row],[index.html]],"&gt;"),"&gt;")&amp;"&gt;"</f>
        <v>&lt;a href="canciones/nsb/el_señor_es_mi_pastor_(nico_montero).html"&gt;</v>
      </c>
    </row>
    <row r="1357" spans="1:23" x14ac:dyDescent="0.3">
      <c r="A1357" s="1">
        <f>ROW(CantoralDB[[#This Row],[Título]])-1</f>
        <v>1356</v>
      </c>
      <c r="B1357" s="1" t="s">
        <v>1703</v>
      </c>
      <c r="C1357" s="1"/>
      <c r="F1357" s="1">
        <v>171</v>
      </c>
      <c r="J1357" s="1"/>
      <c r="M1357" s="15" t="s">
        <v>2571</v>
      </c>
      <c r="N1357" s="15"/>
      <c r="O1357" s="15"/>
      <c r="P1357" s="15" t="str" cm="1">
        <f t="array" ref="P1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57" s="15" t="str" cm="1">
        <f t="array" ref="Q1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canciones/nuevas/creo_en_ti.html</v>
      </c>
      <c r="S1357" s="1"/>
      <c r="T1357" s="1"/>
      <c r="U1357" s="1"/>
      <c r="V1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data-author="Noemí Liste"&gt;&lt;a href="canciones/nuevas/creo_en_ti.html"&gt;Creo en ti&lt;/a&gt;&lt;/li&gt;</v>
      </c>
      <c r="W1357" s="15" t="str">
        <f>_xlfn.TEXTBEFORE(_xlfn.TEXTAFTER(CantoralDB[[#This Row],[index.html]],"&gt;"),"&gt;")&amp;"&gt;"</f>
        <v>&lt;a href="canciones/nuevas/creo_en_ti.html"&gt;</v>
      </c>
    </row>
    <row r="1358" spans="1:23" x14ac:dyDescent="0.3">
      <c r="A1358" s="1">
        <f>ROW(CantoralDB[[#This Row],[Título]])-1</f>
        <v>1357</v>
      </c>
      <c r="B1358" s="1" t="s">
        <v>188</v>
      </c>
      <c r="C1358" s="1" t="s">
        <v>191</v>
      </c>
      <c r="D1358" s="1" t="s">
        <v>754</v>
      </c>
      <c r="G1358" s="1" t="s">
        <v>209</v>
      </c>
      <c r="H1358" s="1" t="s">
        <v>1027</v>
      </c>
      <c r="I1358" s="1" t="s">
        <v>2961</v>
      </c>
      <c r="J1358" s="1" t="s">
        <v>608</v>
      </c>
      <c r="M1358" s="15" t="s">
        <v>492</v>
      </c>
      <c r="N1358" s="15"/>
      <c r="O1358" s="15"/>
      <c r="P1358" s="15" t="str" cm="1">
        <f t="array" ref="P1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58" s="15" t="str" cm="1">
        <f t="array" ref="Q1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canciones/nsb/una_voz_clama_en_el_desierto.html</v>
      </c>
      <c r="S1358" s="1" t="s">
        <v>867</v>
      </c>
      <c r="T1358" s="1"/>
      <c r="U1358" s="1"/>
      <c r="V1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data-author="Oscar Palomares" data-momento="Entrada" data-nnew="A34"&gt;&lt;a href="canciones/nsb/una_voz_clama_en_el_desierto.html"&gt;Una voz clama en el desierto&lt;/a&gt;&lt;/li&gt;</v>
      </c>
      <c r="W1358" s="15" t="str">
        <f>_xlfn.TEXTBEFORE(_xlfn.TEXTAFTER(CantoralDB[[#This Row],[index.html]],"&gt;"),"&gt;")&amp;"&gt;"</f>
        <v>&lt;a href="canciones/nsb/una_voz_clama_en_el_desierto.html"&gt;</v>
      </c>
    </row>
    <row r="1359" spans="1:23" x14ac:dyDescent="0.3">
      <c r="A1359" s="1">
        <f>ROW(CantoralDB[[#This Row],[Título]])-1</f>
        <v>1358</v>
      </c>
      <c r="B1359" s="1" t="s">
        <v>71</v>
      </c>
      <c r="C1359" s="1" t="s">
        <v>201</v>
      </c>
      <c r="D1359" s="1" t="s">
        <v>657</v>
      </c>
      <c r="E1359" s="1">
        <v>124</v>
      </c>
      <c r="G1359" s="1" t="s">
        <v>209</v>
      </c>
      <c r="H1359" s="1" t="s">
        <v>531</v>
      </c>
      <c r="I1359" s="1" t="s">
        <v>2962</v>
      </c>
      <c r="J1359" s="1" t="s">
        <v>608</v>
      </c>
      <c r="M1359" s="15" t="s">
        <v>2094</v>
      </c>
      <c r="N1359" s="15"/>
      <c r="O1359" s="15"/>
      <c r="P1359" s="15" t="str" cm="1">
        <f t="array" ref="P1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59" s="15" t="str" cm="1">
        <f t="array" ref="Q1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canciones/nsb/gritad_que_dios_es_grande.html</v>
      </c>
      <c r="S1359" s="1" t="s">
        <v>835</v>
      </c>
      <c r="T1359" s="1"/>
      <c r="U1359" s="1"/>
      <c r="V1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 Buen Pastor" data-momento="Antífonas" data-nnew="D19" data-nold="124"&gt;&lt;a href="canciones/nsb/gritad_que_dios_es_grande.html"&gt;Gritad que Dios es grande&lt;/a&gt;&lt;/li&gt;</v>
      </c>
      <c r="W1359" s="15" t="str">
        <f>_xlfn.TEXTBEFORE(_xlfn.TEXTAFTER(CantoralDB[[#This Row],[index.html]],"&gt;"),"&gt;")&amp;"&gt;"</f>
        <v>&lt;a href="canciones/nsb/gritad_que_dios_es_grande.html"&gt;</v>
      </c>
    </row>
    <row r="1360" spans="1:23" x14ac:dyDescent="0.3">
      <c r="A1360" s="1">
        <f>ROW(CantoralDB[[#This Row],[Título]])-1</f>
        <v>1359</v>
      </c>
      <c r="B1360" s="1" t="s">
        <v>1270</v>
      </c>
      <c r="C1360" s="1"/>
      <c r="E1360" s="1">
        <v>150</v>
      </c>
      <c r="H1360" s="1" t="s">
        <v>473</v>
      </c>
      <c r="J1360" s="1" t="s">
        <v>608</v>
      </c>
      <c r="M1360" s="15" t="s">
        <v>2094</v>
      </c>
      <c r="N1360" s="15"/>
      <c r="O1360" s="15"/>
      <c r="P1360" s="15" t="str" cm="1">
        <f t="array" ref="P1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60" s="15" t="str" cm="1">
        <f t="array" ref="Q1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canciones/nsb/la_noticia_es_amor.html</v>
      </c>
      <c r="S1360" s="1"/>
      <c r="T1360" s="1"/>
      <c r="U1360" s="1"/>
      <c r="V1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 Buen Pastor" data-nold="150"&gt;&lt;a href="canciones/nsb/la_noticia_es_amor.html"&gt;La noticia es amor&lt;/a&gt;&lt;/li&gt;</v>
      </c>
      <c r="W1360" s="15" t="str">
        <f>_xlfn.TEXTBEFORE(_xlfn.TEXTAFTER(CantoralDB[[#This Row],[index.html]],"&gt;"),"&gt;")&amp;"&gt;"</f>
        <v>&lt;a href="canciones/nsb/la_noticia_es_amor.html"&gt;</v>
      </c>
    </row>
    <row r="1361" spans="1:23" x14ac:dyDescent="0.3">
      <c r="A1361" s="1">
        <f>ROW(CantoralDB[[#This Row],[Título]])-1</f>
        <v>1360</v>
      </c>
      <c r="B1361" s="1" t="s">
        <v>2861</v>
      </c>
      <c r="C1361" s="1"/>
      <c r="H1361" s="1" t="s">
        <v>1030</v>
      </c>
      <c r="J1361" s="1" t="s">
        <v>608</v>
      </c>
      <c r="M1361" s="15" t="s">
        <v>2864</v>
      </c>
      <c r="N1361" s="15"/>
      <c r="O1361" s="15"/>
      <c r="P1361" s="15" t="str" cm="1">
        <f t="array" ref="P1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1" s="15" t="str" cm="1">
        <f t="array" ref="Q1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canciones/nuevas/alza_la_mirada.html</v>
      </c>
      <c r="S1361" s="1"/>
      <c r="T1361" s="1"/>
      <c r="U1361" s="14" t="s">
        <v>3006</v>
      </c>
      <c r="V1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data-author="Pablo Cebrián"&gt;&lt;a href="canciones/nuevas/alza_la_mirada.html"&gt;Alza la mirada&lt;/a&gt;&lt;/li&gt;</v>
      </c>
      <c r="W1361" s="15" t="str">
        <f>_xlfn.TEXTBEFORE(_xlfn.TEXTAFTER(CantoralDB[[#This Row],[index.html]],"&gt;"),"&gt;")&amp;"&gt;"</f>
        <v>&lt;a href="canciones/nuevas/alza_la_mirada.html"&gt;</v>
      </c>
    </row>
    <row r="1362" spans="1:23" x14ac:dyDescent="0.3">
      <c r="A1362" s="1">
        <f>ROW(CantoralDB[[#This Row],[Título]])-1</f>
        <v>1361</v>
      </c>
      <c r="B1362" s="1" t="s">
        <v>568</v>
      </c>
      <c r="C1362" s="1" t="s">
        <v>195</v>
      </c>
      <c r="D1362" s="1" t="s">
        <v>765</v>
      </c>
      <c r="G1362" s="1" t="s">
        <v>553</v>
      </c>
      <c r="H1362" s="1" t="s">
        <v>1030</v>
      </c>
      <c r="I1362" s="1" t="s">
        <v>2963</v>
      </c>
      <c r="J1362" s="1" t="s">
        <v>608</v>
      </c>
      <c r="M1362" s="15" t="s">
        <v>617</v>
      </c>
      <c r="N1362" s="15"/>
      <c r="O1362" s="15"/>
      <c r="P1362" s="15" t="str" cm="1">
        <f t="array" ref="P1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62" s="15" t="str" cm="1">
        <f t="array" ref="Q1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canciones/nsb/juntos_nos_acercamos.html</v>
      </c>
      <c r="S1362" s="1"/>
      <c r="T1362" s="1"/>
      <c r="U1362" s="1"/>
      <c r="V1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data-author="Pablo Coloma" data-momento="Ofertorio" data-nnew="F10"&gt;&lt;a href="canciones/nsb/juntos_nos_acercamos.html"&gt;Juntos nos acercamos&lt;/a&gt;&lt;/li&gt;</v>
      </c>
      <c r="W1362" s="15" t="str">
        <f>_xlfn.TEXTBEFORE(_xlfn.TEXTAFTER(CantoralDB[[#This Row],[index.html]],"&gt;"),"&gt;")&amp;"&gt;"</f>
        <v>&lt;a href="canciones/nsb/juntos_nos_acercamos.html"&gt;</v>
      </c>
    </row>
    <row r="1363" spans="1:23" x14ac:dyDescent="0.3">
      <c r="A1363" s="1">
        <f>ROW(CantoralDB[[#This Row],[Título]])-1</f>
        <v>1362</v>
      </c>
      <c r="B1363" s="1" t="s">
        <v>552</v>
      </c>
      <c r="C1363" s="1" t="s">
        <v>195</v>
      </c>
      <c r="D1363" s="1" t="s">
        <v>1386</v>
      </c>
      <c r="G1363" s="1" t="s">
        <v>553</v>
      </c>
      <c r="H1363" s="1" t="s">
        <v>1030</v>
      </c>
      <c r="J1363" s="1" t="s">
        <v>608</v>
      </c>
      <c r="M1363" s="15" t="s">
        <v>794</v>
      </c>
      <c r="N1363" s="15"/>
      <c r="O1363" s="15"/>
      <c r="P1363" s="15" t="str" cm="1">
        <f t="array" ref="P1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63" s="15" t="str" cm="1">
        <f t="array" ref="Q1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canciones/nsb/aqui_tienes_el_pan.html</v>
      </c>
      <c r="S1363" s="1"/>
      <c r="T1363" s="1"/>
      <c r="U1363" s="1"/>
      <c r="V1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data-author="Padre Ernesto" data-momento="Ofertorio" data-nnew="F04"&gt;&lt;a href="canciones/nsb/aqui_tienes_el_pan.html"&gt;Aquí tienes el Pan&lt;/a&gt;&lt;/li&gt;</v>
      </c>
      <c r="W1363" s="15" t="str">
        <f>_xlfn.TEXTBEFORE(_xlfn.TEXTAFTER(CantoralDB[[#This Row],[index.html]],"&gt;"),"&gt;")&amp;"&gt;"</f>
        <v>&lt;a href="canciones/nsb/aqui_tienes_el_pan.html"&gt;</v>
      </c>
    </row>
    <row r="1364" spans="1:23" x14ac:dyDescent="0.3">
      <c r="A1364" s="1">
        <f>ROW(CantoralDB[[#This Row],[Título]])-1</f>
        <v>1363</v>
      </c>
      <c r="B1364" s="1" t="s">
        <v>73</v>
      </c>
      <c r="C1364" s="1" t="s">
        <v>993</v>
      </c>
      <c r="D1364" s="1" t="s">
        <v>708</v>
      </c>
      <c r="E1364" s="1">
        <v>429</v>
      </c>
      <c r="G1364" s="1" t="s">
        <v>209</v>
      </c>
      <c r="H1364" s="1" t="s">
        <v>1029</v>
      </c>
      <c r="J1364" s="1" t="s">
        <v>608</v>
      </c>
      <c r="M1364" s="15" t="s">
        <v>632</v>
      </c>
      <c r="N1364" s="15"/>
      <c r="O1364" s="15"/>
      <c r="P1364" s="15" t="str" cm="1">
        <f t="array" ref="P1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64" s="15" t="str" cm="1">
        <f t="array" ref="Q1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canciones/nsb/hay_un_corazon_que_late.html</v>
      </c>
      <c r="S1364" s="1"/>
      <c r="T1364" s="1"/>
      <c r="U1364" s="1"/>
      <c r="V1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data-author="Paloma Falconi" data-momento="Comunión" data-nnew="K35" data-nold="429"&gt;&lt;a href="canciones/nsb/hay_un_corazon_que_late.html"&gt;Hay un corazón que late&lt;/a&gt;&lt;/li&gt;</v>
      </c>
      <c r="W1364" s="15" t="str">
        <f>_xlfn.TEXTBEFORE(_xlfn.TEXTAFTER(CantoralDB[[#This Row],[index.html]],"&gt;"),"&gt;")&amp;"&gt;"</f>
        <v>&lt;a href="canciones/nsb/hay_un_corazon_que_late.html"&gt;</v>
      </c>
    </row>
    <row r="1365" spans="1:23" x14ac:dyDescent="0.3">
      <c r="A1365" s="1">
        <f>ROW(CantoralDB[[#This Row],[Título]])-1</f>
        <v>1364</v>
      </c>
      <c r="B1365" s="1" t="s">
        <v>592</v>
      </c>
      <c r="C1365" s="1" t="s">
        <v>993</v>
      </c>
      <c r="D1365" s="1" t="s">
        <v>1034</v>
      </c>
      <c r="G1365" s="1" t="s">
        <v>533</v>
      </c>
      <c r="H1365" s="1" t="s">
        <v>1027</v>
      </c>
      <c r="J1365" s="1" t="s">
        <v>608</v>
      </c>
      <c r="M1365" s="15" t="s">
        <v>624</v>
      </c>
      <c r="N1365" s="15"/>
      <c r="O1365" s="15"/>
      <c r="P1365" s="15" t="str" cm="1">
        <f t="array" ref="P1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65" s="15" t="str" cm="1">
        <f t="array" ref="Q1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canciones/nsb/adorando.html</v>
      </c>
      <c r="S1365" s="1"/>
      <c r="T1365" s="1"/>
      <c r="U1365" s="1"/>
      <c r="V1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data-author="Parroquia San Juan de Ávila" data-momento="Comunión" data-nnew="K03"&gt;&lt;a href="canciones/nsb/adorando.html"&gt;Adorando&lt;/a&gt;&lt;/li&gt;</v>
      </c>
      <c r="W1365" s="15" t="str">
        <f>_xlfn.TEXTBEFORE(_xlfn.TEXTAFTER(CantoralDB[[#This Row],[index.html]],"&gt;"),"&gt;")&amp;"&gt;"</f>
        <v>&lt;a href="canciones/nsb/adorando.html"&gt;</v>
      </c>
    </row>
    <row r="1366" spans="1:23" x14ac:dyDescent="0.3">
      <c r="A1366" s="1">
        <f>ROW(CantoralDB[[#This Row],[Título]])-1</f>
        <v>1365</v>
      </c>
      <c r="B1366" s="1" t="s">
        <v>2823</v>
      </c>
      <c r="C1366" s="1"/>
      <c r="F1366" s="1">
        <v>425</v>
      </c>
      <c r="J1366" s="1"/>
      <c r="M1366" s="15" t="s">
        <v>2824</v>
      </c>
      <c r="N1366" s="15"/>
      <c r="O1366" s="15"/>
      <c r="P1366" s="15" t="str" cm="1">
        <f t="array" ref="P1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6" s="15" t="str" cm="1">
        <f t="array" ref="Q1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canciones/nuevas/haz_llover.html</v>
      </c>
      <c r="S1366" s="1"/>
      <c r="T1366" s="1"/>
      <c r="U1366" s="1"/>
      <c r="V1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 S. Morton"&gt;&lt;a href="canciones/nuevas/haz_llover.html"&gt;Haz llover&lt;/a&gt;&lt;/li&gt;</v>
      </c>
      <c r="W1366" s="15" t="str">
        <f>_xlfn.TEXTBEFORE(_xlfn.TEXTAFTER(CantoralDB[[#This Row],[index.html]],"&gt;"),"&gt;")&amp;"&gt;"</f>
        <v>&lt;a href="canciones/nuevas/haz_llover.html"&gt;</v>
      </c>
    </row>
    <row r="1367" spans="1:23" x14ac:dyDescent="0.3">
      <c r="A1367" s="1">
        <f>ROW(CantoralDB[[#This Row],[Título]])-1</f>
        <v>1366</v>
      </c>
      <c r="B1367" s="1" t="s">
        <v>2442</v>
      </c>
      <c r="C1367" s="1"/>
      <c r="F1367" s="1">
        <v>52</v>
      </c>
      <c r="J1367" s="1"/>
      <c r="M1367" s="15" t="s">
        <v>2443</v>
      </c>
      <c r="N1367" s="15"/>
      <c r="O1367" s="15"/>
      <c r="P1367" s="15" t="str" cm="1">
        <f t="array" ref="P1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7" s="15" t="str" cm="1">
        <f t="array" ref="Q1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canciones/nuevas/he_decidido_seguir_a_cristo.html</v>
      </c>
      <c r="S1367" s="1"/>
      <c r="T1367" s="1"/>
      <c r="U1367" s="1"/>
      <c r="V1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 Smith"&gt;&lt;a href="canciones/nuevas/he_decidido_seguir_a_cristo.html"&gt;He decidido seguir a Cristo&lt;/a&gt;&lt;/li&gt;</v>
      </c>
      <c r="W1367" s="15" t="str">
        <f>_xlfn.TEXTBEFORE(_xlfn.TEXTAFTER(CantoralDB[[#This Row],[index.html]],"&gt;"),"&gt;")&amp;"&gt;"</f>
        <v>&lt;a href="canciones/nuevas/he_decidido_seguir_a_cristo.html"&gt;</v>
      </c>
    </row>
    <row r="1368" spans="1:23" x14ac:dyDescent="0.3">
      <c r="A1368" s="1">
        <f>ROW(CantoralDB[[#This Row],[Título]])-1</f>
        <v>1367</v>
      </c>
      <c r="B1368" s="1" t="s">
        <v>2677</v>
      </c>
      <c r="C1368" s="1"/>
      <c r="F1368" s="1">
        <v>294</v>
      </c>
      <c r="J1368" s="1"/>
      <c r="M1368" s="15" t="s">
        <v>2678</v>
      </c>
      <c r="N1368" s="15"/>
      <c r="O1368" s="15"/>
      <c r="P1368" s="15" t="str" cm="1">
        <f t="array" ref="P1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68" s="15" t="str" cm="1">
        <f t="array" ref="Q1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canciones/nuevas/digno_eres.html</v>
      </c>
      <c r="S1368" s="1"/>
      <c r="T1368" s="1"/>
      <c r="U1368" s="1"/>
      <c r="V1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data-author="Pauline Michael Mills"&gt;&lt;a href="canciones/nuevas/digno_eres.html"&gt;Digno eres&lt;/a&gt;&lt;/li&gt;</v>
      </c>
      <c r="W1368" s="15" t="str">
        <f>_xlfn.TEXTBEFORE(_xlfn.TEXTAFTER(CantoralDB[[#This Row],[index.html]],"&gt;"),"&gt;")&amp;"&gt;"</f>
        <v>&lt;a href="canciones/nuevas/digno_eres.html"&gt;</v>
      </c>
    </row>
    <row r="1369" spans="1:23" x14ac:dyDescent="0.3">
      <c r="A1369" s="1">
        <f>ROW(CantoralDB[[#This Row],[Título]])-1</f>
        <v>1368</v>
      </c>
      <c r="B1369" s="1" t="s">
        <v>262</v>
      </c>
      <c r="C1369" s="1" t="s">
        <v>197</v>
      </c>
      <c r="D1369" s="1" t="s">
        <v>1446</v>
      </c>
      <c r="G1369" s="1" t="s">
        <v>263</v>
      </c>
      <c r="H1369" s="1" t="s">
        <v>1030</v>
      </c>
      <c r="J1369" s="1" t="s">
        <v>608</v>
      </c>
      <c r="M1369" s="15" t="s">
        <v>536</v>
      </c>
      <c r="N1369" s="15"/>
      <c r="O1369" s="15"/>
      <c r="P1369" s="15" t="str" cm="1">
        <f t="array" ref="P1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69" s="15" t="str" cm="1">
        <f t="array" ref="Q1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canciones/nsb/padre_nuestro_zaragozano.html</v>
      </c>
      <c r="S1369" s="1"/>
      <c r="T1369" s="1"/>
      <c r="U1369" s="1"/>
      <c r="V1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Antonio Garza" data-momento="Padrenuestro" data-nnew="H04"&gt;&lt;a href="canciones/nsb/padre_nuestro_zaragozano.html"&gt;Padre nuestro zaragozano&lt;/a&gt;&lt;/li&gt;</v>
      </c>
      <c r="W1369" s="15" t="str">
        <f>_xlfn.TEXTBEFORE(_xlfn.TEXTAFTER(CantoralDB[[#This Row],[index.html]],"&gt;"),"&gt;")&amp;"&gt;"</f>
        <v>&lt;a href="canciones/nsb/padre_nuestro_zaragozano.html"&gt;</v>
      </c>
    </row>
    <row r="1370" spans="1:23" x14ac:dyDescent="0.3">
      <c r="A1370" s="1">
        <f>ROW(CantoralDB[[#This Row],[Título]])-1</f>
        <v>1369</v>
      </c>
      <c r="B1370" s="1" t="s">
        <v>2647</v>
      </c>
      <c r="C1370" s="1"/>
      <c r="F1370" s="1">
        <v>262</v>
      </c>
      <c r="J1370" s="1"/>
      <c r="M1370" s="15" t="s">
        <v>2648</v>
      </c>
      <c r="N1370" s="15"/>
      <c r="O1370" s="15"/>
      <c r="P1370" s="15" t="str" cm="1">
        <f t="array" ref="P1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70" s="15" t="str" cm="1">
        <f t="array" ref="Q1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canciones/nuevas/vuelvete_a_mi.html</v>
      </c>
      <c r="S1370" s="1"/>
      <c r="T1370" s="1"/>
      <c r="U1370" s="1"/>
      <c r="V1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Luis Asturias"&gt;&lt;a href="canciones/nuevas/vuelvete_a_mi.html"&gt;Vuélvete a mí&lt;/a&gt;&lt;/li&gt;</v>
      </c>
      <c r="W1370" s="15" t="str">
        <f>_xlfn.TEXTBEFORE(_xlfn.TEXTAFTER(CantoralDB[[#This Row],[index.html]],"&gt;"),"&gt;")&amp;"&gt;"</f>
        <v>&lt;a href="canciones/nuevas/vuelvete_a_mi.html"&gt;</v>
      </c>
    </row>
    <row r="1371" spans="1:23" x14ac:dyDescent="0.3">
      <c r="A1371" s="1">
        <f>ROW(CantoralDB[[#This Row],[Título]])-1</f>
        <v>1370</v>
      </c>
      <c r="B1371" s="1" t="s">
        <v>3</v>
      </c>
      <c r="C1371" s="1" t="s">
        <v>201</v>
      </c>
      <c r="D1371" s="1" t="s">
        <v>1362</v>
      </c>
      <c r="E1371" s="1">
        <v>28</v>
      </c>
      <c r="G1371" s="1" t="s">
        <v>209</v>
      </c>
      <c r="H1371" s="1" t="s">
        <v>1027</v>
      </c>
      <c r="J1371" s="1" t="s">
        <v>608</v>
      </c>
      <c r="M1371" s="15" t="s">
        <v>498</v>
      </c>
      <c r="N1371" s="15"/>
      <c r="O1371" s="15"/>
      <c r="P1371" s="15" t="str" cm="1">
        <f t="array" ref="P1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71" s="15" t="str" cm="1">
        <f t="array" ref="Q1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canciones/nsb/a_ti_acudo.html</v>
      </c>
      <c r="S1371" s="1"/>
      <c r="T1371" s="1"/>
      <c r="U1371" s="1"/>
      <c r="V1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data-momento="Antífonas" data-nnew="D03" data-nold="28"&gt;&lt;a href="canciones/nsb/a_ti_acudo.html"&gt;A ti acudo&lt;/a&gt;&lt;/li&gt;</v>
      </c>
      <c r="W1371" s="15" t="str">
        <f>_xlfn.TEXTBEFORE(_xlfn.TEXTAFTER(CantoralDB[[#This Row],[index.html]],"&gt;"),"&gt;")&amp;"&gt;"</f>
        <v>&lt;a href="canciones/nsb/a_ti_acudo.html"&gt;</v>
      </c>
    </row>
    <row r="1372" spans="1:23" x14ac:dyDescent="0.3">
      <c r="A1372" s="1">
        <f>ROW(CantoralDB[[#This Row],[Título]])-1</f>
        <v>1371</v>
      </c>
      <c r="B1372" s="1" t="s">
        <v>30</v>
      </c>
      <c r="C1372" s="1" t="s">
        <v>201</v>
      </c>
      <c r="D1372" s="1" t="s">
        <v>1395</v>
      </c>
      <c r="E1372" s="1">
        <v>45</v>
      </c>
      <c r="G1372" s="1" t="s">
        <v>209</v>
      </c>
      <c r="H1372" s="1" t="s">
        <v>1030</v>
      </c>
      <c r="J1372" s="1" t="s">
        <v>608</v>
      </c>
      <c r="M1372" s="15" t="s">
        <v>498</v>
      </c>
      <c r="N1372" s="15"/>
      <c r="O1372" s="15"/>
      <c r="P1372" s="15" t="str" cm="1">
        <f t="array" ref="P1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72" s="15" t="str" cm="1">
        <f t="array" ref="Q1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canciones/nsb/cantad_a_dios.html</v>
      </c>
      <c r="S1372" s="1" t="s">
        <v>812</v>
      </c>
      <c r="T1372" s="1"/>
      <c r="U1372" s="1"/>
      <c r="V1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data-momento="Antífonas" data-nnew="D07" data-nold="45"&gt;&lt;a href="canciones/nsb/cantad_a_dios.html"&gt;Cantad a Dios&lt;/a&gt;&lt;/li&gt;</v>
      </c>
      <c r="W1372" s="15" t="str">
        <f>_xlfn.TEXTBEFORE(_xlfn.TEXTAFTER(CantoralDB[[#This Row],[index.html]],"&gt;"),"&gt;")&amp;"&gt;"</f>
        <v>&lt;a href="canciones/nsb/cantad_a_dios.html"&gt;</v>
      </c>
    </row>
    <row r="1373" spans="1:23" x14ac:dyDescent="0.3">
      <c r="A1373" s="1">
        <f>ROW(CantoralDB[[#This Row],[Título]])-1</f>
        <v>1372</v>
      </c>
      <c r="B1373" s="1" t="s">
        <v>1258</v>
      </c>
      <c r="C1373" s="1"/>
      <c r="E1373" s="1">
        <v>129</v>
      </c>
      <c r="J1373" s="1"/>
      <c r="M1373" s="15" t="s">
        <v>498</v>
      </c>
      <c r="N1373" s="15"/>
      <c r="O1373" s="15"/>
      <c r="P1373" s="15" t="str" cm="1">
        <f t="array" ref="P1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73" s="15" t="str" cm="1">
        <f t="array" ref="Q1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canciones/nsb/gracias_señor_por_mis_hermanos.html</v>
      </c>
      <c r="S1373" s="1"/>
      <c r="T1373" s="1"/>
      <c r="U1373" s="1"/>
      <c r="V1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data-nold="129"&gt;&lt;a href="canciones/nsb/gracias_señor_por_mis_hermanos.html"&gt;Gracias, Señor, por mis hermanos&lt;/a&gt;&lt;/li&gt;</v>
      </c>
      <c r="W1373" s="15" t="str">
        <f>_xlfn.TEXTBEFORE(_xlfn.TEXTAFTER(CantoralDB[[#This Row],[index.html]],"&gt;"),"&gt;")&amp;"&gt;"</f>
        <v>&lt;a href="canciones/nsb/gracias_señor_por_mis_hermanos.html"&gt;</v>
      </c>
    </row>
    <row r="1374" spans="1:23" x14ac:dyDescent="0.3">
      <c r="A1374" s="1">
        <f>ROW(CantoralDB[[#This Row],[Título]])-1</f>
        <v>1373</v>
      </c>
      <c r="B1374" s="1" t="s">
        <v>2122</v>
      </c>
      <c r="C1374" s="1"/>
      <c r="E1374" s="1">
        <v>162</v>
      </c>
      <c r="H1374" s="1" t="s">
        <v>1030</v>
      </c>
      <c r="J1374" s="1" t="s">
        <v>608</v>
      </c>
      <c r="M1374" s="15" t="s">
        <v>498</v>
      </c>
      <c r="N1374" s="15"/>
      <c r="O1374" s="15"/>
      <c r="P1374" s="15" t="str" cm="1">
        <f t="array" ref="P1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74" s="15" t="str" cm="1">
        <f t="array" ref="Q1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canciones/nsb/maria_fuiste_siempre_pobre_de_yahve.html</v>
      </c>
      <c r="S1374" s="1"/>
      <c r="T1374" s="1"/>
      <c r="U1374" s="14" t="s">
        <v>2996</v>
      </c>
      <c r="V1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data-nold="162"&gt;&lt;a href="canciones/nsb/maria_fuiste_siempre_pobre_de_yahve.html"&gt;María, fuiste siempre pobre de Yahvé&lt;/a&gt;&lt;/li&gt;</v>
      </c>
      <c r="W1374" s="15" t="str">
        <f>_xlfn.TEXTBEFORE(_xlfn.TEXTAFTER(CantoralDB[[#This Row],[index.html]],"&gt;"),"&gt;")&amp;"&gt;"</f>
        <v>&lt;a href="canciones/nsb/maria_fuiste_siempre_pobre_de_yahve.html"&gt;</v>
      </c>
    </row>
    <row r="1375" spans="1:23" x14ac:dyDescent="0.3">
      <c r="A1375" s="1">
        <f>ROW(CantoralDB[[#This Row],[Título]])-1</f>
        <v>1374</v>
      </c>
      <c r="B1375" s="1" t="s">
        <v>1281</v>
      </c>
      <c r="C1375" s="1"/>
      <c r="E1375" s="1">
        <v>169</v>
      </c>
      <c r="H1375" s="1" t="s">
        <v>1027</v>
      </c>
      <c r="J1375" s="1" t="s">
        <v>608</v>
      </c>
      <c r="M1375" s="15" t="s">
        <v>498</v>
      </c>
      <c r="N1375" s="15"/>
      <c r="O1375" s="15"/>
      <c r="P1375" s="15" t="str" cm="1">
        <f t="array" ref="P1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75" s="15" t="str" cm="1">
        <f t="array" ref="Q1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canciones/nsb/nacera_una_nueva_hermandad.html</v>
      </c>
      <c r="S1375" s="1"/>
      <c r="T1375" s="1"/>
      <c r="U1375" s="14" t="s">
        <v>2997</v>
      </c>
      <c r="V1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data-author="Pedro Núñez" data-nold="169"&gt;&lt;a href="canciones/nsb/nacera_una_nueva_hermandad.html"&gt;Nacerá una nueva hermandad&lt;/a&gt;&lt;/li&gt;</v>
      </c>
      <c r="W1375" s="15" t="str">
        <f>_xlfn.TEXTBEFORE(_xlfn.TEXTAFTER(CantoralDB[[#This Row],[index.html]],"&gt;"),"&gt;")&amp;"&gt;"</f>
        <v>&lt;a href="canciones/nsb/nacera_una_nueva_hermandad.html"&gt;</v>
      </c>
    </row>
    <row r="1376" spans="1:23" x14ac:dyDescent="0.3">
      <c r="A1376" s="1">
        <f>ROW(CantoralDB[[#This Row],[Título]])-1</f>
        <v>1375</v>
      </c>
      <c r="B1376" s="1" t="s">
        <v>7</v>
      </c>
      <c r="C1376" s="1" t="s">
        <v>993</v>
      </c>
      <c r="D1376" s="1" t="s">
        <v>1032</v>
      </c>
      <c r="E1376" s="1">
        <v>402</v>
      </c>
      <c r="F1376" s="1">
        <v>124</v>
      </c>
      <c r="G1376" s="1" t="s">
        <v>216</v>
      </c>
      <c r="H1376" s="1" t="s">
        <v>1030</v>
      </c>
      <c r="J1376" s="1" t="s">
        <v>608</v>
      </c>
      <c r="M1376" s="15" t="s">
        <v>570</v>
      </c>
      <c r="N1376" s="15"/>
      <c r="O1376" s="15"/>
      <c r="P1376" s="15" t="str" cm="1">
        <f t="array" ref="P1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376" s="15" t="str" cm="1">
        <f t="array" ref="Q1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canciones/pelayo_sanchez/abro_mi_ser.html</v>
      </c>
      <c r="S1376" s="1"/>
      <c r="T1376" s="1"/>
      <c r="U1376" s="1"/>
      <c r="V1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data-momento="Comunión" data-nnew="K01" data-nold="402"&gt;&lt;a href="canciones/pelayo_sanchez/abro_mi_ser.html"&gt;Abro mi ser&lt;/a&gt;&lt;/li&gt;</v>
      </c>
      <c r="W1376" s="15" t="str">
        <f>_xlfn.TEXTBEFORE(_xlfn.TEXTAFTER(CantoralDB[[#This Row],[index.html]],"&gt;"),"&gt;")&amp;"&gt;"</f>
        <v>&lt;a href="canciones/pelayo_sanchez/abro_mi_ser.html"&gt;</v>
      </c>
    </row>
    <row r="1377" spans="1:23" x14ac:dyDescent="0.3">
      <c r="A1377" s="1">
        <f>ROW(CantoralDB[[#This Row],[Título]])-1</f>
        <v>1376</v>
      </c>
      <c r="B1377" s="1" t="s">
        <v>26</v>
      </c>
      <c r="C1377" s="1" t="s">
        <v>219</v>
      </c>
      <c r="D1377" s="1" t="s">
        <v>1390</v>
      </c>
      <c r="E1377" s="1">
        <v>411</v>
      </c>
      <c r="F1377" s="1">
        <v>325</v>
      </c>
      <c r="G1377" s="1" t="s">
        <v>209</v>
      </c>
      <c r="H1377" s="1" t="s">
        <v>1029</v>
      </c>
      <c r="I1377" s="1" t="s">
        <v>2959</v>
      </c>
      <c r="J1377" s="1" t="s">
        <v>608</v>
      </c>
      <c r="M1377" s="15" t="s">
        <v>570</v>
      </c>
      <c r="N1377" s="15"/>
      <c r="O1377" s="15"/>
      <c r="P1377" s="15" t="str" cm="1">
        <f t="array" ref="P1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377" s="15" t="str" cm="1">
        <f t="array" ref="Q1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canciones/pelayo_sanchez/bendigamos_al_señor.html</v>
      </c>
      <c r="S1377" s="1" t="s">
        <v>808</v>
      </c>
      <c r="T1377" s="1"/>
      <c r="U1377" s="1"/>
      <c r="V1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data-momento="Espíritu" data-nnew="N01" data-nold="411"&gt;&lt;a href="canciones/pelayo_sanchez/bendigamos_al_señor.html"&gt;Bendigamos al Señor&lt;/a&gt;&lt;/li&gt;</v>
      </c>
      <c r="W1377" s="15" t="str">
        <f>_xlfn.TEXTBEFORE(_xlfn.TEXTAFTER(CantoralDB[[#This Row],[index.html]],"&gt;"),"&gt;")&amp;"&gt;"</f>
        <v>&lt;a href="canciones/pelayo_sanchez/bendigamos_al_señor.html"&gt;</v>
      </c>
    </row>
    <row r="1378" spans="1:23" x14ac:dyDescent="0.3">
      <c r="A1378" s="1">
        <f>ROW(CantoralDB[[#This Row],[Título]])-1</f>
        <v>1377</v>
      </c>
      <c r="B1378" s="1" t="s">
        <v>2466</v>
      </c>
      <c r="C1378" s="1"/>
      <c r="F1378" s="1">
        <v>76</v>
      </c>
      <c r="J1378" s="1"/>
      <c r="M1378" s="15" t="s">
        <v>570</v>
      </c>
      <c r="N1378" s="15"/>
      <c r="O1378" s="15"/>
      <c r="P1378" s="15" t="str" cm="1">
        <f t="array" ref="P1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378" s="15" t="str" cm="1">
        <f t="array" ref="Q1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canciones/pelayo_sanchez/avemaria.html</v>
      </c>
      <c r="S1378" s="1"/>
      <c r="T1378" s="1"/>
      <c r="U1378" s="1"/>
      <c r="V1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href="canciones/pelayo_sanchez/avemaria.html"&gt;Avemaría&lt;/a&gt;&lt;/li&gt;</v>
      </c>
      <c r="W1378" s="15" t="str">
        <f>_xlfn.TEXTBEFORE(_xlfn.TEXTAFTER(CantoralDB[[#This Row],[index.html]],"&gt;"),"&gt;")&amp;"&gt;"</f>
        <v>&lt;a href="canciones/pelayo_sanchez/avemaria.html"&gt;</v>
      </c>
    </row>
    <row r="1379" spans="1:23" x14ac:dyDescent="0.3">
      <c r="A1379" s="1">
        <f>ROW(CantoralDB[[#This Row],[Título]])-1</f>
        <v>1378</v>
      </c>
      <c r="B1379" s="1" t="s">
        <v>2498</v>
      </c>
      <c r="C1379" s="1"/>
      <c r="F1379" s="1">
        <v>107</v>
      </c>
      <c r="J1379" s="1"/>
      <c r="M1379" s="15" t="s">
        <v>570</v>
      </c>
      <c r="N1379" s="15"/>
      <c r="O1379" s="15"/>
      <c r="P1379" s="15" t="str" cm="1">
        <f t="array" ref="P1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379" s="15" t="str" cm="1">
        <f t="array" ref="Q1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canciones/pelayo_sanchez/jesus_esta_en_ti.html</v>
      </c>
      <c r="S1379" s="1"/>
      <c r="T1379" s="1"/>
      <c r="U1379" s="1"/>
      <c r="V1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href="canciones/pelayo_sanchez/jesus_esta_en_ti.html"&gt;Jesús está en ti&lt;/a&gt;&lt;/li&gt;</v>
      </c>
      <c r="W1379" s="15" t="str">
        <f>_xlfn.TEXTBEFORE(_xlfn.TEXTAFTER(CantoralDB[[#This Row],[index.html]],"&gt;"),"&gt;")&amp;"&gt;"</f>
        <v>&lt;a href="canciones/pelayo_sanchez/jesus_esta_en_ti.html"&gt;</v>
      </c>
    </row>
    <row r="1380" spans="1:23" x14ac:dyDescent="0.3">
      <c r="A1380" s="1">
        <f>ROW(CantoralDB[[#This Row],[Título]])-1</f>
        <v>1379</v>
      </c>
      <c r="B1380" s="1" t="s">
        <v>181</v>
      </c>
      <c r="C1380" s="1" t="s">
        <v>200</v>
      </c>
      <c r="D1380" s="1" t="s">
        <v>1420</v>
      </c>
      <c r="F1380" s="1">
        <v>108</v>
      </c>
      <c r="G1380" s="1" t="s">
        <v>209</v>
      </c>
      <c r="H1380" s="1" t="s">
        <v>531</v>
      </c>
      <c r="J1380" s="1" t="s">
        <v>608</v>
      </c>
      <c r="M1380" s="15" t="s">
        <v>570</v>
      </c>
      <c r="N1380" s="15"/>
      <c r="O1380" s="15"/>
      <c r="P1380" s="15" t="str" cm="1">
        <f t="array" ref="P1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380" s="15" t="str" cm="1">
        <f t="array" ref="Q1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canciones/pelayo_sanchez/fuente_de_paz_y_fidelidad.html</v>
      </c>
      <c r="S1380" s="1"/>
      <c r="T1380" s="1"/>
      <c r="U1380" s="1"/>
      <c r="V1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data-momento="María" data-nnew="M04"&gt;&lt;a href="canciones/pelayo_sanchez/fuente_de_paz_y_fidelidad.html"&gt;Fuente de paz y fidelidad&lt;/a&gt;&lt;/li&gt;</v>
      </c>
      <c r="W1380" s="15" t="str">
        <f>_xlfn.TEXTBEFORE(_xlfn.TEXTAFTER(CantoralDB[[#This Row],[index.html]],"&gt;"),"&gt;")&amp;"&gt;"</f>
        <v>&lt;a href="canciones/pelayo_sanchez/fuente_de_paz_y_fidelidad.html"&gt;</v>
      </c>
    </row>
    <row r="1381" spans="1:23" x14ac:dyDescent="0.3">
      <c r="A1381" s="1">
        <f>ROW(CantoralDB[[#This Row],[Título]])-1</f>
        <v>1380</v>
      </c>
      <c r="B1381" s="1" t="s">
        <v>2501</v>
      </c>
      <c r="C1381" s="1"/>
      <c r="F1381" s="1">
        <v>111</v>
      </c>
      <c r="J1381" s="1"/>
      <c r="M1381" s="15" t="s">
        <v>570</v>
      </c>
      <c r="N1381" s="15"/>
      <c r="O1381" s="15"/>
      <c r="P1381" s="15" t="str" cm="1">
        <f t="array" ref="P1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381" s="15" t="str" cm="1">
        <f t="array" ref="Q1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canciones/pelayo_sanchez/mira_oh_dios.html</v>
      </c>
      <c r="S1381" s="1"/>
      <c r="T1381" s="1"/>
      <c r="U1381" s="1"/>
      <c r="V1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href="canciones/pelayo_sanchez/mira_oh_dios.html"&gt;Mira, oh, Dios&lt;/a&gt;&lt;/li&gt;</v>
      </c>
      <c r="W1381" s="15" t="str">
        <f>_xlfn.TEXTBEFORE(_xlfn.TEXTAFTER(CantoralDB[[#This Row],[index.html]],"&gt;"),"&gt;")&amp;"&gt;"</f>
        <v>&lt;a href="canciones/pelayo_sanchez/mira_oh_dios.html"&gt;</v>
      </c>
    </row>
    <row r="1382" spans="1:23" x14ac:dyDescent="0.3">
      <c r="A1382" s="1">
        <f>ROW(CantoralDB[[#This Row],[Título]])-1</f>
        <v>1381</v>
      </c>
      <c r="B1382" s="1" t="s">
        <v>2674</v>
      </c>
      <c r="C1382" s="1"/>
      <c r="F1382" s="1">
        <v>290</v>
      </c>
      <c r="J1382" s="1"/>
      <c r="M1382" s="15" t="s">
        <v>570</v>
      </c>
      <c r="N1382" s="15"/>
      <c r="O1382" s="15"/>
      <c r="P1382" s="15" t="str" cm="1">
        <f t="array" ref="P1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382" s="15" t="str" cm="1">
        <f t="array" ref="Q1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canciones/pelayo_sanchez/ved_a_cristo.html</v>
      </c>
      <c r="S1382" s="1"/>
      <c r="T1382" s="1"/>
      <c r="U1382" s="1"/>
      <c r="V1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href="canciones/pelayo_sanchez/ved_a_cristo.html"&gt;Ved a Cristo&lt;/a&gt;&lt;/li&gt;</v>
      </c>
      <c r="W1382" s="15" t="str">
        <f>_xlfn.TEXTBEFORE(_xlfn.TEXTAFTER(CantoralDB[[#This Row],[index.html]],"&gt;"),"&gt;")&amp;"&gt;"</f>
        <v>&lt;a href="canciones/pelayo_sanchez/ved_a_cristo.html"&gt;</v>
      </c>
    </row>
    <row r="1383" spans="1:23" x14ac:dyDescent="0.3">
      <c r="A1383" s="1">
        <f>ROW(CantoralDB[[#This Row],[Título]])-1</f>
        <v>1382</v>
      </c>
      <c r="B1383" s="1" t="s">
        <v>2697</v>
      </c>
      <c r="C1383" s="1"/>
      <c r="F1383" s="1">
        <v>313</v>
      </c>
      <c r="J1383" s="1"/>
      <c r="M1383" s="15" t="s">
        <v>570</v>
      </c>
      <c r="N1383" s="15"/>
      <c r="O1383" s="15"/>
      <c r="P1383" s="15" t="str" cm="1">
        <f t="array" ref="P1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383" s="15" t="str" cm="1">
        <f t="array" ref="Q1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canciones/pelayo_sanchez/ven_a_cantar.html</v>
      </c>
      <c r="S1383" s="1"/>
      <c r="T1383" s="1"/>
      <c r="U1383" s="1"/>
      <c r="V1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href="canciones/pelayo_sanchez/ven_a_cantar.html"&gt;Ven a cantar&lt;/a&gt;&lt;/li&gt;</v>
      </c>
      <c r="W1383" s="15" t="str">
        <f>_xlfn.TEXTBEFORE(_xlfn.TEXTAFTER(CantoralDB[[#This Row],[index.html]],"&gt;"),"&gt;")&amp;"&gt;"</f>
        <v>&lt;a href="canciones/pelayo_sanchez/ven_a_cantar.html"&gt;</v>
      </c>
    </row>
    <row r="1384" spans="1:23" x14ac:dyDescent="0.3">
      <c r="A1384" s="1">
        <f>ROW(CantoralDB[[#This Row],[Título]])-1</f>
        <v>1383</v>
      </c>
      <c r="B1384" s="1" t="s">
        <v>140</v>
      </c>
      <c r="C1384" s="1" t="s">
        <v>193</v>
      </c>
      <c r="D1384" s="1" t="s">
        <v>1470</v>
      </c>
      <c r="F1384" s="1">
        <v>329</v>
      </c>
      <c r="G1384" s="1" t="s">
        <v>209</v>
      </c>
      <c r="H1384" s="1" t="s">
        <v>531</v>
      </c>
      <c r="J1384" s="1" t="s">
        <v>608</v>
      </c>
      <c r="M1384" s="15" t="s">
        <v>570</v>
      </c>
      <c r="N1384" s="15"/>
      <c r="O1384" s="15"/>
      <c r="P1384" s="15" t="str" cm="1">
        <f t="array" ref="P1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384" s="15" t="str" cm="1">
        <f t="array" ref="Q1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canciones/pelayo_sanchez/te_damos_gracias_señor.html</v>
      </c>
      <c r="S1384" s="1"/>
      <c r="T1384" s="1"/>
      <c r="U1384" s="1"/>
      <c r="V1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 data-momento="Gloria" data-nnew="C07"&gt;&lt;a href="canciones/pelayo_sanchez/te_damos_gracias_señor.html"&gt;Te damos gracias, Señor&lt;/a&gt;&lt;/li&gt;</v>
      </c>
      <c r="W1384" s="15" t="str">
        <f>_xlfn.TEXTBEFORE(_xlfn.TEXTAFTER(CantoralDB[[#This Row],[index.html]],"&gt;"),"&gt;")&amp;"&gt;"</f>
        <v>&lt;a href="canciones/pelayo_sanchez/te_damos_gracias_señor.html"&gt;</v>
      </c>
    </row>
    <row r="1385" spans="1:23" x14ac:dyDescent="0.3">
      <c r="A1385" s="1">
        <f>ROW(CantoralDB[[#This Row],[Título]])-1</f>
        <v>1384</v>
      </c>
      <c r="B1385" s="1" t="s">
        <v>2724</v>
      </c>
      <c r="C1385" s="1"/>
      <c r="F1385" s="1">
        <v>344</v>
      </c>
      <c r="J1385" s="1"/>
      <c r="M1385" s="15" t="s">
        <v>570</v>
      </c>
      <c r="N1385" s="15"/>
      <c r="O1385" s="15"/>
      <c r="P1385" s="15" t="str" cm="1">
        <f t="array" ref="P1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Q1385" s="15" t="str" cm="1">
        <f t="array" ref="Q1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canciones/pelayo_sanchez/desde_cualquier_rincon.html</v>
      </c>
      <c r="S1385" s="1"/>
      <c r="T1385" s="1"/>
      <c r="U1385" s="1"/>
      <c r="V1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data-author="Pelayo Sánchez"&gt;&lt;a href="canciones/pelayo_sanchez/desde_cualquier_rincon.html"&gt;Desde cualquier rincón&lt;/a&gt;&lt;/li&gt;</v>
      </c>
      <c r="W1385" s="15" t="str">
        <f>_xlfn.TEXTBEFORE(_xlfn.TEXTAFTER(CantoralDB[[#This Row],[index.html]],"&gt;"),"&gt;")&amp;"&gt;"</f>
        <v>&lt;a href="canciones/pelayo_sanchez/desde_cualquier_rincon.html"&gt;</v>
      </c>
    </row>
    <row r="1386" spans="1:23" x14ac:dyDescent="0.3">
      <c r="A1386" s="1">
        <f>ROW(CantoralDB[[#This Row],[Título]])-1</f>
        <v>1385</v>
      </c>
      <c r="B1386" s="1" t="s">
        <v>1156</v>
      </c>
      <c r="C1386" s="1"/>
      <c r="E1386" s="1">
        <v>5</v>
      </c>
      <c r="H1386" s="1" t="s">
        <v>473</v>
      </c>
      <c r="J1386" s="1" t="s">
        <v>608</v>
      </c>
      <c r="M1386" s="15" t="s">
        <v>2145</v>
      </c>
      <c r="N1386" s="15"/>
      <c r="O1386" s="15"/>
      <c r="P1386" s="15" t="str" cm="1">
        <f t="array" ref="P1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386" s="15" t="str" cm="1">
        <f t="array" ref="Q1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canciones/perpetuo_socorro/abrid_de_par_en_par.html</v>
      </c>
      <c r="S1386" s="1"/>
      <c r="T1386" s="1"/>
      <c r="U1386" s="1"/>
      <c r="V1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data-nold="5"&gt;&lt;a href="canciones/perpetuo_socorro/abrid_de_par_en_par.html"&gt;Abrid de par en par&lt;/a&gt;&lt;/li&gt;</v>
      </c>
      <c r="W1386" s="15" t="str">
        <f>_xlfn.TEXTBEFORE(_xlfn.TEXTAFTER(CantoralDB[[#This Row],[index.html]],"&gt;"),"&gt;")&amp;"&gt;"</f>
        <v>&lt;a href="canciones/perpetuo_socorro/abrid_de_par_en_par.html"&gt;</v>
      </c>
    </row>
    <row r="1387" spans="1:23" x14ac:dyDescent="0.3">
      <c r="A1387" s="1">
        <f>ROW(CantoralDB[[#This Row],[Título]])-1</f>
        <v>1386</v>
      </c>
      <c r="B1387" s="1" t="s">
        <v>2888</v>
      </c>
      <c r="C1387" s="1"/>
      <c r="E1387" s="1">
        <v>7</v>
      </c>
      <c r="H1387" s="1" t="s">
        <v>1028</v>
      </c>
      <c r="J1387" s="1" t="s">
        <v>608</v>
      </c>
      <c r="M1387" s="15" t="s">
        <v>2145</v>
      </c>
      <c r="N1387" s="15"/>
      <c r="O1387" s="15"/>
      <c r="P1387" s="15" t="str" cm="1">
        <f t="array" ref="P1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387" s="15" t="str" cm="1">
        <f t="array" ref="Q1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canciones/perpetuo_socorro/amaras_al_señor_tu_dios.html</v>
      </c>
      <c r="S1387" s="1"/>
      <c r="T1387" s="1"/>
      <c r="U1387" s="1"/>
      <c r="V1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data-nold="7"&gt;&lt;a href="canciones/perpetuo_socorro/amaras_al_señor_tu_dios.html"&gt;Amarás al Señor tu Dios&lt;/a&gt;&lt;/li&gt;</v>
      </c>
      <c r="W1387" s="15" t="str">
        <f>_xlfn.TEXTBEFORE(_xlfn.TEXTAFTER(CantoralDB[[#This Row],[index.html]],"&gt;"),"&gt;")&amp;"&gt;"</f>
        <v>&lt;a href="canciones/perpetuo_socorro/amaras_al_señor_tu_dios.html"&gt;</v>
      </c>
    </row>
    <row r="1388" spans="1:23" x14ac:dyDescent="0.3">
      <c r="A1388" s="1">
        <f>ROW(CantoralDB[[#This Row],[Título]])-1</f>
        <v>1387</v>
      </c>
      <c r="B1388" s="1" t="s">
        <v>1250</v>
      </c>
      <c r="C1388" s="1"/>
      <c r="E1388" s="1">
        <v>112</v>
      </c>
      <c r="J1388" s="1"/>
      <c r="M1388" s="15" t="s">
        <v>2145</v>
      </c>
      <c r="N1388" s="15"/>
      <c r="O1388" s="15"/>
      <c r="P1388" s="15" t="str" cm="1">
        <f t="array" ref="P1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388" s="15" t="str" cm="1">
        <f t="array" ref="Q1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canciones/perpetuo_socorro/escuchad_escuchad.html</v>
      </c>
      <c r="S1388" s="1"/>
      <c r="T1388" s="1"/>
      <c r="U1388" s="1"/>
      <c r="V1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data-nold="112"&gt;&lt;a href="canciones/perpetuo_socorro/escuchad_escuchad.html"&gt;Escuchad, escuchad&lt;/a&gt;&lt;/li&gt;</v>
      </c>
      <c r="W1388" s="15" t="str">
        <f>_xlfn.TEXTBEFORE(_xlfn.TEXTAFTER(CantoralDB[[#This Row],[index.html]],"&gt;"),"&gt;")&amp;"&gt;"</f>
        <v>&lt;a href="canciones/perpetuo_socorro/escuchad_escuchad.html"&gt;</v>
      </c>
    </row>
    <row r="1389" spans="1:23" x14ac:dyDescent="0.3">
      <c r="A1389" s="1">
        <f>ROW(CantoralDB[[#This Row],[Título]])-1</f>
        <v>1388</v>
      </c>
      <c r="B1389" s="1" t="s">
        <v>107</v>
      </c>
      <c r="C1389" s="1" t="s">
        <v>198</v>
      </c>
      <c r="D1389" s="1" t="s">
        <v>1449</v>
      </c>
      <c r="E1389" s="1">
        <v>195</v>
      </c>
      <c r="F1389" s="1">
        <v>5</v>
      </c>
      <c r="G1389" s="1" t="s">
        <v>209</v>
      </c>
      <c r="H1389" s="1" t="s">
        <v>1030</v>
      </c>
      <c r="J1389" s="1" t="s">
        <v>608</v>
      </c>
      <c r="M1389" s="15" t="s">
        <v>2145</v>
      </c>
      <c r="N1389" s="15"/>
      <c r="O1389" s="15"/>
      <c r="P1389" s="15" t="str" cm="1">
        <f t="array" ref="P1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389" s="15" t="str" cm="1">
        <f t="array" ref="Q1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canciones/perpetuo_socorro/padre_unenos.html</v>
      </c>
      <c r="S1389" s="1"/>
      <c r="T1389" s="1"/>
      <c r="U1389" s="1"/>
      <c r="V1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data-momento="Paz" data-nnew="I05" data-nold="195"&gt;&lt;a href="canciones/perpetuo_socorro/padre_unenos.html"&gt;Padre, únenos&lt;/a&gt;&lt;/li&gt;</v>
      </c>
      <c r="W1389" s="15" t="str">
        <f>_xlfn.TEXTBEFORE(_xlfn.TEXTAFTER(CantoralDB[[#This Row],[index.html]],"&gt;"),"&gt;")&amp;"&gt;"</f>
        <v>&lt;a href="canciones/perpetuo_socorro/padre_unenos.html"&gt;</v>
      </c>
    </row>
    <row r="1390" spans="1:23" x14ac:dyDescent="0.3">
      <c r="A1390" s="1">
        <f>ROW(CantoralDB[[#This Row],[Título]])-1</f>
        <v>1389</v>
      </c>
      <c r="B1390" s="1" t="s">
        <v>1315</v>
      </c>
      <c r="C1390" s="1"/>
      <c r="E1390" s="1">
        <v>230</v>
      </c>
      <c r="H1390" s="1" t="s">
        <v>1030</v>
      </c>
      <c r="J1390" s="1" t="s">
        <v>608</v>
      </c>
      <c r="M1390" s="15" t="s">
        <v>2145</v>
      </c>
      <c r="N1390" s="15"/>
      <c r="O1390" s="15"/>
      <c r="P1390" s="15" t="str" cm="1">
        <f t="array" ref="P1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390" s="15" t="str" cm="1">
        <f t="array" ref="Q1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canciones/perpetuo_socorro/señor_guiame_por_el_sendero.html</v>
      </c>
      <c r="S1390" s="1"/>
      <c r="T1390" s="1"/>
      <c r="U1390" s="1"/>
      <c r="V1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data-nold="230"&gt;&lt;a href="canciones/perpetuo_socorro/señor_guiame_por_el_sendero.html"&gt;Señor, guíame por el sendero&lt;/a&gt;&lt;/li&gt;</v>
      </c>
      <c r="W1390" s="15" t="str">
        <f>_xlfn.TEXTBEFORE(_xlfn.TEXTAFTER(CantoralDB[[#This Row],[index.html]],"&gt;"),"&gt;")&amp;"&gt;"</f>
        <v>&lt;a href="canciones/perpetuo_socorro/señor_guiame_por_el_sendero.html"&gt;</v>
      </c>
    </row>
    <row r="1391" spans="1:23" x14ac:dyDescent="0.3">
      <c r="A1391" s="1">
        <f>ROW(CantoralDB[[#This Row],[Título]])-1</f>
        <v>1390</v>
      </c>
      <c r="B1391" s="1" t="s">
        <v>1335</v>
      </c>
      <c r="C1391" s="1"/>
      <c r="E1391" s="1">
        <v>263</v>
      </c>
      <c r="H1391" s="1" t="s">
        <v>1030</v>
      </c>
      <c r="J1391" s="1" t="s">
        <v>608</v>
      </c>
      <c r="M1391" s="15" t="s">
        <v>2145</v>
      </c>
      <c r="N1391" s="15"/>
      <c r="O1391" s="15"/>
      <c r="P1391" s="15" t="str" cm="1">
        <f t="array" ref="P1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Q1391" s="15" t="str" cm="1">
        <f t="array" ref="Q1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canciones/perpetuo_socorro/todavia_cantamos.html</v>
      </c>
      <c r="S1391" s="1"/>
      <c r="T1391" s="1"/>
      <c r="U1391" s="1"/>
      <c r="V1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data-author="Perpetuo Socorro" data-nold="263"&gt;&lt;a href="canciones/perpetuo_socorro/todavia_cantamos.html"&gt;Todavía cantamos&lt;/a&gt;&lt;/li&gt;</v>
      </c>
      <c r="W1391" s="15" t="str">
        <f>_xlfn.TEXTBEFORE(_xlfn.TEXTAFTER(CantoralDB[[#This Row],[index.html]],"&gt;"),"&gt;")&amp;"&gt;"</f>
        <v>&lt;a href="canciones/perpetuo_socorro/todavia_cantamos.html"&gt;</v>
      </c>
    </row>
    <row r="1392" spans="1:23" x14ac:dyDescent="0.3">
      <c r="A1392" s="1">
        <f>ROW(CantoralDB[[#This Row],[Título]])-1</f>
        <v>1391</v>
      </c>
      <c r="B1392" s="1" t="s">
        <v>2490</v>
      </c>
      <c r="C1392" s="1"/>
      <c r="F1392" s="1">
        <v>98</v>
      </c>
      <c r="J1392" s="1"/>
      <c r="M1392" s="15" t="s">
        <v>2489</v>
      </c>
      <c r="N1392" s="15"/>
      <c r="O1392" s="15"/>
      <c r="P1392" s="15" t="str" cm="1">
        <f t="array" ref="P1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2" s="15" t="str" cm="1">
        <f t="array" ref="Q1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canciones/nuevas/tu_el_dios_de_mi_refugio.html</v>
      </c>
      <c r="S1392" s="1"/>
      <c r="T1392" s="1"/>
      <c r="U1392" s="1"/>
      <c r="V1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de la Hoz"&gt;&lt;a href="canciones/nuevas/tu_el_dios_de_mi_refugio.html"&gt;Tú, el Dios de mi refugio&lt;/a&gt;&lt;/li&gt;</v>
      </c>
      <c r="W1392" s="15" t="str">
        <f>_xlfn.TEXTBEFORE(_xlfn.TEXTAFTER(CantoralDB[[#This Row],[index.html]],"&gt;"),"&gt;")&amp;"&gt;"</f>
        <v>&lt;a href="canciones/nuevas/tu_el_dios_de_mi_refugio.html"&gt;</v>
      </c>
    </row>
    <row r="1393" spans="1:23" x14ac:dyDescent="0.3">
      <c r="A1393" s="1">
        <f>ROW(CantoralDB[[#This Row],[Título]])-1</f>
        <v>1392</v>
      </c>
      <c r="B1393" s="1" t="s">
        <v>2500</v>
      </c>
      <c r="C1393" s="1"/>
      <c r="F1393" s="1">
        <v>110</v>
      </c>
      <c r="J1393" s="1"/>
      <c r="M1393" s="15" t="s">
        <v>2489</v>
      </c>
      <c r="N1393" s="15"/>
      <c r="O1393" s="15"/>
      <c r="P1393" s="15" t="str" cm="1">
        <f t="array" ref="P1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3" s="15" t="str" cm="1">
        <f t="array" ref="Q1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canciones/nuevas/postrado.html</v>
      </c>
      <c r="S1393" s="1"/>
      <c r="T1393" s="1"/>
      <c r="U1393" s="1"/>
      <c r="V1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de la Hoz"&gt;&lt;a href="canciones/nuevas/postrado.html"&gt;Postrado&lt;/a&gt;&lt;/li&gt;</v>
      </c>
      <c r="W1393" s="15" t="str">
        <f>_xlfn.TEXTBEFORE(_xlfn.TEXTAFTER(CantoralDB[[#This Row],[index.html]],"&gt;"),"&gt;")&amp;"&gt;"</f>
        <v>&lt;a href="canciones/nuevas/postrado.html"&gt;</v>
      </c>
    </row>
    <row r="1394" spans="1:23" x14ac:dyDescent="0.3">
      <c r="A1394" s="1">
        <f>ROW(CantoralDB[[#This Row],[Título]])-1</f>
        <v>1393</v>
      </c>
      <c r="B1394" s="1" t="s">
        <v>144</v>
      </c>
      <c r="C1394" s="1" t="s">
        <v>993</v>
      </c>
      <c r="D1394" s="1" t="s">
        <v>1012</v>
      </c>
      <c r="E1394" s="1">
        <v>310</v>
      </c>
      <c r="F1394" s="1">
        <v>73</v>
      </c>
      <c r="G1394" s="1" t="s">
        <v>209</v>
      </c>
      <c r="H1394" s="1" t="s">
        <v>1030</v>
      </c>
      <c r="J1394" s="1" t="s">
        <v>608</v>
      </c>
      <c r="M1394" s="15" t="s">
        <v>580</v>
      </c>
      <c r="N1394" s="15"/>
      <c r="O1394" s="15"/>
      <c r="P1394" s="15" t="str" cm="1">
        <f t="array" ref="P1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94" s="15" t="str" cm="1">
        <f t="array" ref="Q1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canciones/nsb/tomado_de_la_mano.html</v>
      </c>
      <c r="S1394" s="1" t="s">
        <v>865</v>
      </c>
      <c r="T1394" s="1"/>
      <c r="U1394" s="1"/>
      <c r="V1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data-author="Rafael Espinosa" data-momento="Comunión" data-nnew="K75" data-nold="310"&gt;&lt;a href="canciones/nsb/tomado_de_la_mano.html"&gt;Tomado de la mano&lt;/a&gt;&lt;/li&gt;</v>
      </c>
      <c r="W1394" s="15" t="str">
        <f>_xlfn.TEXTBEFORE(_xlfn.TEXTAFTER(CantoralDB[[#This Row],[index.html]],"&gt;"),"&gt;")&amp;"&gt;"</f>
        <v>&lt;a href="canciones/nsb/tomado_de_la_mano.html"&gt;</v>
      </c>
    </row>
    <row r="1395" spans="1:23" x14ac:dyDescent="0.3">
      <c r="A1395" s="1">
        <f>ROW(CantoralDB[[#This Row],[Título]])-1</f>
        <v>1394</v>
      </c>
      <c r="B1395" s="1" t="s">
        <v>4</v>
      </c>
      <c r="C1395" s="1" t="s">
        <v>200</v>
      </c>
      <c r="D1395" s="1" t="s">
        <v>1363</v>
      </c>
      <c r="E1395" s="1">
        <v>31</v>
      </c>
      <c r="G1395" s="1" t="s">
        <v>209</v>
      </c>
      <c r="H1395" s="1" t="s">
        <v>531</v>
      </c>
      <c r="J1395" s="1" t="s">
        <v>608</v>
      </c>
      <c r="M1395" s="15" t="s">
        <v>569</v>
      </c>
      <c r="N1395" s="15"/>
      <c r="O1395" s="15"/>
      <c r="P1395" s="15" t="str" cm="1">
        <f t="array" ref="P1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95" s="15" t="str" cm="1">
        <f t="array" ref="Q1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canciones/nsb/a_ti_que_eres_el_signo.html</v>
      </c>
      <c r="S1395" s="1"/>
      <c r="T1395" s="1"/>
      <c r="U1395" s="1"/>
      <c r="V1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data-momento="María" data-nnew="M01" data-nold="31"&gt;&lt;a href="canciones/nsb/a_ti_que_eres_el_signo.html"&gt;A ti que eres el signo&lt;/a&gt;&lt;/li&gt;</v>
      </c>
      <c r="W1395" s="15" t="str">
        <f>_xlfn.TEXTBEFORE(_xlfn.TEXTAFTER(CantoralDB[[#This Row],[index.html]],"&gt;"),"&gt;")&amp;"&gt;"</f>
        <v>&lt;a href="canciones/nsb/a_ti_que_eres_el_signo.html"&gt;</v>
      </c>
    </row>
    <row r="1396" spans="1:23" x14ac:dyDescent="0.3">
      <c r="A1396" s="1">
        <f>ROW(CantoralDB[[#This Row],[Título]])-1</f>
        <v>1395</v>
      </c>
      <c r="B1396" s="1" t="s">
        <v>1183</v>
      </c>
      <c r="C1396" s="1"/>
      <c r="E1396" s="1">
        <v>54</v>
      </c>
      <c r="H1396" s="1" t="s">
        <v>531</v>
      </c>
      <c r="J1396" s="1" t="s">
        <v>608</v>
      </c>
      <c r="M1396" s="15" t="s">
        <v>569</v>
      </c>
      <c r="N1396" s="15"/>
      <c r="O1396" s="15"/>
      <c r="P1396" s="15" t="str" cm="1">
        <f t="array" ref="P1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96" s="15" t="str" cm="1">
        <f t="array" ref="Q1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canciones/nsb/como_lo_habia_anunciado.html</v>
      </c>
      <c r="S1396" s="1"/>
      <c r="T1396" s="1"/>
      <c r="U1396" s="1"/>
      <c r="V1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data-nold="54"&gt;&lt;a href="canciones/nsb/como_lo_habia_anunciado.html"&gt;Como lo había anunciado&lt;/a&gt;&lt;/li&gt;</v>
      </c>
      <c r="W1396" s="15" t="str">
        <f>_xlfn.TEXTBEFORE(_xlfn.TEXTAFTER(CantoralDB[[#This Row],[index.html]],"&gt;"),"&gt;")&amp;"&gt;"</f>
        <v>&lt;a href="canciones/nsb/como_lo_habia_anunciado.html"&gt;</v>
      </c>
    </row>
    <row r="1397" spans="1:23" x14ac:dyDescent="0.3">
      <c r="A1397" s="1">
        <f>ROW(CantoralDB[[#This Row],[Título]])-1</f>
        <v>1396</v>
      </c>
      <c r="B1397" s="1" t="s">
        <v>1279</v>
      </c>
      <c r="C1397" s="1"/>
      <c r="E1397" s="1">
        <v>165</v>
      </c>
      <c r="J1397" s="1" t="s">
        <v>608</v>
      </c>
      <c r="L1397" s="1" t="s">
        <v>2969</v>
      </c>
      <c r="M1397" s="15" t="s">
        <v>569</v>
      </c>
      <c r="N1397" s="15"/>
      <c r="O1397" s="15"/>
      <c r="P1397" s="15" t="str" cm="1">
        <f t="array" ref="P1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97" s="15" t="str" cm="1">
        <f t="array" ref="Q1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canciones/nsb/maria_guardabas_todo.html</v>
      </c>
      <c r="S1397" s="1"/>
      <c r="T1397" s="1"/>
      <c r="U1397" s="1"/>
      <c r="V1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data-nold="165"&gt;&lt;a href="canciones/nsb/maria_guardabas_todo.html"&gt;María, guardabas todo&lt;/a&gt;&lt;/li&gt;</v>
      </c>
      <c r="W1397" s="15" t="str">
        <f>_xlfn.TEXTBEFORE(_xlfn.TEXTAFTER(CantoralDB[[#This Row],[index.html]],"&gt;"),"&gt;")&amp;"&gt;"</f>
        <v>&lt;a href="canciones/nsb/maria_guardabas_todo.html"&gt;</v>
      </c>
    </row>
    <row r="1398" spans="1:23" x14ac:dyDescent="0.3">
      <c r="A1398" s="1">
        <f>ROW(CantoralDB[[#This Row],[Título]])-1</f>
        <v>1397</v>
      </c>
      <c r="B1398" s="1" t="s">
        <v>1345</v>
      </c>
      <c r="C1398" s="1"/>
      <c r="E1398" s="1">
        <v>288</v>
      </c>
      <c r="J1398" s="1"/>
      <c r="M1398" s="15" t="s">
        <v>569</v>
      </c>
      <c r="N1398" s="15"/>
      <c r="O1398" s="15"/>
      <c r="P1398" s="15" t="str" cm="1">
        <f t="array" ref="P1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398" s="15" t="str" cm="1">
        <f t="array" ref="Q1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canciones/nsb/veo_en_tus_ojos_maria.html</v>
      </c>
      <c r="S1398" s="1"/>
      <c r="T1398" s="1"/>
      <c r="U1398" s="1"/>
      <c r="V1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data-author="Ramón Capilla" data-nold="288"&gt;&lt;a href="canciones/nsb/veo_en_tus_ojos_maria.html"&gt;Veo en tus ojos, María&lt;/a&gt;&lt;/li&gt;</v>
      </c>
      <c r="W1398" s="15" t="str">
        <f>_xlfn.TEXTBEFORE(_xlfn.TEXTAFTER(CantoralDB[[#This Row],[index.html]],"&gt;"),"&gt;")&amp;"&gt;"</f>
        <v>&lt;a href="canciones/nsb/veo_en_tus_ojos_maria.html"&gt;</v>
      </c>
    </row>
    <row r="1399" spans="1:23" x14ac:dyDescent="0.3">
      <c r="A1399" s="1">
        <f>ROW(CantoralDB[[#This Row],[Título]])-1</f>
        <v>1398</v>
      </c>
      <c r="B1399" s="1" t="s">
        <v>2786</v>
      </c>
      <c r="C1399" s="1"/>
      <c r="F1399" s="1">
        <v>395</v>
      </c>
      <c r="J1399" s="1"/>
      <c r="M1399" s="15" t="s">
        <v>2787</v>
      </c>
      <c r="N1399" s="15"/>
      <c r="O1399" s="15"/>
      <c r="P1399" s="15" t="str" cm="1">
        <f t="array" ref="P1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399" s="15" t="str" cm="1">
        <f t="array" ref="Q1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canciones/nuevas/ven_y_juntos_alabemos.html</v>
      </c>
      <c r="S1399" s="1"/>
      <c r="T1399" s="1"/>
      <c r="U1399" s="1"/>
      <c r="V1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data-author="Randal Calderón"&gt;&lt;a href="canciones/nuevas/ven_y_juntos_alabemos.html"&gt;Ven y juntos alabemos&lt;/a&gt;&lt;/li&gt;</v>
      </c>
      <c r="W1399" s="15" t="str">
        <f>_xlfn.TEXTBEFORE(_xlfn.TEXTAFTER(CantoralDB[[#This Row],[index.html]],"&gt;"),"&gt;")&amp;"&gt;"</f>
        <v>&lt;a href="canciones/nuevas/ven_y_juntos_alabemos.html"&gt;</v>
      </c>
    </row>
    <row r="1400" spans="1:23" x14ac:dyDescent="0.3">
      <c r="A1400" s="1">
        <f>ROW(CantoralDB[[#This Row],[Título]])-1</f>
        <v>1399</v>
      </c>
      <c r="B1400" s="1" t="s">
        <v>80</v>
      </c>
      <c r="C1400" s="1" t="s">
        <v>993</v>
      </c>
      <c r="D1400" s="1" t="s">
        <v>714</v>
      </c>
      <c r="E1400" s="1">
        <v>141</v>
      </c>
      <c r="F1400" s="1">
        <v>112</v>
      </c>
      <c r="G1400" s="1" t="s">
        <v>209</v>
      </c>
      <c r="H1400" s="1" t="s">
        <v>1028</v>
      </c>
      <c r="J1400" s="1" t="s">
        <v>608</v>
      </c>
      <c r="M1400" s="15" t="s">
        <v>2176</v>
      </c>
      <c r="N1400" s="15"/>
      <c r="O1400" s="15"/>
      <c r="P1400" s="15" t="str" cm="1">
        <f t="array" ref="P1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00" s="15" t="str" cm="1">
        <f t="array" ref="Q1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canciones/nsb/iluminame_señor.html</v>
      </c>
      <c r="S1400" s="1"/>
      <c r="T1400" s="1"/>
      <c r="U1400" s="1"/>
      <c r="V1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 data-momento="Comunión" data-nnew="K41" data-nold="141"&gt;&lt;a href="canciones/nsb/iluminame_señor.html"&gt;Ilumíname, Señor&lt;/a&gt;&lt;/li&gt;</v>
      </c>
      <c r="W1400" s="15" t="str">
        <f>_xlfn.TEXTBEFORE(_xlfn.TEXTAFTER(CantoralDB[[#This Row],[index.html]],"&gt;"),"&gt;")&amp;"&gt;"</f>
        <v>&lt;a href="canciones/nsb/iluminame_señor.html"&gt;</v>
      </c>
    </row>
    <row r="1401" spans="1:23" x14ac:dyDescent="0.3">
      <c r="A1401" s="1">
        <f>ROW(CantoralDB[[#This Row],[Título]])-1</f>
        <v>1400</v>
      </c>
      <c r="B1401" s="1" t="s">
        <v>93</v>
      </c>
      <c r="C1401" s="1" t="s">
        <v>192</v>
      </c>
      <c r="D1401" s="1" t="s">
        <v>1441</v>
      </c>
      <c r="E1401" s="1">
        <v>168</v>
      </c>
      <c r="F1401" s="1" t="s">
        <v>2496</v>
      </c>
      <c r="G1401" s="1" t="s">
        <v>209</v>
      </c>
      <c r="H1401" s="1" t="s">
        <v>1027</v>
      </c>
      <c r="J1401" s="1" t="s">
        <v>608</v>
      </c>
      <c r="M1401" s="15" t="s">
        <v>2176</v>
      </c>
      <c r="N1401" s="15"/>
      <c r="O1401" s="15"/>
      <c r="P1401" s="15" t="str" cm="1">
        <f t="array" ref="P1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01" s="15" t="str" cm="1">
        <f t="array" ref="Q1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canciones/nsb/mi_dios_esta_vivo.html</v>
      </c>
      <c r="S1401" s="1"/>
      <c r="T1401" s="1"/>
      <c r="U1401" s="1"/>
      <c r="V1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 data-momento="Perdón - Agua" data-nnew="B03" data-nold="168"&gt;&lt;a href="canciones/nsb/mi_dios_esta_vivo.html"&gt;Mi Dios está vivo&lt;/a&gt;&lt;/li&gt;</v>
      </c>
      <c r="W1401" s="15" t="str">
        <f>_xlfn.TEXTBEFORE(_xlfn.TEXTAFTER(CantoralDB[[#This Row],[index.html]],"&gt;"),"&gt;")&amp;"&gt;"</f>
        <v>&lt;a href="canciones/nsb/mi_dios_esta_vivo.html"&gt;</v>
      </c>
    </row>
    <row r="1402" spans="1:23" x14ac:dyDescent="0.3">
      <c r="A1402" s="1">
        <f>ROW(CantoralDB[[#This Row],[Título]])-1</f>
        <v>1401</v>
      </c>
      <c r="B1402" s="1" t="s">
        <v>2157</v>
      </c>
      <c r="C1402" s="15"/>
      <c r="F1402" s="1">
        <v>315</v>
      </c>
      <c r="H1402" s="1" t="s">
        <v>473</v>
      </c>
      <c r="J1402" s="1" t="s">
        <v>608</v>
      </c>
      <c r="M1402" s="15" t="s">
        <v>2176</v>
      </c>
      <c r="N1402" s="15"/>
      <c r="O1402" s="15"/>
      <c r="P1402" s="15" t="str" cm="1">
        <f t="array" ref="P1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2" s="15" t="str" cm="1">
        <f t="array" ref="Q1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canciones/nuevas/aleluya_yo_creo_en_tu_amor.html</v>
      </c>
      <c r="S1402" s="1"/>
      <c r="T1402" s="1"/>
      <c r="U1402" s="14" t="s">
        <v>3003</v>
      </c>
      <c r="V1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data-author="RCCE"&gt;&lt;a href="canciones/nuevas/aleluya_yo_creo_en_tu_amor.html"&gt;Aleluya, yo creo en tu amor&lt;/a&gt;&lt;/li&gt;</v>
      </c>
      <c r="W1402" s="15" t="str">
        <f>_xlfn.TEXTBEFORE(_xlfn.TEXTAFTER(CantoralDB[[#This Row],[index.html]],"&gt;"),"&gt;")&amp;"&gt;"</f>
        <v>&lt;a href="canciones/nuevas/aleluya_yo_creo_en_tu_amor.html"&gt;</v>
      </c>
    </row>
    <row r="1403" spans="1:23" x14ac:dyDescent="0.3">
      <c r="A1403" s="1">
        <f>ROW(CantoralDB[[#This Row],[Título]])-1</f>
        <v>1402</v>
      </c>
      <c r="B1403" s="1" t="s">
        <v>2863</v>
      </c>
      <c r="C1403" s="1"/>
      <c r="H1403" s="1" t="s">
        <v>531</v>
      </c>
      <c r="J1403" s="1" t="s">
        <v>608</v>
      </c>
      <c r="M1403" s="15" t="s">
        <v>2176</v>
      </c>
      <c r="N1403" s="15"/>
      <c r="O1403" s="15"/>
      <c r="P1403" s="15" t="str" cm="1">
        <f t="array" ref="P1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3" s="15" t="str" cm="1">
        <f t="array" ref="Q1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canciones/nuevas/pregon_pascual_(neocatecumenal).html</v>
      </c>
      <c r="S1403" s="1"/>
      <c r="T1403" s="1"/>
      <c r="U1403" s="1"/>
      <c r="V1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data-author="RCCE"&gt;&lt;a href="canciones/nuevas/pregon_pascual_(neocatecumenal).html"&gt;Pregón Pascual (neocatecumenal)&lt;/a&gt;&lt;/li&gt;</v>
      </c>
      <c r="W1403" s="15" t="str">
        <f>_xlfn.TEXTBEFORE(_xlfn.TEXTAFTER(CantoralDB[[#This Row],[index.html]],"&gt;"),"&gt;")&amp;"&gt;"</f>
        <v>&lt;a href="canciones/nuevas/pregon_pascual_(neocatecumenal).html"&gt;</v>
      </c>
    </row>
    <row r="1404" spans="1:23" x14ac:dyDescent="0.3">
      <c r="A1404" s="1">
        <f>ROW(CantoralDB[[#This Row],[Título]])-1</f>
        <v>1403</v>
      </c>
      <c r="B1404" s="1" t="s">
        <v>2737</v>
      </c>
      <c r="C1404" s="1"/>
      <c r="F1404" s="1">
        <v>353</v>
      </c>
      <c r="J1404" s="1"/>
      <c r="M1404" s="15" t="s">
        <v>2738</v>
      </c>
      <c r="N1404" s="15"/>
      <c r="O1404" s="15"/>
      <c r="P1404" s="15" t="str" cm="1">
        <f t="array" ref="P1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4" s="15" t="str" cm="1">
        <f t="array" ref="Q1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canciones/nuevas/jesus_es_mi_luz_y_mi_salvacion.html</v>
      </c>
      <c r="S1404" s="1"/>
      <c r="T1404" s="1"/>
      <c r="U1404" s="1"/>
      <c r="V1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data-author="Renato Vizuet"&gt;&lt;a href="canciones/nuevas/jesus_es_mi_luz_y_mi_salvacion.html"&gt;Jesús es mi luz y mi salvación&lt;/a&gt;&lt;/li&gt;</v>
      </c>
      <c r="W1404" s="15" t="str">
        <f>_xlfn.TEXTBEFORE(_xlfn.TEXTAFTER(CantoralDB[[#This Row],[index.html]],"&gt;"),"&gt;")&amp;"&gt;"</f>
        <v>&lt;a href="canciones/nuevas/jesus_es_mi_luz_y_mi_salvacion.html"&gt;</v>
      </c>
    </row>
    <row r="1405" spans="1:23" x14ac:dyDescent="0.3">
      <c r="A1405" s="1">
        <f>ROW(CantoralDB[[#This Row],[Título]])-1</f>
        <v>1404</v>
      </c>
      <c r="B1405" s="1" t="s">
        <v>2172</v>
      </c>
      <c r="C1405" s="15"/>
      <c r="F1405" s="1">
        <v>439</v>
      </c>
      <c r="H1405" s="1" t="s">
        <v>531</v>
      </c>
      <c r="J1405" s="1" t="s">
        <v>608</v>
      </c>
      <c r="M1405" s="15" t="s">
        <v>2841</v>
      </c>
      <c r="N1405" s="15"/>
      <c r="O1405" s="15"/>
      <c r="P1405" s="15" t="str" cm="1">
        <f t="array" ref="P1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5" s="15" t="str" cm="1">
        <f t="array" ref="Q1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canciones/nuevas/te_doy_mi_corazon.html</v>
      </c>
      <c r="S1405" s="1"/>
      <c r="T1405" s="1"/>
      <c r="U1405" s="1"/>
      <c r="V1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data-author="Reuben Morgan"&gt;&lt;a href="canciones/nuevas/te_doy_mi_corazon.html"&gt;Te doy mi corazón&lt;/a&gt;&lt;/li&gt;</v>
      </c>
      <c r="W1405" s="15" t="str">
        <f>_xlfn.TEXTBEFORE(_xlfn.TEXTAFTER(CantoralDB[[#This Row],[index.html]],"&gt;"),"&gt;")&amp;"&gt;"</f>
        <v>&lt;a href="canciones/nuevas/te_doy_mi_corazon.html"&gt;</v>
      </c>
    </row>
    <row r="1406" spans="1:23" x14ac:dyDescent="0.3">
      <c r="A1406" s="1">
        <f>ROW(CantoralDB[[#This Row],[Título]])-1</f>
        <v>1405</v>
      </c>
      <c r="B1406" s="1" t="s">
        <v>2556</v>
      </c>
      <c r="C1406" s="1"/>
      <c r="F1406" s="1">
        <v>158</v>
      </c>
      <c r="J1406" s="1"/>
      <c r="M1406" s="15" t="s">
        <v>2555</v>
      </c>
      <c r="N1406" s="15"/>
      <c r="O1406" s="15"/>
      <c r="P1406" s="15" t="str" cm="1">
        <f t="array" ref="P1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06" s="15" t="str" cm="1">
        <f t="array" ref="Q1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canciones/nuevas/eli_eli.html</v>
      </c>
      <c r="S1406" s="1"/>
      <c r="T1406" s="1"/>
      <c r="U1406" s="1"/>
      <c r="V1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data-author="Ribcah Anafah"&gt;&lt;a href="canciones/nuevas/eli_eli.html"&gt;Elí, Elí&lt;/a&gt;&lt;/li&gt;</v>
      </c>
      <c r="W1406" s="15" t="str">
        <f>_xlfn.TEXTBEFORE(_xlfn.TEXTAFTER(CantoralDB[[#This Row],[index.html]],"&gt;"),"&gt;")&amp;"&gt;"</f>
        <v>&lt;a href="canciones/nuevas/eli_eli.html"&gt;</v>
      </c>
    </row>
    <row r="1407" spans="1:23" x14ac:dyDescent="0.3">
      <c r="A1407" s="1">
        <f>ROW(CantoralDB[[#This Row],[Título]])-1</f>
        <v>1406</v>
      </c>
      <c r="B1407" s="1" t="s">
        <v>1173</v>
      </c>
      <c r="C1407" s="1"/>
      <c r="E1407" s="1">
        <v>37</v>
      </c>
      <c r="H1407" s="1" t="s">
        <v>1028</v>
      </c>
      <c r="J1407" s="1" t="s">
        <v>608</v>
      </c>
      <c r="M1407" s="15" t="s">
        <v>509</v>
      </c>
      <c r="N1407" s="15"/>
      <c r="O1407" s="15"/>
      <c r="P1407" s="15" t="str" cm="1">
        <f t="array" ref="P1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07" s="15" t="str" cm="1">
        <f t="array" ref="Q1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canciones/ricardo_cantalapiedra/con_su_muerte_nos_justificara.html</v>
      </c>
      <c r="S1407" s="1"/>
      <c r="T1407" s="1"/>
      <c r="U1407" s="1"/>
      <c r="V1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data-nold="37"&gt;&lt;a href="canciones/ricardo_cantalapiedra/con_su_muerte_nos_justificara.html"&gt;Con su muerte nos justificará&lt;/a&gt;&lt;/li&gt;</v>
      </c>
      <c r="W1407" s="15" t="str">
        <f>_xlfn.TEXTBEFORE(_xlfn.TEXTAFTER(CantoralDB[[#This Row],[index.html]],"&gt;"),"&gt;")&amp;"&gt;"</f>
        <v>&lt;a href="canciones/ricardo_cantalapiedra/con_su_muerte_nos_justificara.html"&gt;</v>
      </c>
    </row>
    <row r="1408" spans="1:23" x14ac:dyDescent="0.3">
      <c r="A1408" s="1">
        <f>ROW(CantoralDB[[#This Row],[Título]])-1</f>
        <v>1407</v>
      </c>
      <c r="B1408" s="1" t="s">
        <v>1181</v>
      </c>
      <c r="C1408" s="1"/>
      <c r="E1408" s="1">
        <v>53</v>
      </c>
      <c r="H1408" s="1" t="s">
        <v>531</v>
      </c>
      <c r="J1408" s="1" t="s">
        <v>608</v>
      </c>
      <c r="M1408" s="15" t="s">
        <v>509</v>
      </c>
      <c r="N1408" s="15"/>
      <c r="O1408" s="15"/>
      <c r="P1408" s="15" t="str" cm="1">
        <f t="array" ref="P1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08" s="15" t="str" cm="1">
        <f t="array" ref="Q1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canciones/ricardo_cantalapiedra/como_le_cantare_al_señor.html</v>
      </c>
      <c r="S1408" s="1"/>
      <c r="T1408" s="1"/>
      <c r="U1408" s="1"/>
      <c r="V1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data-nold="53"&gt;&lt;a href="canciones/ricardo_cantalapiedra/como_le_cantare_al_señor.html"&gt;Cómo le cantaré al Señor&lt;/a&gt;&lt;/li&gt;</v>
      </c>
      <c r="W1408" s="15" t="str">
        <f>_xlfn.TEXTBEFORE(_xlfn.TEXTAFTER(CantoralDB[[#This Row],[index.html]],"&gt;"),"&gt;")&amp;"&gt;"</f>
        <v>&lt;a href="canciones/ricardo_cantalapiedra/como_le_cantare_al_señor.html"&gt;</v>
      </c>
    </row>
    <row r="1409" spans="1:23" x14ac:dyDescent="0.3">
      <c r="A1409" s="1">
        <f>ROW(CantoralDB[[#This Row],[Título]])-1</f>
        <v>1408</v>
      </c>
      <c r="B1409" s="1" t="s">
        <v>1201</v>
      </c>
      <c r="C1409" s="1"/>
      <c r="E1409" s="1">
        <v>76</v>
      </c>
      <c r="J1409" s="1"/>
      <c r="M1409" s="15" t="s">
        <v>509</v>
      </c>
      <c r="N1409" s="15"/>
      <c r="O1409" s="15"/>
      <c r="P1409" s="15" t="str" cm="1">
        <f t="array" ref="P1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09" s="15" t="str" cm="1">
        <f t="array" ref="Q1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canciones/ricardo_cantalapiedra/donde_tu_dices_ley.html</v>
      </c>
      <c r="S1409" s="1"/>
      <c r="T1409" s="1"/>
      <c r="U1409" s="1"/>
      <c r="V1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data-nold="76"&gt;&lt;a href="canciones/ricardo_cantalapiedra/donde_tu_dices_ley.html"&gt;Donde tú dices ley&lt;/a&gt;&lt;/li&gt;</v>
      </c>
      <c r="W1409" s="15" t="str">
        <f>_xlfn.TEXTBEFORE(_xlfn.TEXTAFTER(CantoralDB[[#This Row],[index.html]],"&gt;"),"&gt;")&amp;"&gt;"</f>
        <v>&lt;a href="canciones/ricardo_cantalapiedra/donde_tu_dices_ley.html"&gt;</v>
      </c>
    </row>
    <row r="1410" spans="1:23" x14ac:dyDescent="0.3">
      <c r="A1410" s="1">
        <f>ROW(CantoralDB[[#This Row],[Título]])-1</f>
        <v>1409</v>
      </c>
      <c r="B1410" s="1" t="s">
        <v>1202</v>
      </c>
      <c r="C1410" s="1"/>
      <c r="E1410" s="1">
        <v>78</v>
      </c>
      <c r="H1410" s="1" t="s">
        <v>1027</v>
      </c>
      <c r="J1410" s="1" t="s">
        <v>608</v>
      </c>
      <c r="M1410" s="15" t="s">
        <v>509</v>
      </c>
      <c r="N1410" s="15"/>
      <c r="O1410" s="15"/>
      <c r="P1410" s="15" t="str" cm="1">
        <f t="array" ref="P1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10" s="15" t="str" cm="1">
        <f t="array" ref="Q1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canciones/ricardo_cantalapiedra/donde_hay_amor_alli_esta_dios.html</v>
      </c>
      <c r="S1410" s="1"/>
      <c r="T1410" s="1"/>
      <c r="U1410" s="1"/>
      <c r="V1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data-nold="78"&gt;&lt;a href="canciones/ricardo_cantalapiedra/donde_hay_amor_alli_esta_dios.html"&gt;Donde hay amor allí está Dios&lt;/a&gt;&lt;/li&gt;</v>
      </c>
      <c r="W1410" s="15" t="str">
        <f>_xlfn.TEXTBEFORE(_xlfn.TEXTAFTER(CantoralDB[[#This Row],[index.html]],"&gt;"),"&gt;")&amp;"&gt;"</f>
        <v>&lt;a href="canciones/ricardo_cantalapiedra/donde_hay_amor_alli_esta_dios.html"&gt;</v>
      </c>
    </row>
    <row r="1411" spans="1:23" x14ac:dyDescent="0.3">
      <c r="A1411" s="1">
        <f>ROW(CantoralDB[[#This Row],[Título]])-1</f>
        <v>1410</v>
      </c>
      <c r="B1411" s="1" t="s">
        <v>1283</v>
      </c>
      <c r="C1411" s="1"/>
      <c r="E1411" s="1">
        <v>172</v>
      </c>
      <c r="H1411" s="1" t="s">
        <v>1030</v>
      </c>
      <c r="J1411" s="1" t="s">
        <v>608</v>
      </c>
      <c r="M1411" s="15" t="s">
        <v>509</v>
      </c>
      <c r="N1411" s="15"/>
      <c r="O1411" s="15"/>
      <c r="P1411" s="15" t="str" cm="1">
        <f t="array" ref="P1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11" s="15" t="str" cm="1">
        <f t="array" ref="Q1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canciones/ricardo_cantalapiedra/no_queremos_a_los_grandes_palabreros.html</v>
      </c>
      <c r="S1411" s="1"/>
      <c r="T1411" s="1"/>
      <c r="U1411" s="1"/>
      <c r="V1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data-nold="172"&gt;&lt;a href="canciones/ricardo_cantalapiedra/no_queremos_a_los_grandes_palabreros.html"&gt;No queremos a los grandes palabreros&lt;/a&gt;&lt;/li&gt;</v>
      </c>
      <c r="W1411" s="15" t="str">
        <f>_xlfn.TEXTBEFORE(_xlfn.TEXTAFTER(CantoralDB[[#This Row],[index.html]],"&gt;"),"&gt;")&amp;"&gt;"</f>
        <v>&lt;a href="canciones/ricardo_cantalapiedra/no_queremos_a_los_grandes_palabreros.html"&gt;</v>
      </c>
    </row>
    <row r="1412" spans="1:23" x14ac:dyDescent="0.3">
      <c r="A1412" s="1">
        <f>ROW(CantoralDB[[#This Row],[Título]])-1</f>
        <v>1411</v>
      </c>
      <c r="B1412" s="1" t="s">
        <v>1296</v>
      </c>
      <c r="C1412" s="1"/>
      <c r="E1412" s="1">
        <v>188</v>
      </c>
      <c r="H1412" s="1" t="s">
        <v>531</v>
      </c>
      <c r="J1412" s="1" t="s">
        <v>608</v>
      </c>
      <c r="M1412" s="15" t="s">
        <v>509</v>
      </c>
      <c r="N1412" s="15"/>
      <c r="O1412" s="15"/>
      <c r="P1412" s="15" t="str" cm="1">
        <f t="array" ref="P1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12" s="15" t="str" cm="1">
        <f t="array" ref="Q1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canciones/ricardo_cantalapiedra/oh_dios_por_que_nos_has_abandonado.html</v>
      </c>
      <c r="S1412" s="1"/>
      <c r="T1412" s="1"/>
      <c r="U1412" s="1"/>
      <c r="V1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data-nold="188"&gt;&lt;a href="canciones/ricardo_cantalapiedra/oh_dios_por_que_nos_has_abandonado.html"&gt;Oh, Dios, por qué nos has abandonado&lt;/a&gt;&lt;/li&gt;</v>
      </c>
      <c r="W1412" s="15" t="str">
        <f>_xlfn.TEXTBEFORE(_xlfn.TEXTAFTER(CantoralDB[[#This Row],[index.html]],"&gt;"),"&gt;")&amp;"&gt;"</f>
        <v>&lt;a href="canciones/ricardo_cantalapiedra/oh_dios_por_que_nos_has_abandonado.html"&gt;</v>
      </c>
    </row>
    <row r="1413" spans="1:23" x14ac:dyDescent="0.3">
      <c r="A1413" s="1">
        <f>ROW(CantoralDB[[#This Row],[Título]])-1</f>
        <v>1412</v>
      </c>
      <c r="B1413" s="1" t="s">
        <v>104</v>
      </c>
      <c r="C1413" s="1" t="s">
        <v>201</v>
      </c>
      <c r="D1413" s="1" t="s">
        <v>670</v>
      </c>
      <c r="E1413" s="1">
        <v>192</v>
      </c>
      <c r="G1413" s="1" t="s">
        <v>209</v>
      </c>
      <c r="H1413" s="1" t="s">
        <v>531</v>
      </c>
      <c r="I1413" s="1" t="s">
        <v>2962</v>
      </c>
      <c r="J1413" s="1" t="s">
        <v>608</v>
      </c>
      <c r="M1413" s="15" t="s">
        <v>509</v>
      </c>
      <c r="N1413" s="15"/>
      <c r="O1413" s="15"/>
      <c r="P1413" s="15" t="str" cm="1">
        <f t="array" ref="P1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13" s="15" t="str" cm="1">
        <f t="array" ref="Q1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canciones/ricardo_cantalapiedra/os_doy_un_mandato_nuevo.html</v>
      </c>
      <c r="S1413" s="1" t="s">
        <v>851</v>
      </c>
      <c r="T1413" s="1"/>
      <c r="U1413" s="1"/>
      <c r="V1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data-momento="Antífonas" data-nnew="D32" data-nold="192"&gt;&lt;a href="canciones/ricardo_cantalapiedra/os_doy_un_mandato_nuevo.html"&gt;Os doy un mandato nuevo&lt;/a&gt;&lt;/li&gt;</v>
      </c>
      <c r="W1413" s="15" t="str">
        <f>_xlfn.TEXTBEFORE(_xlfn.TEXTAFTER(CantoralDB[[#This Row],[index.html]],"&gt;"),"&gt;")&amp;"&gt;"</f>
        <v>&lt;a href="canciones/ricardo_cantalapiedra/os_doy_un_mandato_nuevo.html"&gt;</v>
      </c>
    </row>
    <row r="1414" spans="1:23" x14ac:dyDescent="0.3">
      <c r="A1414" s="1">
        <f>ROW(CantoralDB[[#This Row],[Título]])-1</f>
        <v>1413</v>
      </c>
      <c r="B1414" s="1" t="s">
        <v>116</v>
      </c>
      <c r="C1414" s="1" t="s">
        <v>993</v>
      </c>
      <c r="D1414" s="1" t="s">
        <v>729</v>
      </c>
      <c r="E1414" s="1">
        <v>202</v>
      </c>
      <c r="G1414" s="1" t="s">
        <v>209</v>
      </c>
      <c r="H1414" s="1" t="s">
        <v>531</v>
      </c>
      <c r="J1414" s="1" t="s">
        <v>608</v>
      </c>
      <c r="M1414" s="15" t="s">
        <v>509</v>
      </c>
      <c r="N1414" s="15"/>
      <c r="O1414" s="15"/>
      <c r="P1414" s="15" t="str" cm="1">
        <f t="array" ref="P1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14" s="15" t="str" cm="1">
        <f t="array" ref="Q1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canciones/ricardo_cantalapiedra/protegeme_dios_mio.html</v>
      </c>
      <c r="S1414" s="1"/>
      <c r="T1414" s="1"/>
      <c r="U1414" s="1"/>
      <c r="V1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data-momento="Comunión" data-nnew="K56" data-nold="202"&gt;&lt;a href="canciones/ricardo_cantalapiedra/protegeme_dios_mio.html"&gt;Protégeme, Dios mío&lt;/a&gt;&lt;/li&gt;</v>
      </c>
      <c r="W1414" s="15" t="str">
        <f>_xlfn.TEXTBEFORE(_xlfn.TEXTAFTER(CantoralDB[[#This Row],[index.html]],"&gt;"),"&gt;")&amp;"&gt;"</f>
        <v>&lt;a href="canciones/ricardo_cantalapiedra/protegeme_dios_mio.html"&gt;</v>
      </c>
    </row>
    <row r="1415" spans="1:23" x14ac:dyDescent="0.3">
      <c r="A1415" s="1">
        <f>ROW(CantoralDB[[#This Row],[Título]])-1</f>
        <v>1414</v>
      </c>
      <c r="B1415" s="1" t="s">
        <v>117</v>
      </c>
      <c r="C1415" s="1" t="s">
        <v>993</v>
      </c>
      <c r="D1415" s="1" t="s">
        <v>994</v>
      </c>
      <c r="E1415" s="1">
        <v>205</v>
      </c>
      <c r="G1415" s="1" t="s">
        <v>209</v>
      </c>
      <c r="H1415" s="1" t="s">
        <v>531</v>
      </c>
      <c r="I1415" s="1" t="s">
        <v>2959</v>
      </c>
      <c r="J1415" s="1" t="s">
        <v>608</v>
      </c>
      <c r="M1415" s="15" t="s">
        <v>509</v>
      </c>
      <c r="N1415" s="15"/>
      <c r="O1415" s="15"/>
      <c r="P1415" s="15" t="str" cm="1">
        <f t="array" ref="P1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15" s="15" t="str" cm="1">
        <f t="array" ref="Q1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canciones/ricardo_cantalapiedra/pueblo_mio.html</v>
      </c>
      <c r="S1415" s="1" t="s">
        <v>856</v>
      </c>
      <c r="T1415" s="1"/>
      <c r="U1415" s="14" t="s">
        <v>3015</v>
      </c>
      <c r="V1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data-momento="Comunión" data-nnew="K57" data-nold="205"&gt;&lt;a href="canciones/ricardo_cantalapiedra/pueblo_mio.html"&gt;Pueblo mío&lt;/a&gt;&lt;/li&gt;</v>
      </c>
      <c r="W1415" s="15" t="str">
        <f>_xlfn.TEXTBEFORE(_xlfn.TEXTAFTER(CantoralDB[[#This Row],[index.html]],"&gt;"),"&gt;")&amp;"&gt;"</f>
        <v>&lt;a href="canciones/ricardo_cantalapiedra/pueblo_mio.html"&gt;</v>
      </c>
    </row>
    <row r="1416" spans="1:23" x14ac:dyDescent="0.3">
      <c r="A1416" s="1">
        <f>ROW(CantoralDB[[#This Row],[Título]])-1</f>
        <v>1415</v>
      </c>
      <c r="B1416" s="1" t="s">
        <v>1314</v>
      </c>
      <c r="C1416" s="1"/>
      <c r="E1416" s="1">
        <v>229</v>
      </c>
      <c r="J1416" s="1"/>
      <c r="M1416" s="15" t="s">
        <v>509</v>
      </c>
      <c r="N1416" s="15"/>
      <c r="O1416" s="15"/>
      <c r="P1416" s="15" t="str" cm="1">
        <f t="array" ref="P1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16" s="15" t="str" cm="1">
        <f t="array" ref="Q1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canciones/ricardo_cantalapiedra/si_no_encuentro_la_alegria.html</v>
      </c>
      <c r="S1416" s="1"/>
      <c r="T1416" s="1"/>
      <c r="U1416" s="1"/>
      <c r="V1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data-nold="229"&gt;&lt;a href="canciones/ricardo_cantalapiedra/si_no_encuentro_la_alegria.html"&gt;Si no encuentro la alegría&lt;/a&gt;&lt;/li&gt;</v>
      </c>
      <c r="W1416" s="15" t="str">
        <f>_xlfn.TEXTBEFORE(_xlfn.TEXTAFTER(CantoralDB[[#This Row],[index.html]],"&gt;"),"&gt;")&amp;"&gt;"</f>
        <v>&lt;a href="canciones/ricardo_cantalapiedra/si_no_encuentro_la_alegria.html"&gt;</v>
      </c>
    </row>
    <row r="1417" spans="1:23" x14ac:dyDescent="0.3">
      <c r="A1417" s="1">
        <f>ROW(CantoralDB[[#This Row],[Título]])-1</f>
        <v>1416</v>
      </c>
      <c r="B1417" s="1" t="s">
        <v>141</v>
      </c>
      <c r="C1417" s="1" t="s">
        <v>201</v>
      </c>
      <c r="D1417" s="1" t="s">
        <v>674</v>
      </c>
      <c r="E1417" s="1">
        <v>257</v>
      </c>
      <c r="G1417" s="1" t="s">
        <v>209</v>
      </c>
      <c r="H1417" s="1" t="s">
        <v>531</v>
      </c>
      <c r="J1417" s="1" t="s">
        <v>608</v>
      </c>
      <c r="M1417" s="15" t="s">
        <v>509</v>
      </c>
      <c r="N1417" s="15"/>
      <c r="O1417" s="15"/>
      <c r="P1417" s="15" t="str" cm="1">
        <f t="array" ref="P1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17" s="15" t="str" cm="1">
        <f t="array" ref="Q1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canciones/ricardo_cantalapiedra/te_ensalzare_señor.html</v>
      </c>
      <c r="S1417" s="1" t="s">
        <v>862</v>
      </c>
      <c r="T1417" s="1"/>
      <c r="U1417" s="1"/>
      <c r="V1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data-momento="Antífonas" data-nnew="D36" data-nold="257"&gt;&lt;a href="canciones/ricardo_cantalapiedra/te_ensalzare_señor.html"&gt;Te ensalzaré, Señor&lt;/a&gt;&lt;/li&gt;</v>
      </c>
      <c r="W1417" s="15" t="str">
        <f>_xlfn.TEXTBEFORE(_xlfn.TEXTAFTER(CantoralDB[[#This Row],[index.html]],"&gt;"),"&gt;")&amp;"&gt;"</f>
        <v>&lt;a href="canciones/ricardo_cantalapiedra/te_ensalzare_señor.html"&gt;</v>
      </c>
    </row>
    <row r="1418" spans="1:23" x14ac:dyDescent="0.3">
      <c r="A1418" s="1">
        <f>ROW(CantoralDB[[#This Row],[Título]])-1</f>
        <v>1417</v>
      </c>
      <c r="B1418" s="1" t="s">
        <v>1350</v>
      </c>
      <c r="C1418" s="1"/>
      <c r="E1418" s="1">
        <v>295</v>
      </c>
      <c r="H1418" s="1" t="s">
        <v>1030</v>
      </c>
      <c r="J1418" s="1" t="s">
        <v>608</v>
      </c>
      <c r="M1418" s="15" t="s">
        <v>509</v>
      </c>
      <c r="N1418" s="15"/>
      <c r="O1418" s="15"/>
      <c r="P1418" s="15" t="str" cm="1">
        <f t="array" ref="P1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Q1418" s="15" t="str" cm="1">
        <f t="array" ref="Q1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canciones/ricardo_cantalapiedra/yo_volvere_a_cantar.html</v>
      </c>
      <c r="S1418" s="1"/>
      <c r="T1418" s="1"/>
      <c r="U1418" s="1"/>
      <c r="V1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Cantalapiedra" data-nold="295"&gt;&lt;a href="canciones/ricardo_cantalapiedra/yo_volvere_a_cantar.html"&gt;Yo volveré a cantar&lt;/a&gt;&lt;/li&gt;</v>
      </c>
      <c r="W1418" s="15" t="str">
        <f>_xlfn.TEXTBEFORE(_xlfn.TEXTAFTER(CantoralDB[[#This Row],[index.html]],"&gt;"),"&gt;")&amp;"&gt;"</f>
        <v>&lt;a href="canciones/ricardo_cantalapiedra/yo_volvere_a_cantar.html"&gt;</v>
      </c>
    </row>
    <row r="1419" spans="1:23" x14ac:dyDescent="0.3">
      <c r="A1419" s="1">
        <f>ROW(CantoralDB[[#This Row],[Título]])-1</f>
        <v>1418</v>
      </c>
      <c r="B1419" s="1" t="s">
        <v>70</v>
      </c>
      <c r="C1419" s="1" t="s">
        <v>199</v>
      </c>
      <c r="D1419" s="1" t="s">
        <v>1427</v>
      </c>
      <c r="E1419" s="1">
        <v>427</v>
      </c>
      <c r="G1419" s="1" t="s">
        <v>213</v>
      </c>
      <c r="H1419" s="1" t="s">
        <v>531</v>
      </c>
      <c r="J1419" s="1" t="s">
        <v>608</v>
      </c>
      <c r="M1419" s="15" t="s">
        <v>634</v>
      </c>
      <c r="N1419" s="15"/>
      <c r="O1419" s="15"/>
      <c r="P1419" s="15" t="str" cm="1">
        <f t="array" ref="P1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19" s="15" t="str" cm="1">
        <f t="array" ref="Q1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canciones/nsb/gracias_señor.html</v>
      </c>
      <c r="S1419" s="1"/>
      <c r="T1419" s="1"/>
      <c r="U1419" s="1"/>
      <c r="V1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de la Fuente" data-momento="Despedida" data-nnew="L02" data-nold="427"&gt;&lt;a href="canciones/nsb/gracias_señor.html"&gt;Gracias, Señor&lt;/a&gt;&lt;/li&gt;</v>
      </c>
      <c r="W1419" s="15" t="str">
        <f>_xlfn.TEXTBEFORE(_xlfn.TEXTAFTER(CantoralDB[[#This Row],[index.html]],"&gt;"),"&gt;")&amp;"&gt;"</f>
        <v>&lt;a href="canciones/nsb/gracias_señor.html"&gt;</v>
      </c>
    </row>
    <row r="1420" spans="1:23" x14ac:dyDescent="0.3">
      <c r="A1420" s="1">
        <f>ROW(CantoralDB[[#This Row],[Título]])-1</f>
        <v>1419</v>
      </c>
      <c r="B1420" s="1" t="s">
        <v>2432</v>
      </c>
      <c r="C1420" s="1"/>
      <c r="F1420" s="1">
        <v>46</v>
      </c>
      <c r="J1420" s="1"/>
      <c r="M1420" s="15" t="s">
        <v>2434</v>
      </c>
      <c r="N1420" s="15"/>
      <c r="O1420" s="15"/>
      <c r="P1420" s="15" t="str" cm="1">
        <f t="array" ref="P1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0" s="15" t="str" cm="1">
        <f t="array" ref="Q1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canciones/nuevas/eres_tu_palabra_de_vida.html</v>
      </c>
      <c r="S1420" s="1"/>
      <c r="T1420" s="1"/>
      <c r="U1420" s="1"/>
      <c r="V1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Solans"&gt;&lt;a href="canciones/nuevas/eres_tu_palabra_de_vida.html"&gt;Eres tú, Palabra de vida&lt;/a&gt;&lt;/li&gt;</v>
      </c>
      <c r="W1420" s="15" t="str">
        <f>_xlfn.TEXTBEFORE(_xlfn.TEXTAFTER(CantoralDB[[#This Row],[index.html]],"&gt;"),"&gt;")&amp;"&gt;"</f>
        <v>&lt;a href="canciones/nuevas/eres_tu_palabra_de_vida.html"&gt;</v>
      </c>
    </row>
    <row r="1421" spans="1:23" x14ac:dyDescent="0.3">
      <c r="A1421" s="1">
        <f>ROW(CantoralDB[[#This Row],[Título]])-1</f>
        <v>1420</v>
      </c>
      <c r="B1421" s="1" t="s">
        <v>1347</v>
      </c>
      <c r="C1421" s="1"/>
      <c r="F1421" s="1">
        <v>273</v>
      </c>
      <c r="J1421" s="1"/>
      <c r="M1421" s="15" t="s">
        <v>2434</v>
      </c>
      <c r="N1421" s="15"/>
      <c r="O1421" s="15"/>
      <c r="P1421" s="15" t="str" cm="1">
        <f t="array" ref="P1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1" s="15" t="str" cm="1">
        <f t="array" ref="Q1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canciones/nuevas/ven_espiritu_santo.html</v>
      </c>
      <c r="S1421" s="1"/>
      <c r="T1421" s="1"/>
      <c r="U1421" s="1"/>
      <c r="V1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data-author="Ricardo Solans"&gt;&lt;a href="canciones/nuevas/ven_espiritu_santo.html"&gt;Ven, Espíritu Santo&lt;/a&gt;&lt;/li&gt;</v>
      </c>
      <c r="W1421" s="15" t="str">
        <f>_xlfn.TEXTBEFORE(_xlfn.TEXTAFTER(CantoralDB[[#This Row],[index.html]],"&gt;"),"&gt;")&amp;"&gt;"</f>
        <v>&lt;a href="canciones/nuevas/ven_espiritu_santo.html"&gt;</v>
      </c>
    </row>
    <row r="1422" spans="1:23" x14ac:dyDescent="0.3">
      <c r="A1422" s="1">
        <f>ROW(CantoralDB[[#This Row],[Título]])-1</f>
        <v>1421</v>
      </c>
      <c r="B1422" s="1" t="s">
        <v>2753</v>
      </c>
      <c r="C1422" s="1"/>
      <c r="F1422" s="1">
        <v>369</v>
      </c>
      <c r="J1422" s="1"/>
      <c r="M1422" s="15" t="s">
        <v>2756</v>
      </c>
      <c r="N1422" s="15"/>
      <c r="O1422" s="15"/>
      <c r="P1422" s="15" t="str" cm="1">
        <f t="array" ref="P1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2" s="15" t="str" cm="1">
        <f t="array" ref="Q1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canciones/nuevas/en_la_tierra_habra.html</v>
      </c>
      <c r="S1422" s="1"/>
      <c r="T1422" s="1"/>
      <c r="U1422" s="1"/>
      <c r="V1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data-author="Ron Colie"&gt;&lt;a href="canciones/nuevas/en_la_tierra_habra.html"&gt;En la tierra habrá&lt;/a&gt;&lt;/li&gt;</v>
      </c>
      <c r="W1422" s="15" t="str">
        <f>_xlfn.TEXTBEFORE(_xlfn.TEXTAFTER(CantoralDB[[#This Row],[index.html]],"&gt;"),"&gt;")&amp;"&gt;"</f>
        <v>&lt;a href="canciones/nuevas/en_la_tierra_habra.html"&gt;</v>
      </c>
    </row>
    <row r="1423" spans="1:23" x14ac:dyDescent="0.3">
      <c r="A1423" s="1">
        <f>ROW(CantoralDB[[#This Row],[Título]])-1</f>
        <v>1422</v>
      </c>
      <c r="B1423" s="1" t="s">
        <v>2561</v>
      </c>
      <c r="C1423" s="1"/>
      <c r="F1423" s="1">
        <v>164</v>
      </c>
      <c r="J1423" s="1"/>
      <c r="M1423" s="15" t="s">
        <v>2562</v>
      </c>
      <c r="N1423" s="15"/>
      <c r="O1423" s="15"/>
      <c r="P1423" s="15" t="str" cm="1">
        <f t="array" ref="P1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23" s="15" t="str" cm="1">
        <f t="array" ref="Q1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canciones/nuevas/aleluya_cristo_vivo_esta.html</v>
      </c>
      <c r="S1423" s="1"/>
      <c r="T1423" s="1"/>
      <c r="U1423" s="1"/>
      <c r="V1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data-author="Ron Kenoly"&gt;&lt;a href="canciones/nuevas/aleluya_cristo_vivo_esta.html"&gt;Aleluya, Cristo vivo está&lt;/a&gt;&lt;/li&gt;</v>
      </c>
      <c r="W1423" s="15" t="str">
        <f>_xlfn.TEXTBEFORE(_xlfn.TEXTAFTER(CantoralDB[[#This Row],[index.html]],"&gt;"),"&gt;")&amp;"&gt;"</f>
        <v>&lt;a href="canciones/nuevas/aleluya_cristo_vivo_esta.html"&gt;</v>
      </c>
    </row>
    <row r="1424" spans="1:23" x14ac:dyDescent="0.3">
      <c r="A1424" s="1">
        <f>ROW(CantoralDB[[#This Row],[Título]])-1</f>
        <v>1423</v>
      </c>
      <c r="B1424" s="1" t="s">
        <v>2503</v>
      </c>
      <c r="C1424" s="1"/>
      <c r="F1424" s="1">
        <v>115</v>
      </c>
      <c r="J1424" s="1"/>
      <c r="M1424" s="15" t="s">
        <v>2504</v>
      </c>
      <c r="N1424" s="15"/>
      <c r="O1424" s="15"/>
      <c r="P1424" s="15" t="str" cm="1">
        <f t="array" ref="P1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424" s="15" t="str" cm="1">
        <f t="array" ref="Q1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canciones/rosa_cruz/paz_a_vosotros.html</v>
      </c>
      <c r="S1424" s="1"/>
      <c r="T1424" s="1"/>
      <c r="U1424" s="1"/>
      <c r="V1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href="canciones/rosa_cruz/paz_a_vosotros.html"&gt;Paz a vosotros&lt;/a&gt;&lt;/li&gt;</v>
      </c>
      <c r="W1424" s="15" t="str">
        <f>_xlfn.TEXTBEFORE(_xlfn.TEXTAFTER(CantoralDB[[#This Row],[index.html]],"&gt;"),"&gt;")&amp;"&gt;"</f>
        <v>&lt;a href="canciones/rosa_cruz/paz_a_vosotros.html"&gt;</v>
      </c>
    </row>
    <row r="1425" spans="1:23" x14ac:dyDescent="0.3">
      <c r="A1425" s="1">
        <f>ROW(CantoralDB[[#This Row],[Título]])-1</f>
        <v>1424</v>
      </c>
      <c r="B1425" s="1" t="s">
        <v>2550</v>
      </c>
      <c r="C1425" s="1"/>
      <c r="F1425" s="1">
        <v>154</v>
      </c>
      <c r="J1425" s="1"/>
      <c r="M1425" s="15" t="s">
        <v>2504</v>
      </c>
      <c r="N1425" s="15"/>
      <c r="O1425" s="15"/>
      <c r="P1425" s="15" t="str" cm="1">
        <f t="array" ref="P1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425" s="15" t="str" cm="1">
        <f t="array" ref="Q1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canciones/rosa_cruz/el_tren.html</v>
      </c>
      <c r="S1425" s="1"/>
      <c r="T1425" s="1"/>
      <c r="U1425" s="1"/>
      <c r="V1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href="canciones/rosa_cruz/el_tren.html"&gt;El tren&lt;/a&gt;&lt;/li&gt;</v>
      </c>
      <c r="W1425" s="15" t="str">
        <f>_xlfn.TEXTBEFORE(_xlfn.TEXTAFTER(CantoralDB[[#This Row],[index.html]],"&gt;"),"&gt;")&amp;"&gt;"</f>
        <v>&lt;a href="canciones/rosa_cruz/el_tren.html"&gt;</v>
      </c>
    </row>
    <row r="1426" spans="1:23" x14ac:dyDescent="0.3">
      <c r="A1426" s="1">
        <f>ROW(CantoralDB[[#This Row],[Título]])-1</f>
        <v>1425</v>
      </c>
      <c r="B1426" s="1" t="s">
        <v>2606</v>
      </c>
      <c r="C1426" s="1"/>
      <c r="F1426" s="1">
        <v>212</v>
      </c>
      <c r="J1426" s="1"/>
      <c r="M1426" s="15" t="s">
        <v>2504</v>
      </c>
      <c r="N1426" s="15"/>
      <c r="O1426" s="15"/>
      <c r="P1426" s="15" t="str" cm="1">
        <f t="array" ref="P1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426" s="15" t="str" cm="1">
        <f t="array" ref="Q1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canciones/rosa_cruz/anunciamos_con_poder.html</v>
      </c>
      <c r="S1426" s="1"/>
      <c r="T1426" s="1"/>
      <c r="U1426" s="1"/>
      <c r="V1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href="canciones/rosa_cruz/anunciamos_con_poder.html"&gt;Anunciamos con poder&lt;/a&gt;&lt;/li&gt;</v>
      </c>
      <c r="W1426" s="15" t="str">
        <f>_xlfn.TEXTBEFORE(_xlfn.TEXTAFTER(CantoralDB[[#This Row],[index.html]],"&gt;"),"&gt;")&amp;"&gt;"</f>
        <v>&lt;a href="canciones/rosa_cruz/anunciamos_con_poder.html"&gt;</v>
      </c>
    </row>
    <row r="1427" spans="1:23" x14ac:dyDescent="0.3">
      <c r="A1427" s="1">
        <f>ROW(CantoralDB[[#This Row],[Título]])-1</f>
        <v>1426</v>
      </c>
      <c r="B1427" s="1" t="s">
        <v>2633</v>
      </c>
      <c r="C1427" s="1"/>
      <c r="F1427" s="1">
        <v>246</v>
      </c>
      <c r="J1427" s="1"/>
      <c r="M1427" s="15" t="s">
        <v>2504</v>
      </c>
      <c r="N1427" s="15"/>
      <c r="O1427" s="15"/>
      <c r="P1427" s="15" t="str" cm="1">
        <f t="array" ref="P1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427" s="15" t="str" cm="1">
        <f t="array" ref="Q1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canciones/rosa_cruz/lo_mas_valioso.html</v>
      </c>
      <c r="S1427" s="1"/>
      <c r="T1427" s="1"/>
      <c r="U1427" s="1"/>
      <c r="V1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href="canciones/rosa_cruz/lo_mas_valioso.html"&gt;Lo más valioso&lt;/a&gt;&lt;/li&gt;</v>
      </c>
      <c r="W1427" s="15" t="str">
        <f>_xlfn.TEXTBEFORE(_xlfn.TEXTAFTER(CantoralDB[[#This Row],[index.html]],"&gt;"),"&gt;")&amp;"&gt;"</f>
        <v>&lt;a href="canciones/rosa_cruz/lo_mas_valioso.html"&gt;</v>
      </c>
    </row>
    <row r="1428" spans="1:23" x14ac:dyDescent="0.3">
      <c r="A1428" s="1">
        <f>ROW(CantoralDB[[#This Row],[Título]])-1</f>
        <v>1427</v>
      </c>
      <c r="B1428" s="1" t="s">
        <v>2637</v>
      </c>
      <c r="C1428" s="1"/>
      <c r="F1428" s="1">
        <v>251</v>
      </c>
      <c r="J1428" s="1"/>
      <c r="M1428" s="15" t="s">
        <v>2504</v>
      </c>
      <c r="N1428" s="15"/>
      <c r="O1428" s="15"/>
      <c r="P1428" s="15" t="str" cm="1">
        <f t="array" ref="P1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428" s="15" t="str" cm="1">
        <f t="array" ref="Q1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canciones/rosa_cruz/cuida_de_mi.html</v>
      </c>
      <c r="S1428" s="1"/>
      <c r="T1428" s="1"/>
      <c r="U1428" s="1"/>
      <c r="V1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href="canciones/rosa_cruz/cuida_de_mi.html"&gt;Cuida de mí&lt;/a&gt;&lt;/li&gt;</v>
      </c>
      <c r="W1428" s="15" t="str">
        <f>_xlfn.TEXTBEFORE(_xlfn.TEXTAFTER(CantoralDB[[#This Row],[index.html]],"&gt;"),"&gt;")&amp;"&gt;"</f>
        <v>&lt;a href="canciones/rosa_cruz/cuida_de_mi.html"&gt;</v>
      </c>
    </row>
    <row r="1429" spans="1:23" x14ac:dyDescent="0.3">
      <c r="A1429" s="1">
        <f>ROW(CantoralDB[[#This Row],[Título]])-1</f>
        <v>1428</v>
      </c>
      <c r="B1429" s="1" t="s">
        <v>2651</v>
      </c>
      <c r="C1429" s="1"/>
      <c r="F1429" s="1">
        <v>266</v>
      </c>
      <c r="J1429" s="1"/>
      <c r="M1429" s="15" t="s">
        <v>2504</v>
      </c>
      <c r="N1429" s="15"/>
      <c r="O1429" s="15"/>
      <c r="P1429" s="15" t="str" cm="1">
        <f t="array" ref="P1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429" s="15" t="str" cm="1">
        <f t="array" ref="Q1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canciones/rosa_cruz/en_ti_esta_la_fuente_de_la_vida.html</v>
      </c>
      <c r="S1429" s="1"/>
      <c r="T1429" s="1"/>
      <c r="U1429" s="1"/>
      <c r="V1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href="canciones/rosa_cruz/en_ti_esta_la_fuente_de_la_vida.html"&gt;En ti está la fuente de la vida&lt;/a&gt;&lt;/li&gt;</v>
      </c>
      <c r="W1429" s="15" t="str">
        <f>_xlfn.TEXTBEFORE(_xlfn.TEXTAFTER(CantoralDB[[#This Row],[index.html]],"&gt;"),"&gt;")&amp;"&gt;"</f>
        <v>&lt;a href="canciones/rosa_cruz/en_ti_esta_la_fuente_de_la_vida.html"&gt;</v>
      </c>
    </row>
    <row r="1430" spans="1:23" x14ac:dyDescent="0.3">
      <c r="A1430" s="1">
        <f>ROW(CantoralDB[[#This Row],[Título]])-1</f>
        <v>1429</v>
      </c>
      <c r="B1430" s="1" t="s">
        <v>2672</v>
      </c>
      <c r="C1430" s="1"/>
      <c r="F1430" s="1">
        <v>288</v>
      </c>
      <c r="J1430" s="1"/>
      <c r="M1430" s="15" t="s">
        <v>2504</v>
      </c>
      <c r="N1430" s="15"/>
      <c r="O1430" s="15"/>
      <c r="P1430" s="15" t="str" cm="1">
        <f t="array" ref="P1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430" s="15" t="str" cm="1">
        <f t="array" ref="Q1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canciones/rosa_cruz/yo_abrire_una_puerta.html</v>
      </c>
      <c r="S1430" s="1"/>
      <c r="T1430" s="1"/>
      <c r="U1430" s="1"/>
      <c r="V1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href="canciones/rosa_cruz/yo_abrire_una_puerta.html"&gt;Yo abriré una puerta&lt;/a&gt;&lt;/li&gt;</v>
      </c>
      <c r="W1430" s="15" t="str">
        <f>_xlfn.TEXTBEFORE(_xlfn.TEXTAFTER(CantoralDB[[#This Row],[index.html]],"&gt;"),"&gt;")&amp;"&gt;"</f>
        <v>&lt;a href="canciones/rosa_cruz/yo_abrire_una_puerta.html"&gt;</v>
      </c>
    </row>
    <row r="1431" spans="1:23" x14ac:dyDescent="0.3">
      <c r="A1431" s="1">
        <f>ROW(CantoralDB[[#This Row],[Título]])-1</f>
        <v>1430</v>
      </c>
      <c r="B1431" s="1" t="s">
        <v>2676</v>
      </c>
      <c r="C1431" s="1"/>
      <c r="F1431" s="1">
        <v>292</v>
      </c>
      <c r="J1431" s="1"/>
      <c r="M1431" s="15" t="s">
        <v>2504</v>
      </c>
      <c r="N1431" s="15"/>
      <c r="O1431" s="15"/>
      <c r="P1431" s="15" t="str" cm="1">
        <f t="array" ref="P1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431" s="15" t="str" cm="1">
        <f t="array" ref="Q1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canciones/rosa_cruz/zarza_ardiente.html</v>
      </c>
      <c r="S1431" s="1"/>
      <c r="T1431" s="1"/>
      <c r="U1431" s="1"/>
      <c r="V1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href="canciones/rosa_cruz/zarza_ardiente.html"&gt;Zarza ardiente&lt;/a&gt;&lt;/li&gt;</v>
      </c>
      <c r="W1431" s="15" t="str">
        <f>_xlfn.TEXTBEFORE(_xlfn.TEXTAFTER(CantoralDB[[#This Row],[index.html]],"&gt;"),"&gt;")&amp;"&gt;"</f>
        <v>&lt;a href="canciones/rosa_cruz/zarza_ardiente.html"&gt;</v>
      </c>
    </row>
    <row r="1432" spans="1:23" x14ac:dyDescent="0.3">
      <c r="A1432" s="1">
        <f>ROW(CantoralDB[[#This Row],[Título]])-1</f>
        <v>1431</v>
      </c>
      <c r="B1432" s="1" t="s">
        <v>2686</v>
      </c>
      <c r="C1432" s="1"/>
      <c r="F1432" s="1">
        <v>300</v>
      </c>
      <c r="J1432" s="1"/>
      <c r="M1432" s="15" t="s">
        <v>2504</v>
      </c>
      <c r="N1432" s="15"/>
      <c r="O1432" s="15"/>
      <c r="P1432" s="15" t="str" cm="1">
        <f t="array" ref="P1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432" s="15" t="str" cm="1">
        <f t="array" ref="Q1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canciones/rosa_cruz/al_nombre_de_jesus.html</v>
      </c>
      <c r="S1432" s="1"/>
      <c r="T1432" s="1"/>
      <c r="U1432" s="1"/>
      <c r="V1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href="canciones/rosa_cruz/al_nombre_de_jesus.html"&gt;Al nombre de Jesús&lt;/a&gt;&lt;/li&gt;</v>
      </c>
      <c r="W1432" s="15" t="str">
        <f>_xlfn.TEXTBEFORE(_xlfn.TEXTAFTER(CantoralDB[[#This Row],[index.html]],"&gt;"),"&gt;")&amp;"&gt;"</f>
        <v>&lt;a href="canciones/rosa_cruz/al_nombre_de_jesus.html"&gt;</v>
      </c>
    </row>
    <row r="1433" spans="1:23" x14ac:dyDescent="0.3">
      <c r="A1433" s="1">
        <f>ROW(CantoralDB[[#This Row],[Título]])-1</f>
        <v>1432</v>
      </c>
      <c r="B1433" s="1" t="s">
        <v>2721</v>
      </c>
      <c r="C1433" s="1"/>
      <c r="F1433" s="1">
        <v>341</v>
      </c>
      <c r="J1433" s="1"/>
      <c r="M1433" s="15" t="s">
        <v>2504</v>
      </c>
      <c r="N1433" s="15"/>
      <c r="O1433" s="15"/>
      <c r="P1433" s="15" t="str" cm="1">
        <f t="array" ref="P1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433" s="15" t="str" cm="1">
        <f t="array" ref="Q1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canciones/rosa_cruz/saname_ahora.html</v>
      </c>
      <c r="S1433" s="1"/>
      <c r="T1433" s="1"/>
      <c r="U1433" s="1"/>
      <c r="V1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href="canciones/rosa_cruz/saname_ahora.html"&gt;Sáname ahora&lt;/a&gt;&lt;/li&gt;</v>
      </c>
      <c r="W1433" s="15" t="str">
        <f>_xlfn.TEXTBEFORE(_xlfn.TEXTAFTER(CantoralDB[[#This Row],[index.html]],"&gt;"),"&gt;")&amp;"&gt;"</f>
        <v>&lt;a href="canciones/rosa_cruz/saname_ahora.html"&gt;</v>
      </c>
    </row>
    <row r="1434" spans="1:23" x14ac:dyDescent="0.3">
      <c r="A1434" s="1">
        <f>ROW(CantoralDB[[#This Row],[Título]])-1</f>
        <v>1433</v>
      </c>
      <c r="B1434" s="1" t="s">
        <v>2762</v>
      </c>
      <c r="C1434" s="1"/>
      <c r="F1434" s="1">
        <v>376</v>
      </c>
      <c r="J1434" s="1"/>
      <c r="M1434" s="15" t="s">
        <v>2504</v>
      </c>
      <c r="N1434" s="15"/>
      <c r="O1434" s="15"/>
      <c r="P1434" s="15" t="str" cm="1">
        <f t="array" ref="P1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434" s="15" t="str" cm="1">
        <f t="array" ref="Q1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canciones/rosa_cruz/no_tengo_señor_alabanza.html</v>
      </c>
      <c r="S1434" s="1"/>
      <c r="T1434" s="1"/>
      <c r="U1434" s="1"/>
      <c r="V1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href="canciones/rosa_cruz/no_tengo_señor_alabanza.html"&gt;No tengo, Señor, alabanza&lt;/a&gt;&lt;/li&gt;</v>
      </c>
      <c r="W1434" s="15" t="str">
        <f>_xlfn.TEXTBEFORE(_xlfn.TEXTAFTER(CantoralDB[[#This Row],[index.html]],"&gt;"),"&gt;")&amp;"&gt;"</f>
        <v>&lt;a href="canciones/rosa_cruz/no_tengo_señor_alabanza.html"&gt;</v>
      </c>
    </row>
    <row r="1435" spans="1:23" x14ac:dyDescent="0.3">
      <c r="A1435" s="1">
        <f>ROW(CantoralDB[[#This Row],[Título]])-1</f>
        <v>1434</v>
      </c>
      <c r="B1435" s="1" t="s">
        <v>2804</v>
      </c>
      <c r="C1435" s="1"/>
      <c r="F1435" s="1">
        <v>409</v>
      </c>
      <c r="J1435" s="1"/>
      <c r="M1435" s="15" t="s">
        <v>2504</v>
      </c>
      <c r="N1435" s="15"/>
      <c r="O1435" s="15"/>
      <c r="P1435" s="15" t="str" cm="1">
        <f t="array" ref="P1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Q1435" s="15" t="str" cm="1">
        <f t="array" ref="Q1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canciones/rosa_cruz/como_un_niño.html</v>
      </c>
      <c r="S1435" s="1"/>
      <c r="T1435" s="1"/>
      <c r="U1435" s="1"/>
      <c r="V1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data-author="Rosa Cruz"&gt;&lt;a href="canciones/rosa_cruz/como_un_niño.html"&gt;Como un niño&lt;/a&gt;&lt;/li&gt;</v>
      </c>
      <c r="W1435" s="15" t="str">
        <f>_xlfn.TEXTBEFORE(_xlfn.TEXTAFTER(CantoralDB[[#This Row],[index.html]],"&gt;"),"&gt;")&amp;"&gt;"</f>
        <v>&lt;a href="canciones/rosa_cruz/como_un_niño.html"&gt;</v>
      </c>
    </row>
    <row r="1436" spans="1:23" x14ac:dyDescent="0.3">
      <c r="A1436" s="1">
        <f>ROW(CantoralDB[[#This Row],[Título]])-1</f>
        <v>1435</v>
      </c>
      <c r="B1436" s="1" t="s">
        <v>1866</v>
      </c>
      <c r="C1436" s="1"/>
      <c r="H1436" s="1" t="s">
        <v>531</v>
      </c>
      <c r="J1436" s="1" t="s">
        <v>608</v>
      </c>
      <c r="M1436" s="15" t="s">
        <v>1758</v>
      </c>
      <c r="N1436" s="15" t="s">
        <v>1902</v>
      </c>
      <c r="O1436" s="15">
        <v>1</v>
      </c>
      <c r="P1436" s="15" t="str" cm="1">
        <f t="array" ref="P1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36" s="15" t="str" cm="1">
        <f t="array" ref="Q1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canciones/ruah/adentrate.html</v>
      </c>
      <c r="S1436" s="1"/>
      <c r="T1436" s="1"/>
      <c r="U1436" s="1"/>
      <c r="V1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href="canciones/ruah/adentrate.html"&gt;Adéntrate&lt;/a&gt;&lt;/li&gt;</v>
      </c>
      <c r="W1436" s="15" t="str">
        <f>_xlfn.TEXTBEFORE(_xlfn.TEXTAFTER(CantoralDB[[#This Row],[index.html]],"&gt;"),"&gt;")&amp;"&gt;"</f>
        <v>&lt;a href="canciones/ruah/adentrate.html"&gt;</v>
      </c>
    </row>
    <row r="1437" spans="1:23" x14ac:dyDescent="0.3">
      <c r="A1437" s="1">
        <f>ROW(CantoralDB[[#This Row],[Título]])-1</f>
        <v>1436</v>
      </c>
      <c r="B1437" s="1" t="s">
        <v>1867</v>
      </c>
      <c r="C1437" s="1"/>
      <c r="H1437" s="1" t="s">
        <v>473</v>
      </c>
      <c r="J1437" s="1" t="s">
        <v>608</v>
      </c>
      <c r="M1437" s="15" t="s">
        <v>1758</v>
      </c>
      <c r="N1437" s="15" t="s">
        <v>1902</v>
      </c>
      <c r="O1437" s="15">
        <v>2</v>
      </c>
      <c r="P1437" s="15" t="str" cm="1">
        <f t="array" ref="P1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37" s="15" t="str" cm="1">
        <f t="array" ref="Q1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canciones/ruah/pedid_y_se_os_dara.html</v>
      </c>
      <c r="S1437" s="1"/>
      <c r="T1437" s="1"/>
      <c r="U1437" s="1"/>
      <c r="V1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href="canciones/ruah/pedid_y_se_os_dara.html"&gt;Pedid y se os dará&lt;/a&gt;&lt;/li&gt;</v>
      </c>
      <c r="W1437" s="15" t="str">
        <f>_xlfn.TEXTBEFORE(_xlfn.TEXTAFTER(CantoralDB[[#This Row],[index.html]],"&gt;"),"&gt;")&amp;"&gt;"</f>
        <v>&lt;a href="canciones/ruah/pedid_y_se_os_dara.html"&gt;</v>
      </c>
    </row>
    <row r="1438" spans="1:23" x14ac:dyDescent="0.3">
      <c r="A1438" s="1">
        <f>ROW(CantoralDB[[#This Row],[Título]])-1</f>
        <v>1437</v>
      </c>
      <c r="B1438" s="1" t="s">
        <v>1868</v>
      </c>
      <c r="C1438" s="1"/>
      <c r="H1438" s="1" t="s">
        <v>531</v>
      </c>
      <c r="J1438" s="1" t="s">
        <v>608</v>
      </c>
      <c r="M1438" s="15" t="s">
        <v>1758</v>
      </c>
      <c r="N1438" s="15" t="s">
        <v>1902</v>
      </c>
      <c r="O1438" s="15">
        <v>3</v>
      </c>
      <c r="P1438" s="15" t="str" cm="1">
        <f t="array" ref="P1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38" s="15" t="str" cm="1">
        <f t="array" ref="Q1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canciones/ruah/cada_mañana.html</v>
      </c>
      <c r="S1438" s="1"/>
      <c r="T1438" s="1"/>
      <c r="U1438" s="1"/>
      <c r="V1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href="canciones/ruah/cada_mañana.html"&gt;Cada mañana&lt;/a&gt;&lt;/li&gt;</v>
      </c>
      <c r="W1438" s="15" t="str">
        <f>_xlfn.TEXTBEFORE(_xlfn.TEXTAFTER(CantoralDB[[#This Row],[index.html]],"&gt;"),"&gt;")&amp;"&gt;"</f>
        <v>&lt;a href="canciones/ruah/cada_mañana.html"&gt;</v>
      </c>
    </row>
    <row r="1439" spans="1:23" x14ac:dyDescent="0.3">
      <c r="A1439" s="1">
        <f>ROW(CantoralDB[[#This Row],[Título]])-1</f>
        <v>1438</v>
      </c>
      <c r="B1439" s="1" t="s">
        <v>1869</v>
      </c>
      <c r="C1439" s="1"/>
      <c r="H1439" s="1" t="s">
        <v>1027</v>
      </c>
      <c r="J1439" s="1" t="s">
        <v>608</v>
      </c>
      <c r="M1439" s="15" t="s">
        <v>1758</v>
      </c>
      <c r="N1439" s="15" t="s">
        <v>1902</v>
      </c>
      <c r="O1439" s="15">
        <v>4</v>
      </c>
      <c r="P1439" s="15" t="str" cm="1">
        <f t="array" ref="P1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39" s="15" t="str" cm="1">
        <f t="array" ref="Q1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canciones/ruah/fija_en_ti.html</v>
      </c>
      <c r="S1439" s="1"/>
      <c r="T1439" s="1"/>
      <c r="U1439" s="1"/>
      <c r="V1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href="canciones/ruah/fija_en_ti.html"&gt;Fija en ti&lt;/a&gt;&lt;/li&gt;</v>
      </c>
      <c r="W1439" s="15" t="str">
        <f>_xlfn.TEXTBEFORE(_xlfn.TEXTAFTER(CantoralDB[[#This Row],[index.html]],"&gt;"),"&gt;")&amp;"&gt;"</f>
        <v>&lt;a href="canciones/ruah/fija_en_ti.html"&gt;</v>
      </c>
    </row>
    <row r="1440" spans="1:23" x14ac:dyDescent="0.3">
      <c r="A1440" s="1">
        <f>ROW(CantoralDB[[#This Row],[Título]])-1</f>
        <v>1439</v>
      </c>
      <c r="B1440" s="1" t="s">
        <v>1870</v>
      </c>
      <c r="C1440" s="1"/>
      <c r="H1440" s="1" t="s">
        <v>531</v>
      </c>
      <c r="J1440" s="1" t="s">
        <v>608</v>
      </c>
      <c r="M1440" s="15" t="s">
        <v>1758</v>
      </c>
      <c r="N1440" s="15" t="s">
        <v>1902</v>
      </c>
      <c r="O1440" s="15">
        <v>5</v>
      </c>
      <c r="P1440" s="15" t="str" cm="1">
        <f t="array" ref="P1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40" s="15" t="str" cm="1">
        <f t="array" ref="Q1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canciones/ruah/tu_y_no_yo.html</v>
      </c>
      <c r="S1440" s="1"/>
      <c r="T1440" s="1"/>
      <c r="U1440" s="1"/>
      <c r="V1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href="canciones/ruah/tu_y_no_yo.html"&gt;Tú y no yo&lt;/a&gt;&lt;/li&gt;</v>
      </c>
      <c r="W1440" s="15" t="str">
        <f>_xlfn.TEXTBEFORE(_xlfn.TEXTAFTER(CantoralDB[[#This Row],[index.html]],"&gt;"),"&gt;")&amp;"&gt;"</f>
        <v>&lt;a href="canciones/ruah/tu_y_no_yo.html"&gt;</v>
      </c>
    </row>
    <row r="1441" spans="1:23" x14ac:dyDescent="0.3">
      <c r="A1441" s="1">
        <f>ROW(CantoralDB[[#This Row],[Título]])-1</f>
        <v>1440</v>
      </c>
      <c r="B1441" s="1" t="s">
        <v>1539</v>
      </c>
      <c r="C1441" s="1"/>
      <c r="H1441" s="1" t="s">
        <v>1027</v>
      </c>
      <c r="J1441" s="1" t="s">
        <v>608</v>
      </c>
      <c r="M1441" s="15" t="s">
        <v>1758</v>
      </c>
      <c r="N1441" s="15" t="s">
        <v>1902</v>
      </c>
      <c r="O1441" s="15">
        <v>6</v>
      </c>
      <c r="P1441" s="15" t="str" cm="1">
        <f t="array" ref="P1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41" s="15" t="str" cm="1">
        <f t="array" ref="Q1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canciones/ruah/tu_me_sondeas.html</v>
      </c>
      <c r="S1441" s="1"/>
      <c r="T1441" s="1"/>
      <c r="U1441" s="1"/>
      <c r="V1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href="canciones/ruah/tu_me_sondeas.html"&gt;Tú me sondeas&lt;/a&gt;&lt;/li&gt;</v>
      </c>
      <c r="W1441" s="15" t="str">
        <f>_xlfn.TEXTBEFORE(_xlfn.TEXTAFTER(CantoralDB[[#This Row],[index.html]],"&gt;"),"&gt;")&amp;"&gt;"</f>
        <v>&lt;a href="canciones/ruah/tu_me_sondeas.html"&gt;</v>
      </c>
    </row>
    <row r="1442" spans="1:23" x14ac:dyDescent="0.3">
      <c r="A1442" s="1">
        <f>ROW(CantoralDB[[#This Row],[Título]])-1</f>
        <v>1441</v>
      </c>
      <c r="B1442" s="1" t="s">
        <v>1871</v>
      </c>
      <c r="C1442" s="1"/>
      <c r="H1442" s="1" t="s">
        <v>1030</v>
      </c>
      <c r="J1442" s="1" t="s">
        <v>608</v>
      </c>
      <c r="M1442" s="15" t="s">
        <v>1758</v>
      </c>
      <c r="N1442" s="15" t="s">
        <v>1902</v>
      </c>
      <c r="O1442" s="15">
        <v>7</v>
      </c>
      <c r="P1442" s="15" t="str" cm="1">
        <f t="array" ref="P1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42" s="15" t="str" cm="1">
        <f t="array" ref="Q1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canciones/ruah/ten_compasion.html</v>
      </c>
      <c r="S1442" s="1"/>
      <c r="T1442" s="1"/>
      <c r="U1442" s="1"/>
      <c r="V1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href="canciones/ruah/ten_compasion.html"&gt;Ten compasión&lt;/a&gt;&lt;/li&gt;</v>
      </c>
      <c r="W1442" s="15" t="str">
        <f>_xlfn.TEXTBEFORE(_xlfn.TEXTAFTER(CantoralDB[[#This Row],[index.html]],"&gt;"),"&gt;")&amp;"&gt;"</f>
        <v>&lt;a href="canciones/ruah/ten_compasion.html"&gt;</v>
      </c>
    </row>
    <row r="1443" spans="1:23" x14ac:dyDescent="0.3">
      <c r="A1443" s="1">
        <f>ROW(CantoralDB[[#This Row],[Título]])-1</f>
        <v>1442</v>
      </c>
      <c r="B1443" s="1" t="s">
        <v>1872</v>
      </c>
      <c r="C1443" s="1"/>
      <c r="H1443" s="1" t="s">
        <v>531</v>
      </c>
      <c r="J1443" s="1" t="s">
        <v>608</v>
      </c>
      <c r="M1443" s="15" t="s">
        <v>1758</v>
      </c>
      <c r="N1443" s="15" t="s">
        <v>1902</v>
      </c>
      <c r="O1443" s="15">
        <v>8</v>
      </c>
      <c r="P1443" s="15" t="str" cm="1">
        <f t="array" ref="P1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43" s="15" t="str" cm="1">
        <f t="array" ref="Q1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canciones/ruah/a_fuego.html</v>
      </c>
      <c r="S1443" s="1"/>
      <c r="T1443" s="1"/>
      <c r="U1443" s="1"/>
      <c r="V1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href="canciones/ruah/a_fuego.html"&gt;A fuego&lt;/a&gt;&lt;/li&gt;</v>
      </c>
      <c r="W1443" s="15" t="str">
        <f>_xlfn.TEXTBEFORE(_xlfn.TEXTAFTER(CantoralDB[[#This Row],[index.html]],"&gt;"),"&gt;")&amp;"&gt;"</f>
        <v>&lt;a href="canciones/ruah/a_fuego.html"&gt;</v>
      </c>
    </row>
    <row r="1444" spans="1:23" x14ac:dyDescent="0.3">
      <c r="A1444" s="1">
        <f>ROW(CantoralDB[[#This Row],[Título]])-1</f>
        <v>1443</v>
      </c>
      <c r="B1444" s="1" t="s">
        <v>1873</v>
      </c>
      <c r="C1444" s="1"/>
      <c r="H1444" s="1" t="s">
        <v>531</v>
      </c>
      <c r="J1444" s="1" t="s">
        <v>608</v>
      </c>
      <c r="M1444" s="15" t="s">
        <v>1758</v>
      </c>
      <c r="N1444" s="15" t="s">
        <v>1902</v>
      </c>
      <c r="O1444" s="15">
        <v>9</v>
      </c>
      <c r="P1444" s="15" t="str" cm="1">
        <f t="array" ref="P1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44" s="15" t="str" cm="1">
        <f t="array" ref="Q1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canciones/ruah/aprendiendo.html</v>
      </c>
      <c r="S1444" s="1"/>
      <c r="T1444" s="1"/>
      <c r="U1444" s="1"/>
      <c r="V1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href="canciones/ruah/aprendiendo.html"&gt;Aprendiendo&lt;/a&gt;&lt;/li&gt;</v>
      </c>
      <c r="W1444" s="15" t="str">
        <f>_xlfn.TEXTBEFORE(_xlfn.TEXTAFTER(CantoralDB[[#This Row],[index.html]],"&gt;"),"&gt;")&amp;"&gt;"</f>
        <v>&lt;a href="canciones/ruah/aprendiendo.html"&gt;</v>
      </c>
    </row>
    <row r="1445" spans="1:23" x14ac:dyDescent="0.3">
      <c r="A1445" s="1">
        <f>ROW(CantoralDB[[#This Row],[Título]])-1</f>
        <v>1444</v>
      </c>
      <c r="B1445" s="1" t="s">
        <v>1874</v>
      </c>
      <c r="C1445" s="1"/>
      <c r="H1445" s="1" t="s">
        <v>531</v>
      </c>
      <c r="J1445" s="1" t="s">
        <v>608</v>
      </c>
      <c r="M1445" s="15" t="s">
        <v>1758</v>
      </c>
      <c r="N1445" s="15" t="s">
        <v>1902</v>
      </c>
      <c r="O1445" s="15">
        <v>10</v>
      </c>
      <c r="P1445" s="15" t="str" cm="1">
        <f t="array" ref="P1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45" s="15" t="str" cm="1">
        <f t="array" ref="Q1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canciones/ruah/alianza.html</v>
      </c>
      <c r="S1445" s="1"/>
      <c r="T1445" s="1"/>
      <c r="U1445" s="1"/>
      <c r="V1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href="canciones/ruah/alianza.html"&gt;Alianza&lt;/a&gt;&lt;/li&gt;</v>
      </c>
      <c r="W1445" s="15" t="str">
        <f>_xlfn.TEXTBEFORE(_xlfn.TEXTAFTER(CantoralDB[[#This Row],[index.html]],"&gt;"),"&gt;")&amp;"&gt;"</f>
        <v>&lt;a href="canciones/ruah/alianza.html"&gt;</v>
      </c>
    </row>
    <row r="1446" spans="1:23" x14ac:dyDescent="0.3">
      <c r="A1446" s="1">
        <f>ROW(CantoralDB[[#This Row],[Título]])-1</f>
        <v>1445</v>
      </c>
      <c r="B1446" s="1" t="s">
        <v>1875</v>
      </c>
      <c r="C1446" s="1"/>
      <c r="H1446" s="1" t="s">
        <v>1027</v>
      </c>
      <c r="J1446" s="1" t="s">
        <v>608</v>
      </c>
      <c r="M1446" s="15" t="s">
        <v>1758</v>
      </c>
      <c r="N1446" s="15" t="s">
        <v>1902</v>
      </c>
      <c r="O1446" s="15">
        <v>11</v>
      </c>
      <c r="P1446" s="15" t="str" cm="1">
        <f t="array" ref="P1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46" s="15" t="str" cm="1">
        <f t="array" ref="Q1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canciones/ruah/gracias.html</v>
      </c>
      <c r="S1446" s="1"/>
      <c r="T1446" s="1"/>
      <c r="U1446" s="1"/>
      <c r="V1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href="canciones/ruah/gracias.html"&gt;Gracias&lt;/a&gt;&lt;/li&gt;</v>
      </c>
      <c r="W1446" s="15" t="str">
        <f>_xlfn.TEXTBEFORE(_xlfn.TEXTAFTER(CantoralDB[[#This Row],[index.html]],"&gt;"),"&gt;")&amp;"&gt;"</f>
        <v>&lt;a href="canciones/ruah/gracias.html"&gt;</v>
      </c>
    </row>
    <row r="1447" spans="1:23" x14ac:dyDescent="0.3">
      <c r="A1447" s="1">
        <f>ROW(CantoralDB[[#This Row],[Título]])-1</f>
        <v>1446</v>
      </c>
      <c r="B1447" s="1" t="s">
        <v>1918</v>
      </c>
      <c r="C1447" s="1"/>
      <c r="H1447" s="1" t="s">
        <v>473</v>
      </c>
      <c r="J1447" s="1" t="s">
        <v>608</v>
      </c>
      <c r="M1447" s="15" t="s">
        <v>1758</v>
      </c>
      <c r="N1447" s="15" t="s">
        <v>1902</v>
      </c>
      <c r="O1447" s="15">
        <v>12</v>
      </c>
      <c r="P1447" s="15" t="str" cm="1">
        <f t="array" ref="P1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47" s="15" t="str" cm="1">
        <f t="array" ref="Q1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canciones/ruah/dios_de_la_historia.html</v>
      </c>
      <c r="S1447" s="1"/>
      <c r="T1447" s="1"/>
      <c r="U1447" s="1"/>
      <c r="V1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href="canciones/ruah/dios_de_la_historia.html"&gt;Dios de la Historia&lt;/a&gt;&lt;/li&gt;</v>
      </c>
      <c r="W1447" s="15" t="str">
        <f>_xlfn.TEXTBEFORE(_xlfn.TEXTAFTER(CantoralDB[[#This Row],[index.html]],"&gt;"),"&gt;")&amp;"&gt;"</f>
        <v>&lt;a href="canciones/ruah/dios_de_la_historia.html"&gt;</v>
      </c>
    </row>
    <row r="1448" spans="1:23" x14ac:dyDescent="0.3">
      <c r="A1448" s="1">
        <f>ROW(CantoralDB[[#This Row],[Título]])-1</f>
        <v>1447</v>
      </c>
      <c r="B1448" s="1" t="s">
        <v>1773</v>
      </c>
      <c r="C1448" s="1"/>
      <c r="H1448" s="1" t="s">
        <v>531</v>
      </c>
      <c r="J1448" s="1" t="s">
        <v>608</v>
      </c>
      <c r="M1448" s="15" t="s">
        <v>1758</v>
      </c>
      <c r="N1448" s="15" t="s">
        <v>1902</v>
      </c>
      <c r="O1448" s="15">
        <v>13</v>
      </c>
      <c r="P1448" s="15" t="str" cm="1">
        <f t="array" ref="P1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48" s="15" t="str" cm="1">
        <f t="array" ref="Q1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canciones/ruah/para_estar_contigo.html</v>
      </c>
      <c r="S1448" s="1"/>
      <c r="T1448" s="1"/>
      <c r="U1448" s="1"/>
      <c r="V1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href="canciones/ruah/para_estar_contigo.html"&gt;Para estar contigo&lt;/a&gt;&lt;/li&gt;</v>
      </c>
      <c r="W1448" s="15" t="str">
        <f>_xlfn.TEXTBEFORE(_xlfn.TEXTAFTER(CantoralDB[[#This Row],[index.html]],"&gt;"),"&gt;")&amp;"&gt;"</f>
        <v>&lt;a href="canciones/ruah/para_estar_contigo.html"&gt;</v>
      </c>
    </row>
    <row r="1449" spans="1:23" x14ac:dyDescent="0.3">
      <c r="A1449" s="1">
        <f>ROW(CantoralDB[[#This Row],[Título]])-1</f>
        <v>1448</v>
      </c>
      <c r="B1449" s="1" t="s">
        <v>2022</v>
      </c>
      <c r="C1449" s="1"/>
      <c r="H1449" s="1" t="s">
        <v>531</v>
      </c>
      <c r="J1449" s="1" t="s">
        <v>608</v>
      </c>
      <c r="M1449" s="15" t="s">
        <v>1758</v>
      </c>
      <c r="N1449" s="15" t="s">
        <v>1902</v>
      </c>
      <c r="O1449" s="15">
        <v>14</v>
      </c>
      <c r="P1449" s="15" t="str" cm="1">
        <f t="array" ref="P1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49" s="15" t="str" cm="1">
        <f t="array" ref="Q1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canciones/ruah/no_lo_notais.html</v>
      </c>
      <c r="S1449" s="1"/>
      <c r="T1449" s="1"/>
      <c r="U1449" s="1"/>
      <c r="V1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href="canciones/ruah/no_lo_notais.html"&gt;No lo notáis&lt;/a&gt;&lt;/li&gt;</v>
      </c>
      <c r="W1449" s="15" t="str">
        <f>_xlfn.TEXTBEFORE(_xlfn.TEXTAFTER(CantoralDB[[#This Row],[index.html]],"&gt;"),"&gt;")&amp;"&gt;"</f>
        <v>&lt;a href="canciones/ruah/no_lo_notais.html"&gt;</v>
      </c>
    </row>
    <row r="1450" spans="1:23" x14ac:dyDescent="0.3">
      <c r="A1450" s="1">
        <f>ROW(CantoralDB[[#This Row],[Título]])-1</f>
        <v>1449</v>
      </c>
      <c r="B1450" s="1" t="s">
        <v>1876</v>
      </c>
      <c r="C1450" s="1"/>
      <c r="H1450" s="1" t="s">
        <v>531</v>
      </c>
      <c r="J1450" s="1" t="s">
        <v>608</v>
      </c>
      <c r="M1450" s="15" t="s">
        <v>1758</v>
      </c>
      <c r="N1450" s="15" t="s">
        <v>1902</v>
      </c>
      <c r="O1450" s="15">
        <v>15</v>
      </c>
      <c r="P1450" s="15" t="str" cm="1">
        <f t="array" ref="P1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50" s="15" t="str" cm="1">
        <f t="array" ref="Q1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canciones/ruah/mirame.html</v>
      </c>
      <c r="S1450" s="1"/>
      <c r="T1450" s="1"/>
      <c r="U1450" s="1"/>
      <c r="V1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href="canciones/ruah/mirame.html"&gt;Mírame&lt;/a&gt;&lt;/li&gt;</v>
      </c>
      <c r="W1450" s="15" t="str">
        <f>_xlfn.TEXTBEFORE(_xlfn.TEXTAFTER(CantoralDB[[#This Row],[index.html]],"&gt;"),"&gt;")&amp;"&gt;"</f>
        <v>&lt;a href="canciones/ruah/mirame.html"&gt;</v>
      </c>
    </row>
    <row r="1451" spans="1:23" x14ac:dyDescent="0.3">
      <c r="A1451" s="1">
        <f>ROW(CantoralDB[[#This Row],[Título]])-1</f>
        <v>1450</v>
      </c>
      <c r="B1451" s="1" t="s">
        <v>1856</v>
      </c>
      <c r="C1451" s="1"/>
      <c r="H1451" s="1" t="s">
        <v>531</v>
      </c>
      <c r="J1451" s="1" t="s">
        <v>608</v>
      </c>
      <c r="M1451" s="15" t="s">
        <v>1758</v>
      </c>
      <c r="N1451" s="15" t="s">
        <v>1901</v>
      </c>
      <c r="O1451" s="15">
        <v>1</v>
      </c>
      <c r="P1451" s="15" t="str" cm="1">
        <f t="array" ref="P1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51" s="15" t="str" cm="1">
        <f t="array" ref="Q1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canciones/ruah/suelta_el_timon.html</v>
      </c>
      <c r="S1451" s="1"/>
      <c r="T1451" s="1"/>
      <c r="U1451" s="1"/>
      <c r="V1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href="canciones/ruah/suelta_el_timon.html"&gt;Suelta el timón&lt;/a&gt;&lt;/li&gt;</v>
      </c>
      <c r="W1451" s="15" t="str">
        <f>_xlfn.TEXTBEFORE(_xlfn.TEXTAFTER(CantoralDB[[#This Row],[index.html]],"&gt;"),"&gt;")&amp;"&gt;"</f>
        <v>&lt;a href="canciones/ruah/suelta_el_timon.html"&gt;</v>
      </c>
    </row>
    <row r="1452" spans="1:23" x14ac:dyDescent="0.3">
      <c r="A1452" s="1">
        <f>ROW(CantoralDB[[#This Row],[Título]])-1</f>
        <v>1451</v>
      </c>
      <c r="B1452" s="1" t="s">
        <v>1857</v>
      </c>
      <c r="C1452" s="1"/>
      <c r="H1452" s="1" t="s">
        <v>1030</v>
      </c>
      <c r="I1452" s="1" t="s">
        <v>2962</v>
      </c>
      <c r="J1452" s="1" t="s">
        <v>608</v>
      </c>
      <c r="M1452" s="15" t="s">
        <v>1758</v>
      </c>
      <c r="N1452" s="15" t="s">
        <v>1901</v>
      </c>
      <c r="O1452" s="15">
        <v>2</v>
      </c>
      <c r="P1452" s="15" t="str" cm="1">
        <f t="array" ref="P1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52" s="15" t="str" cm="1">
        <f t="array" ref="Q1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canciones/ruah/quiero_confiar.html</v>
      </c>
      <c r="S1452" s="1"/>
      <c r="T1452" s="1"/>
      <c r="U1452" s="1"/>
      <c r="V1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href="canciones/ruah/quiero_confiar.html"&gt;Quiero confiar&lt;/a&gt;&lt;/li&gt;</v>
      </c>
      <c r="W1452" s="15" t="str">
        <f>_xlfn.TEXTBEFORE(_xlfn.TEXTAFTER(CantoralDB[[#This Row],[index.html]],"&gt;"),"&gt;")&amp;"&gt;"</f>
        <v>&lt;a href="canciones/ruah/quiero_confiar.html"&gt;</v>
      </c>
    </row>
    <row r="1453" spans="1:23" x14ac:dyDescent="0.3">
      <c r="A1453" s="1">
        <f>ROW(CantoralDB[[#This Row],[Título]])-1</f>
        <v>1452</v>
      </c>
      <c r="B1453" s="1" t="s">
        <v>1858</v>
      </c>
      <c r="C1453" s="1"/>
      <c r="H1453" s="1" t="s">
        <v>1030</v>
      </c>
      <c r="J1453" s="1" t="s">
        <v>608</v>
      </c>
      <c r="M1453" s="15" t="s">
        <v>1758</v>
      </c>
      <c r="N1453" s="15" t="s">
        <v>1901</v>
      </c>
      <c r="O1453" s="15">
        <v>3</v>
      </c>
      <c r="P1453" s="15" t="str" cm="1">
        <f t="array" ref="P1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53" s="15" t="str" cm="1">
        <f t="array" ref="Q1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canciones/ruah/soy_de_ti.html</v>
      </c>
      <c r="S1453" s="1"/>
      <c r="T1453" s="1"/>
      <c r="U1453" s="1"/>
      <c r="V1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href="canciones/ruah/soy_de_ti.html"&gt;Soy de ti&lt;/a&gt;&lt;/li&gt;</v>
      </c>
      <c r="W1453" s="15" t="str">
        <f>_xlfn.TEXTBEFORE(_xlfn.TEXTAFTER(CantoralDB[[#This Row],[index.html]],"&gt;"),"&gt;")&amp;"&gt;"</f>
        <v>&lt;a href="canciones/ruah/soy_de_ti.html"&gt;</v>
      </c>
    </row>
    <row r="1454" spans="1:23" x14ac:dyDescent="0.3">
      <c r="A1454" s="1">
        <f>ROW(CantoralDB[[#This Row],[Título]])-1</f>
        <v>1453</v>
      </c>
      <c r="B1454" s="1" t="s">
        <v>1859</v>
      </c>
      <c r="C1454" s="1"/>
      <c r="H1454" s="1" t="s">
        <v>531</v>
      </c>
      <c r="I1454" s="1" t="s">
        <v>2962</v>
      </c>
      <c r="J1454" s="1"/>
      <c r="M1454" s="15" t="s">
        <v>1758</v>
      </c>
      <c r="N1454" s="15" t="s">
        <v>1901</v>
      </c>
      <c r="O1454" s="15">
        <v>4</v>
      </c>
      <c r="P1454" s="15" t="str" cm="1">
        <f t="array" ref="P1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54" s="15" t="str" cm="1">
        <f t="array" ref="Q1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canciones/ruah/el_boleto.html</v>
      </c>
      <c r="S1454" s="1"/>
      <c r="T1454" s="1"/>
      <c r="U1454" s="1"/>
      <c r="V1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href="canciones/ruah/el_boleto.html"&gt;El boleto&lt;/a&gt;&lt;/li&gt;</v>
      </c>
      <c r="W1454" s="15" t="str">
        <f>_xlfn.TEXTBEFORE(_xlfn.TEXTAFTER(CantoralDB[[#This Row],[index.html]],"&gt;"),"&gt;")&amp;"&gt;"</f>
        <v>&lt;a href="canciones/ruah/el_boleto.html"&gt;</v>
      </c>
    </row>
    <row r="1455" spans="1:23" x14ac:dyDescent="0.3">
      <c r="A1455" s="1">
        <f>ROW(CantoralDB[[#This Row],[Título]])-1</f>
        <v>1454</v>
      </c>
      <c r="B1455" s="1" t="s">
        <v>490</v>
      </c>
      <c r="C1455" s="1"/>
      <c r="H1455" s="1" t="s">
        <v>1030</v>
      </c>
      <c r="J1455" s="1"/>
      <c r="M1455" s="15" t="s">
        <v>1758</v>
      </c>
      <c r="N1455" s="15" t="s">
        <v>1901</v>
      </c>
      <c r="O1455" s="15">
        <v>5</v>
      </c>
      <c r="P1455" s="15" t="str" cm="1">
        <f t="array" ref="P1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55" s="15" t="str" cm="1">
        <f t="array" ref="Q1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canciones/ruah/maranatha.html</v>
      </c>
      <c r="S1455" s="1"/>
      <c r="T1455" s="1"/>
      <c r="U1455" s="1"/>
      <c r="V1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href="canciones/ruah/maranatha.html"&gt;Maranatha&lt;/a&gt;&lt;/li&gt;</v>
      </c>
      <c r="W1455" s="15" t="str">
        <f>_xlfn.TEXTBEFORE(_xlfn.TEXTAFTER(CantoralDB[[#This Row],[index.html]],"&gt;"),"&gt;")&amp;"&gt;"</f>
        <v>&lt;a href="canciones/ruah/maranatha.html"&gt;</v>
      </c>
    </row>
    <row r="1456" spans="1:23" x14ac:dyDescent="0.3">
      <c r="A1456" s="1">
        <f>ROW(CantoralDB[[#This Row],[Título]])-1</f>
        <v>1455</v>
      </c>
      <c r="B1456" s="1" t="s">
        <v>1860</v>
      </c>
      <c r="C1456" s="1"/>
      <c r="H1456" s="1" t="s">
        <v>531</v>
      </c>
      <c r="I1456" s="1" t="s">
        <v>2963</v>
      </c>
      <c r="J1456" s="1" t="s">
        <v>608</v>
      </c>
      <c r="M1456" s="15" t="s">
        <v>1758</v>
      </c>
      <c r="N1456" s="15" t="s">
        <v>1901</v>
      </c>
      <c r="O1456" s="15">
        <v>6</v>
      </c>
      <c r="P1456" s="15" t="str" cm="1">
        <f t="array" ref="P1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56" s="15" t="str" cm="1">
        <f t="array" ref="Q1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canciones/ruah/tuya_y_nueva.html</v>
      </c>
      <c r="S1456" s="1"/>
      <c r="T1456" s="1"/>
      <c r="U1456" s="1"/>
      <c r="V1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href="canciones/ruah/tuya_y_nueva.html"&gt;Tuya y nueva&lt;/a&gt;&lt;/li&gt;</v>
      </c>
      <c r="W1456" s="15" t="str">
        <f>_xlfn.TEXTBEFORE(_xlfn.TEXTAFTER(CantoralDB[[#This Row],[index.html]],"&gt;"),"&gt;")&amp;"&gt;"</f>
        <v>&lt;a href="canciones/ruah/tuya_y_nueva.html"&gt;</v>
      </c>
    </row>
    <row r="1457" spans="1:23" x14ac:dyDescent="0.3">
      <c r="A1457" s="1">
        <f>ROW(CantoralDB[[#This Row],[Título]])-1</f>
        <v>1456</v>
      </c>
      <c r="B1457" s="1" t="s">
        <v>1861</v>
      </c>
      <c r="C1457" s="1"/>
      <c r="H1457" s="1" t="s">
        <v>1030</v>
      </c>
      <c r="J1457" s="1" t="s">
        <v>608</v>
      </c>
      <c r="M1457" s="15" t="s">
        <v>1758</v>
      </c>
      <c r="N1457" s="15" t="s">
        <v>1901</v>
      </c>
      <c r="O1457" s="15">
        <v>7</v>
      </c>
      <c r="P1457" s="15" t="str" cm="1">
        <f t="array" ref="P1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57" s="15" t="str" cm="1">
        <f t="array" ref="Q1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canciones/ruah/no_os_preocupeis.html</v>
      </c>
      <c r="S1457" s="1"/>
      <c r="T1457" s="1"/>
      <c r="U1457" s="1"/>
      <c r="V1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href="canciones/ruah/no_os_preocupeis.html"&gt;No os preocupéis&lt;/a&gt;&lt;/li&gt;</v>
      </c>
      <c r="W1457" s="15" t="str">
        <f>_xlfn.TEXTBEFORE(_xlfn.TEXTAFTER(CantoralDB[[#This Row],[index.html]],"&gt;"),"&gt;")&amp;"&gt;"</f>
        <v>&lt;a href="canciones/ruah/no_os_preocupeis.html"&gt;</v>
      </c>
    </row>
    <row r="1458" spans="1:23" x14ac:dyDescent="0.3">
      <c r="A1458" s="1">
        <f>ROW(CantoralDB[[#This Row],[Título]])-1</f>
        <v>1457</v>
      </c>
      <c r="B1458" s="1" t="s">
        <v>1862</v>
      </c>
      <c r="C1458" s="1"/>
      <c r="H1458" s="1" t="s">
        <v>1028</v>
      </c>
      <c r="J1458" s="1" t="s">
        <v>608</v>
      </c>
      <c r="L1458" s="1" t="s">
        <v>2184</v>
      </c>
      <c r="M1458" s="15" t="s">
        <v>1758</v>
      </c>
      <c r="N1458" s="15" t="s">
        <v>1901</v>
      </c>
      <c r="O1458" s="15">
        <v>8</v>
      </c>
      <c r="P1458" s="15" t="str" cm="1">
        <f t="array" ref="P1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58" s="15" t="str" cm="1">
        <f t="array" ref="Q1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canciones/ruah/sabes_bien.html</v>
      </c>
      <c r="S1458" s="1"/>
      <c r="T1458" s="1"/>
      <c r="U1458" s="1"/>
      <c r="V1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href="canciones/ruah/sabes_bien.html"&gt;Sabes bien&lt;/a&gt;&lt;/li&gt;</v>
      </c>
      <c r="W1458" s="15" t="str">
        <f>_xlfn.TEXTBEFORE(_xlfn.TEXTAFTER(CantoralDB[[#This Row],[index.html]],"&gt;"),"&gt;")&amp;"&gt;"</f>
        <v>&lt;a href="canciones/ruah/sabes_bien.html"&gt;</v>
      </c>
    </row>
    <row r="1459" spans="1:23" x14ac:dyDescent="0.3">
      <c r="A1459" s="1">
        <f>ROW(CantoralDB[[#This Row],[Título]])-1</f>
        <v>1458</v>
      </c>
      <c r="B1459" s="1" t="s">
        <v>1863</v>
      </c>
      <c r="C1459" s="1"/>
      <c r="H1459" s="1" t="s">
        <v>473</v>
      </c>
      <c r="J1459" s="1" t="s">
        <v>608</v>
      </c>
      <c r="M1459" s="15" t="s">
        <v>1758</v>
      </c>
      <c r="N1459" s="15" t="s">
        <v>1901</v>
      </c>
      <c r="O1459" s="15">
        <v>9</v>
      </c>
      <c r="P1459" s="15" t="str" cm="1">
        <f t="array" ref="P1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59" s="15" t="str" cm="1">
        <f t="array" ref="Q1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canciones/ruah/alegraos.html</v>
      </c>
      <c r="S1459" s="1"/>
      <c r="T1459" s="1"/>
      <c r="U1459" s="1"/>
      <c r="V1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href="canciones/ruah/alegraos.html"&gt;Alegraos&lt;/a&gt;&lt;/li&gt;</v>
      </c>
      <c r="W1459" s="15" t="str">
        <f>_xlfn.TEXTBEFORE(_xlfn.TEXTAFTER(CantoralDB[[#This Row],[index.html]],"&gt;"),"&gt;")&amp;"&gt;"</f>
        <v>&lt;a href="canciones/ruah/alegraos.html"&gt;</v>
      </c>
    </row>
    <row r="1460" spans="1:23" x14ac:dyDescent="0.3">
      <c r="A1460" s="1">
        <f>ROW(CantoralDB[[#This Row],[Título]])-1</f>
        <v>1459</v>
      </c>
      <c r="B1460" s="1" t="s">
        <v>1864</v>
      </c>
      <c r="C1460" s="1"/>
      <c r="H1460" s="1" t="s">
        <v>1027</v>
      </c>
      <c r="J1460" s="1" t="s">
        <v>608</v>
      </c>
      <c r="M1460" s="15" t="s">
        <v>1758</v>
      </c>
      <c r="N1460" s="15" t="s">
        <v>1901</v>
      </c>
      <c r="O1460" s="15">
        <v>10</v>
      </c>
      <c r="P1460" s="15" t="str" cm="1">
        <f t="array" ref="P1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60" s="15" t="str" cm="1">
        <f t="array" ref="Q1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canciones/ruah/envianos_sin_miedo.html</v>
      </c>
      <c r="S1460" s="1"/>
      <c r="T1460" s="1"/>
      <c r="U1460" s="1"/>
      <c r="V1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href="canciones/ruah/envianos_sin_miedo.html"&gt;Envíanos sin miedo&lt;/a&gt;&lt;/li&gt;</v>
      </c>
      <c r="W1460" s="15" t="str">
        <f>_xlfn.TEXTBEFORE(_xlfn.TEXTAFTER(CantoralDB[[#This Row],[index.html]],"&gt;"),"&gt;")&amp;"&gt;"</f>
        <v>&lt;a href="canciones/ruah/envianos_sin_miedo.html"&gt;</v>
      </c>
    </row>
    <row r="1461" spans="1:23" x14ac:dyDescent="0.3">
      <c r="A1461" s="1">
        <f>ROW(CantoralDB[[#This Row],[Título]])-1</f>
        <v>1460</v>
      </c>
      <c r="B1461" s="1" t="s">
        <v>1865</v>
      </c>
      <c r="C1461" s="1"/>
      <c r="H1461" s="1" t="s">
        <v>1027</v>
      </c>
      <c r="J1461" s="1" t="s">
        <v>608</v>
      </c>
      <c r="M1461" s="15" t="s">
        <v>1758</v>
      </c>
      <c r="N1461" s="15" t="s">
        <v>1901</v>
      </c>
      <c r="O1461" s="15">
        <v>11</v>
      </c>
      <c r="P1461" s="15" t="str" cm="1">
        <f t="array" ref="P1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61" s="15" t="str" cm="1">
        <f t="array" ref="Q1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canciones/ruah/aqui_y_ahora.html</v>
      </c>
      <c r="S1461" s="1"/>
      <c r="T1461" s="1"/>
      <c r="U1461" s="1"/>
      <c r="V1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href="canciones/ruah/aqui_y_ahora.html"&gt;Aquí y ahora&lt;/a&gt;&lt;/li&gt;</v>
      </c>
      <c r="W1461" s="15" t="str">
        <f>_xlfn.TEXTBEFORE(_xlfn.TEXTAFTER(CantoralDB[[#This Row],[index.html]],"&gt;"),"&gt;")&amp;"&gt;"</f>
        <v>&lt;a href="canciones/ruah/aqui_y_ahora.html"&gt;</v>
      </c>
    </row>
    <row r="1462" spans="1:23" x14ac:dyDescent="0.3">
      <c r="A1462" s="1">
        <f>ROW(CantoralDB[[#This Row],[Título]])-1</f>
        <v>1461</v>
      </c>
      <c r="B1462" s="1" t="s">
        <v>1890</v>
      </c>
      <c r="C1462" s="1"/>
      <c r="H1462" s="1" t="s">
        <v>531</v>
      </c>
      <c r="I1462" s="1" t="s">
        <v>2962</v>
      </c>
      <c r="J1462" s="1" t="s">
        <v>608</v>
      </c>
      <c r="M1462" s="15" t="s">
        <v>1758</v>
      </c>
      <c r="N1462" s="15" t="s">
        <v>1896</v>
      </c>
      <c r="O1462" s="15">
        <v>1</v>
      </c>
      <c r="P1462" s="15" t="str" cm="1">
        <f t="array" ref="P1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62" s="15" t="str" cm="1">
        <f t="array" ref="Q1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canciones/ruah/te_seguire_llamando.html</v>
      </c>
      <c r="S1462" s="1"/>
      <c r="T1462" s="1"/>
      <c r="U1462" s="1"/>
      <c r="V1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href="canciones/ruah/te_seguire_llamando.html"&gt;Te seguiré llamando&lt;/a&gt;&lt;/li&gt;</v>
      </c>
      <c r="W1462" s="15" t="str">
        <f>_xlfn.TEXTBEFORE(_xlfn.TEXTAFTER(CantoralDB[[#This Row],[index.html]],"&gt;"),"&gt;")&amp;"&gt;"</f>
        <v>&lt;a href="canciones/ruah/te_seguire_llamando.html"&gt;</v>
      </c>
    </row>
    <row r="1463" spans="1:23" x14ac:dyDescent="0.3">
      <c r="A1463" s="1">
        <f>ROW(CantoralDB[[#This Row],[Título]])-1</f>
        <v>1462</v>
      </c>
      <c r="B1463" s="1" t="s">
        <v>1891</v>
      </c>
      <c r="C1463" s="1"/>
      <c r="H1463" s="1" t="s">
        <v>1030</v>
      </c>
      <c r="I1463" s="1" t="s">
        <v>2960</v>
      </c>
      <c r="J1463" s="1" t="s">
        <v>608</v>
      </c>
      <c r="M1463" s="15" t="s">
        <v>1758</v>
      </c>
      <c r="N1463" s="15" t="s">
        <v>1896</v>
      </c>
      <c r="O1463" s="15">
        <v>2</v>
      </c>
      <c r="P1463" s="15" t="str" cm="1">
        <f t="array" ref="P1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63" s="15" t="str" cm="1">
        <f t="array" ref="Q1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canciones/ruah/no_volvera_vacia.html</v>
      </c>
      <c r="S1463" s="1"/>
      <c r="T1463" s="1"/>
      <c r="U1463" s="1"/>
      <c r="V1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href="canciones/ruah/no_volvera_vacia.html"&gt;No volverá vacía&lt;/a&gt;&lt;/li&gt;</v>
      </c>
      <c r="W1463" s="15" t="str">
        <f>_xlfn.TEXTBEFORE(_xlfn.TEXTAFTER(CantoralDB[[#This Row],[index.html]],"&gt;"),"&gt;")&amp;"&gt;"</f>
        <v>&lt;a href="canciones/ruah/no_volvera_vacia.html"&gt;</v>
      </c>
    </row>
    <row r="1464" spans="1:23" x14ac:dyDescent="0.3">
      <c r="A1464" s="1">
        <f>ROW(CantoralDB[[#This Row],[Título]])-1</f>
        <v>1463</v>
      </c>
      <c r="B1464" s="1" t="s">
        <v>1892</v>
      </c>
      <c r="C1464" s="1"/>
      <c r="H1464" s="1" t="s">
        <v>1030</v>
      </c>
      <c r="J1464" s="1" t="s">
        <v>608</v>
      </c>
      <c r="M1464" s="15" t="s">
        <v>1758</v>
      </c>
      <c r="N1464" s="15" t="s">
        <v>1896</v>
      </c>
      <c r="O1464" s="15">
        <v>3</v>
      </c>
      <c r="P1464" s="15" t="str" cm="1">
        <f t="array" ref="P1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64" s="15" t="str" cm="1">
        <f t="array" ref="Q1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canciones/ruah/grietas.html</v>
      </c>
      <c r="S1464" s="1"/>
      <c r="T1464" s="1"/>
      <c r="U1464" s="1"/>
      <c r="V1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href="canciones/ruah/grietas.html"&gt;Grietas&lt;/a&gt;&lt;/li&gt;</v>
      </c>
      <c r="W1464" s="15" t="str">
        <f>_xlfn.TEXTBEFORE(_xlfn.TEXTAFTER(CantoralDB[[#This Row],[index.html]],"&gt;"),"&gt;")&amp;"&gt;"</f>
        <v>&lt;a href="canciones/ruah/grietas.html"&gt;</v>
      </c>
    </row>
    <row r="1465" spans="1:23" x14ac:dyDescent="0.3">
      <c r="A1465" s="1">
        <f>ROW(CantoralDB[[#This Row],[Título]])-1</f>
        <v>1464</v>
      </c>
      <c r="B1465" s="1" t="s">
        <v>1893</v>
      </c>
      <c r="C1465" s="1"/>
      <c r="H1465" s="1" t="s">
        <v>473</v>
      </c>
      <c r="J1465" s="1" t="s">
        <v>608</v>
      </c>
      <c r="M1465" s="15" t="s">
        <v>1758</v>
      </c>
      <c r="N1465" s="15" t="s">
        <v>1896</v>
      </c>
      <c r="O1465" s="15">
        <v>4</v>
      </c>
      <c r="P1465" s="15" t="str" cm="1">
        <f t="array" ref="P1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65" s="15" t="str" cm="1">
        <f t="array" ref="Q1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canciones/ruah/en_parabolas.html</v>
      </c>
      <c r="S1465" s="1"/>
      <c r="T1465" s="1"/>
      <c r="U1465" s="1"/>
      <c r="V1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href="canciones/ruah/en_parabolas.html"&gt;En parábolas&lt;/a&gt;&lt;/li&gt;</v>
      </c>
      <c r="W1465" s="15" t="str">
        <f>_xlfn.TEXTBEFORE(_xlfn.TEXTAFTER(CantoralDB[[#This Row],[index.html]],"&gt;"),"&gt;")&amp;"&gt;"</f>
        <v>&lt;a href="canciones/ruah/en_parabolas.html"&gt;</v>
      </c>
    </row>
    <row r="1466" spans="1:23" x14ac:dyDescent="0.3">
      <c r="A1466" s="1">
        <f>ROW(CantoralDB[[#This Row],[Título]])-1</f>
        <v>1465</v>
      </c>
      <c r="B1466" s="1" t="s">
        <v>1894</v>
      </c>
      <c r="C1466" s="1"/>
      <c r="H1466" s="1" t="s">
        <v>1028</v>
      </c>
      <c r="J1466" s="1" t="s">
        <v>608</v>
      </c>
      <c r="M1466" s="15" t="s">
        <v>1758</v>
      </c>
      <c r="N1466" s="15" t="s">
        <v>1896</v>
      </c>
      <c r="O1466" s="15">
        <v>5</v>
      </c>
      <c r="P1466" s="15" t="str" cm="1">
        <f t="array" ref="P1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66" s="15" t="str" cm="1">
        <f t="array" ref="Q1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canciones/ruah/oyeme.html</v>
      </c>
      <c r="S1466" s="1"/>
      <c r="T1466" s="1"/>
      <c r="U1466" s="1"/>
      <c r="V1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href="canciones/ruah/oyeme.html"&gt;Óyeme&lt;/a&gt;&lt;/li&gt;</v>
      </c>
      <c r="W1466" s="15" t="str">
        <f>_xlfn.TEXTBEFORE(_xlfn.TEXTAFTER(CantoralDB[[#This Row],[index.html]],"&gt;"),"&gt;")&amp;"&gt;"</f>
        <v>&lt;a href="canciones/ruah/oyeme.html"&gt;</v>
      </c>
    </row>
    <row r="1467" spans="1:23" x14ac:dyDescent="0.3">
      <c r="A1467" s="1">
        <f>ROW(CantoralDB[[#This Row],[Título]])-1</f>
        <v>1466</v>
      </c>
      <c r="B1467" s="1" t="s">
        <v>1895</v>
      </c>
      <c r="C1467" s="1"/>
      <c r="H1467" s="1" t="s">
        <v>531</v>
      </c>
      <c r="I1467" s="1" t="s">
        <v>2959</v>
      </c>
      <c r="J1467" s="1" t="s">
        <v>608</v>
      </c>
      <c r="M1467" s="15" t="s">
        <v>1758</v>
      </c>
      <c r="N1467" s="15" t="s">
        <v>1896</v>
      </c>
      <c r="O1467" s="15">
        <v>6</v>
      </c>
      <c r="P1467" s="15" t="str" cm="1">
        <f t="array" ref="P1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67" s="15" t="str" cm="1">
        <f t="array" ref="Q1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canciones/ruah/bosque.html</v>
      </c>
      <c r="S1467" s="1"/>
      <c r="T1467" s="1"/>
      <c r="U1467" s="1"/>
      <c r="V1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href="canciones/ruah/bosque.html"&gt;Bosque&lt;/a&gt;&lt;/li&gt;</v>
      </c>
      <c r="W1467" s="15" t="str">
        <f>_xlfn.TEXTBEFORE(_xlfn.TEXTAFTER(CantoralDB[[#This Row],[index.html]],"&gt;"),"&gt;")&amp;"&gt;"</f>
        <v>&lt;a href="canciones/ruah/bosque.html"&gt;</v>
      </c>
    </row>
    <row r="1468" spans="1:23" x14ac:dyDescent="0.3">
      <c r="A1468" s="1">
        <f>ROW(CantoralDB[[#This Row],[Título]])-1</f>
        <v>1467</v>
      </c>
      <c r="B1468" s="1" t="s">
        <v>1896</v>
      </c>
      <c r="C1468" s="1"/>
      <c r="H1468" s="1" t="s">
        <v>1027</v>
      </c>
      <c r="J1468" s="1" t="s">
        <v>608</v>
      </c>
      <c r="M1468" s="15" t="s">
        <v>1758</v>
      </c>
      <c r="N1468" s="15" t="s">
        <v>1896</v>
      </c>
      <c r="O1468" s="15">
        <v>7</v>
      </c>
      <c r="P1468" s="15" t="str" cm="1">
        <f t="array" ref="P1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68" s="15" t="str" cm="1">
        <f t="array" ref="Q1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canciones/ruah/nuestro_lugar.html</v>
      </c>
      <c r="S1468" s="1"/>
      <c r="T1468" s="1"/>
      <c r="U1468" s="1"/>
      <c r="V1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href="canciones/ruah/nuestro_lugar.html"&gt;Nuestro lugar&lt;/a&gt;&lt;/li&gt;</v>
      </c>
      <c r="W1468" s="15" t="str">
        <f>_xlfn.TEXTBEFORE(_xlfn.TEXTAFTER(CantoralDB[[#This Row],[index.html]],"&gt;"),"&gt;")&amp;"&gt;"</f>
        <v>&lt;a href="canciones/ruah/nuestro_lugar.html"&gt;</v>
      </c>
    </row>
    <row r="1469" spans="1:23" x14ac:dyDescent="0.3">
      <c r="A1469" s="1">
        <f>ROW(CantoralDB[[#This Row],[Título]])-1</f>
        <v>1468</v>
      </c>
      <c r="B1469" s="1" t="s">
        <v>1897</v>
      </c>
      <c r="C1469" s="1"/>
      <c r="H1469" s="1" t="s">
        <v>1027</v>
      </c>
      <c r="J1469" s="1" t="s">
        <v>608</v>
      </c>
      <c r="M1469" s="15" t="s">
        <v>1758</v>
      </c>
      <c r="N1469" s="15" t="s">
        <v>1896</v>
      </c>
      <c r="O1469" s="15">
        <v>8</v>
      </c>
      <c r="P1469" s="15" t="str" cm="1">
        <f t="array" ref="P1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69" s="15" t="str" cm="1">
        <f t="array" ref="Q1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canciones/ruah/a_tu_medida.html</v>
      </c>
      <c r="S1469" s="1"/>
      <c r="T1469" s="1"/>
      <c r="U1469" s="1"/>
      <c r="V1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href="canciones/ruah/a_tu_medida.html"&gt;A tu medida&lt;/a&gt;&lt;/li&gt;</v>
      </c>
      <c r="W1469" s="15" t="str">
        <f>_xlfn.TEXTBEFORE(_xlfn.TEXTAFTER(CantoralDB[[#This Row],[index.html]],"&gt;"),"&gt;")&amp;"&gt;"</f>
        <v>&lt;a href="canciones/ruah/a_tu_medida.html"&gt;</v>
      </c>
    </row>
    <row r="1470" spans="1:23" x14ac:dyDescent="0.3">
      <c r="A1470" s="1">
        <f>ROW(CantoralDB[[#This Row],[Título]])-1</f>
        <v>1469</v>
      </c>
      <c r="B1470" s="1" t="s">
        <v>1898</v>
      </c>
      <c r="C1470" s="1"/>
      <c r="H1470" s="1" t="s">
        <v>1027</v>
      </c>
      <c r="J1470" s="1" t="s">
        <v>608</v>
      </c>
      <c r="M1470" s="15" t="s">
        <v>1758</v>
      </c>
      <c r="N1470" s="15" t="s">
        <v>1896</v>
      </c>
      <c r="O1470" s="15">
        <v>9</v>
      </c>
      <c r="P1470" s="15" t="str" cm="1">
        <f t="array" ref="P1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0" s="15" t="str" cm="1">
        <f t="array" ref="Q1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canciones/ruah/mayor_que_todo.html</v>
      </c>
      <c r="S1470" s="1"/>
      <c r="T1470" s="1"/>
      <c r="U1470" s="1"/>
      <c r="V1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href="canciones/ruah/mayor_que_todo.html"&gt;Mayor que todo&lt;/a&gt;&lt;/li&gt;</v>
      </c>
      <c r="W1470" s="15" t="str">
        <f>_xlfn.TEXTBEFORE(_xlfn.TEXTAFTER(CantoralDB[[#This Row],[index.html]],"&gt;"),"&gt;")&amp;"&gt;"</f>
        <v>&lt;a href="canciones/ruah/mayor_que_todo.html"&gt;</v>
      </c>
    </row>
    <row r="1471" spans="1:23" x14ac:dyDescent="0.3">
      <c r="A1471" s="1">
        <f>ROW(CantoralDB[[#This Row],[Título]])-1</f>
        <v>1470</v>
      </c>
      <c r="B1471" s="1" t="s">
        <v>1899</v>
      </c>
      <c r="C1471" s="1"/>
      <c r="H1471" s="1" t="s">
        <v>1030</v>
      </c>
      <c r="I1471" s="1" t="s">
        <v>2960</v>
      </c>
      <c r="J1471" s="1" t="s">
        <v>608</v>
      </c>
      <c r="M1471" s="15" t="s">
        <v>1758</v>
      </c>
      <c r="N1471" s="15" t="s">
        <v>1896</v>
      </c>
      <c r="O1471" s="15">
        <v>10</v>
      </c>
      <c r="P1471" s="15" t="str" cm="1">
        <f t="array" ref="P1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1" s="15" t="str" cm="1">
        <f t="array" ref="Q1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canciones/ruah/seas.html</v>
      </c>
      <c r="S1471" s="1"/>
      <c r="T1471" s="1"/>
      <c r="U1471" s="1"/>
      <c r="V1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href="canciones/ruah/seas.html"&gt;Seas&lt;/a&gt;&lt;/li&gt;</v>
      </c>
      <c r="W1471" s="15" t="str">
        <f>_xlfn.TEXTBEFORE(_xlfn.TEXTAFTER(CantoralDB[[#This Row],[index.html]],"&gt;"),"&gt;")&amp;"&gt;"</f>
        <v>&lt;a href="canciones/ruah/seas.html"&gt;</v>
      </c>
    </row>
    <row r="1472" spans="1:23" x14ac:dyDescent="0.3">
      <c r="A1472" s="1">
        <f>ROW(CantoralDB[[#This Row],[Título]])-1</f>
        <v>1471</v>
      </c>
      <c r="B1472" s="1" t="s">
        <v>1900</v>
      </c>
      <c r="C1472" s="1"/>
      <c r="H1472" s="1" t="s">
        <v>531</v>
      </c>
      <c r="J1472" s="1" t="s">
        <v>608</v>
      </c>
      <c r="M1472" s="15" t="s">
        <v>1758</v>
      </c>
      <c r="N1472" s="15" t="s">
        <v>1896</v>
      </c>
      <c r="O1472" s="15">
        <v>11</v>
      </c>
      <c r="P1472" s="15" t="str" cm="1">
        <f t="array" ref="P1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2" s="15" t="str" cm="1">
        <f t="array" ref="Q1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canciones/ruah/brasas.html</v>
      </c>
      <c r="S1472" s="1"/>
      <c r="T1472" s="1"/>
      <c r="U1472" s="1"/>
      <c r="V1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href="canciones/ruah/brasas.html"&gt;Brasas&lt;/a&gt;&lt;/li&gt;</v>
      </c>
      <c r="W1472" s="15" t="str">
        <f>_xlfn.TEXTBEFORE(_xlfn.TEXTAFTER(CantoralDB[[#This Row],[index.html]],"&gt;"),"&gt;")&amp;"&gt;"</f>
        <v>&lt;a href="canciones/ruah/brasas.html"&gt;</v>
      </c>
    </row>
    <row r="1473" spans="1:23" x14ac:dyDescent="0.3">
      <c r="A1473" s="1">
        <f>ROW(CantoralDB[[#This Row],[Título]])-1</f>
        <v>1472</v>
      </c>
      <c r="B1473" s="1" t="s">
        <v>1877</v>
      </c>
      <c r="C1473" s="1"/>
      <c r="J1473" s="1"/>
      <c r="M1473" s="15" t="s">
        <v>1758</v>
      </c>
      <c r="N1473" s="15" t="s">
        <v>1903</v>
      </c>
      <c r="O1473" s="15">
        <v>1</v>
      </c>
      <c r="P1473" s="15" t="str" cm="1">
        <f t="array" ref="P1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3" s="15" t="str" cm="1">
        <f t="array" ref="Q1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canciones/ruah/a_buscarme.html</v>
      </c>
      <c r="S1473" s="1"/>
      <c r="T1473" s="1"/>
      <c r="U1473" s="1"/>
      <c r="V1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href="canciones/ruah/a_buscarme.html"&gt;A buscarme&lt;/a&gt;&lt;/li&gt;</v>
      </c>
      <c r="W1473" s="15" t="str">
        <f>_xlfn.TEXTBEFORE(_xlfn.TEXTAFTER(CantoralDB[[#This Row],[index.html]],"&gt;"),"&gt;")&amp;"&gt;"</f>
        <v>&lt;a href="canciones/ruah/a_buscarme.html"&gt;</v>
      </c>
    </row>
    <row r="1474" spans="1:23" x14ac:dyDescent="0.3">
      <c r="A1474" s="1">
        <f>ROW(CantoralDB[[#This Row],[Título]])-1</f>
        <v>1473</v>
      </c>
      <c r="B1474" s="1" t="s">
        <v>1878</v>
      </c>
      <c r="C1474" s="1"/>
      <c r="H1474" s="1" t="s">
        <v>531</v>
      </c>
      <c r="J1474" s="1" t="s">
        <v>608</v>
      </c>
      <c r="M1474" s="15" t="s">
        <v>1758</v>
      </c>
      <c r="N1474" s="15" t="s">
        <v>1903</v>
      </c>
      <c r="O1474" s="15">
        <v>2</v>
      </c>
      <c r="P1474" s="15" t="str" cm="1">
        <f t="array" ref="P1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4" s="15" t="str" cm="1">
        <f t="array" ref="Q1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canciones/ruah/si_tu_quieres.html</v>
      </c>
      <c r="S1474" s="1"/>
      <c r="T1474" s="1"/>
      <c r="U1474" s="1"/>
      <c r="V1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href="canciones/ruah/si_tu_quieres.html"&gt;Si tú quieres&lt;/a&gt;&lt;/li&gt;</v>
      </c>
      <c r="W1474" s="15" t="str">
        <f>_xlfn.TEXTBEFORE(_xlfn.TEXTAFTER(CantoralDB[[#This Row],[index.html]],"&gt;"),"&gt;")&amp;"&gt;"</f>
        <v>&lt;a href="canciones/ruah/si_tu_quieres.html"&gt;</v>
      </c>
    </row>
    <row r="1475" spans="1:23" x14ac:dyDescent="0.3">
      <c r="A1475" s="1">
        <f>ROW(CantoralDB[[#This Row],[Título]])-1</f>
        <v>1474</v>
      </c>
      <c r="B1475" s="1" t="s">
        <v>1879</v>
      </c>
      <c r="C1475" s="1"/>
      <c r="H1475" s="1" t="s">
        <v>1030</v>
      </c>
      <c r="I1475" s="1" t="s">
        <v>2959</v>
      </c>
      <c r="J1475" s="1" t="s">
        <v>608</v>
      </c>
      <c r="M1475" s="15" t="s">
        <v>1758</v>
      </c>
      <c r="N1475" s="15" t="s">
        <v>1903</v>
      </c>
      <c r="O1475" s="15">
        <v>3</v>
      </c>
      <c r="P1475" s="15" t="str" cm="1">
        <f t="array" ref="P1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5" s="15" t="str" cm="1">
        <f t="array" ref="Q1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canciones/ruah/donde.html</v>
      </c>
      <c r="S1475" s="1"/>
      <c r="T1475" s="1"/>
      <c r="U1475" s="1"/>
      <c r="V1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href="canciones/ruah/donde.html"&gt;Dónde&lt;/a&gt;&lt;/li&gt;</v>
      </c>
      <c r="W1475" s="15" t="str">
        <f>_xlfn.TEXTBEFORE(_xlfn.TEXTAFTER(CantoralDB[[#This Row],[index.html]],"&gt;"),"&gt;")&amp;"&gt;"</f>
        <v>&lt;a href="canciones/ruah/donde.html"&gt;</v>
      </c>
    </row>
    <row r="1476" spans="1:23" x14ac:dyDescent="0.3">
      <c r="A1476" s="1">
        <f>ROW(CantoralDB[[#This Row],[Título]])-1</f>
        <v>1475</v>
      </c>
      <c r="B1476" s="1" t="s">
        <v>1880</v>
      </c>
      <c r="C1476" s="1"/>
      <c r="H1476" s="1" t="s">
        <v>473</v>
      </c>
      <c r="J1476" s="1" t="s">
        <v>608</v>
      </c>
      <c r="M1476" s="15" t="s">
        <v>1758</v>
      </c>
      <c r="N1476" s="15" t="s">
        <v>1903</v>
      </c>
      <c r="O1476" s="15">
        <v>4</v>
      </c>
      <c r="P1476" s="15" t="str" cm="1">
        <f t="array" ref="P1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6" s="15" t="str" cm="1">
        <f t="array" ref="Q1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canciones/ruah/escuchame.html</v>
      </c>
      <c r="S1476" s="1"/>
      <c r="T1476" s="1"/>
      <c r="U1476" s="1"/>
      <c r="V1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href="canciones/ruah/escuchame.html"&gt;Escúchame&lt;/a&gt;&lt;/li&gt;</v>
      </c>
      <c r="W1476" s="15" t="str">
        <f>_xlfn.TEXTBEFORE(_xlfn.TEXTAFTER(CantoralDB[[#This Row],[index.html]],"&gt;"),"&gt;")&amp;"&gt;"</f>
        <v>&lt;a href="canciones/ruah/escuchame.html"&gt;</v>
      </c>
    </row>
    <row r="1477" spans="1:23" x14ac:dyDescent="0.3">
      <c r="A1477" s="1">
        <f>ROW(CantoralDB[[#This Row],[Título]])-1</f>
        <v>1476</v>
      </c>
      <c r="B1477" s="1" t="s">
        <v>1881</v>
      </c>
      <c r="C1477" s="1"/>
      <c r="H1477" s="1" t="s">
        <v>1030</v>
      </c>
      <c r="J1477" s="1" t="s">
        <v>608</v>
      </c>
      <c r="M1477" s="15" t="s">
        <v>1758</v>
      </c>
      <c r="N1477" s="15" t="s">
        <v>1903</v>
      </c>
      <c r="O1477" s="15">
        <v>5</v>
      </c>
      <c r="P1477" s="15" t="str" cm="1">
        <f t="array" ref="P1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7" s="15" t="str" cm="1">
        <f t="array" ref="Q1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canciones/ruah/a_la_puerta.html</v>
      </c>
      <c r="S1477" s="1"/>
      <c r="T1477" s="1"/>
      <c r="U1477" s="1"/>
      <c r="V1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href="canciones/ruah/a_la_puerta.html"&gt;A la puerta&lt;/a&gt;&lt;/li&gt;</v>
      </c>
      <c r="W1477" s="15" t="str">
        <f>_xlfn.TEXTBEFORE(_xlfn.TEXTAFTER(CantoralDB[[#This Row],[index.html]],"&gt;"),"&gt;")&amp;"&gt;"</f>
        <v>&lt;a href="canciones/ruah/a_la_puerta.html"&gt;</v>
      </c>
    </row>
    <row r="1478" spans="1:23" x14ac:dyDescent="0.3">
      <c r="A1478" s="1">
        <f>ROW(CantoralDB[[#This Row],[Título]])-1</f>
        <v>1477</v>
      </c>
      <c r="B1478" s="1" t="s">
        <v>1882</v>
      </c>
      <c r="C1478" s="1"/>
      <c r="H1478" s="1" t="s">
        <v>1030</v>
      </c>
      <c r="J1478" s="1" t="s">
        <v>608</v>
      </c>
      <c r="M1478" s="15" t="s">
        <v>1758</v>
      </c>
      <c r="N1478" s="15" t="s">
        <v>1903</v>
      </c>
      <c r="O1478" s="15">
        <v>6</v>
      </c>
      <c r="P1478" s="15" t="str" cm="1">
        <f t="array" ref="P1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8" s="15" t="str" cm="1">
        <f t="array" ref="Q1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canciones/ruah/en_quien_si_no.html</v>
      </c>
      <c r="S1478" s="1"/>
      <c r="T1478" s="1"/>
      <c r="U1478" s="1"/>
      <c r="V1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href="canciones/ruah/en_quien_si_no.html"&gt;En quién si no&lt;/a&gt;&lt;/li&gt;</v>
      </c>
      <c r="W1478" s="15" t="str">
        <f>_xlfn.TEXTBEFORE(_xlfn.TEXTAFTER(CantoralDB[[#This Row],[index.html]],"&gt;"),"&gt;")&amp;"&gt;"</f>
        <v>&lt;a href="canciones/ruah/en_quien_si_no.html"&gt;</v>
      </c>
    </row>
    <row r="1479" spans="1:23" x14ac:dyDescent="0.3">
      <c r="A1479" s="1">
        <f>ROW(CantoralDB[[#This Row],[Título]])-1</f>
        <v>1478</v>
      </c>
      <c r="B1479" s="1" t="s">
        <v>1883</v>
      </c>
      <c r="C1479" s="1"/>
      <c r="H1479" s="1" t="s">
        <v>531</v>
      </c>
      <c r="I1479" s="1" t="s">
        <v>2962</v>
      </c>
      <c r="J1479" s="1" t="s">
        <v>608</v>
      </c>
      <c r="M1479" s="15" t="s">
        <v>1758</v>
      </c>
      <c r="N1479" s="15" t="s">
        <v>1903</v>
      </c>
      <c r="O1479" s="15">
        <v>7</v>
      </c>
      <c r="P1479" s="15" t="str" cm="1">
        <f t="array" ref="P1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79" s="15" t="str" cm="1">
        <f t="array" ref="Q1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canciones/ruah/silencio.html</v>
      </c>
      <c r="S1479" s="1"/>
      <c r="T1479" s="1"/>
      <c r="U1479" s="1"/>
      <c r="V1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href="canciones/ruah/silencio.html"&gt;Silencio&lt;/a&gt;&lt;/li&gt;</v>
      </c>
      <c r="W1479" s="15" t="str">
        <f>_xlfn.TEXTBEFORE(_xlfn.TEXTAFTER(CantoralDB[[#This Row],[index.html]],"&gt;"),"&gt;")&amp;"&gt;"</f>
        <v>&lt;a href="canciones/ruah/silencio.html"&gt;</v>
      </c>
    </row>
    <row r="1480" spans="1:23" x14ac:dyDescent="0.3">
      <c r="A1480" s="1">
        <f>ROW(CantoralDB[[#This Row],[Título]])-1</f>
        <v>1479</v>
      </c>
      <c r="B1480" s="1" t="s">
        <v>1884</v>
      </c>
      <c r="C1480" s="1"/>
      <c r="H1480" s="1" t="s">
        <v>1027</v>
      </c>
      <c r="J1480" s="1" t="s">
        <v>608</v>
      </c>
      <c r="M1480" s="15" t="s">
        <v>1758</v>
      </c>
      <c r="N1480" s="15" t="s">
        <v>1903</v>
      </c>
      <c r="O1480" s="15">
        <v>8</v>
      </c>
      <c r="P1480" s="15" t="str" cm="1">
        <f t="array" ref="P1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0" s="15" t="str" cm="1">
        <f t="array" ref="Q1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canciones/ruah/de_repente.html</v>
      </c>
      <c r="S1480" s="1"/>
      <c r="T1480" s="1"/>
      <c r="U1480" s="1"/>
      <c r="V1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href="canciones/ruah/de_repente.html"&gt;De repente&lt;/a&gt;&lt;/li&gt;</v>
      </c>
      <c r="W1480" s="15" t="str">
        <f>_xlfn.TEXTBEFORE(_xlfn.TEXTAFTER(CantoralDB[[#This Row],[index.html]],"&gt;"),"&gt;")&amp;"&gt;"</f>
        <v>&lt;a href="canciones/ruah/de_repente.html"&gt;</v>
      </c>
    </row>
    <row r="1481" spans="1:23" x14ac:dyDescent="0.3">
      <c r="A1481" s="1">
        <f>ROW(CantoralDB[[#This Row],[Título]])-1</f>
        <v>1480</v>
      </c>
      <c r="B1481" s="1" t="s">
        <v>2150</v>
      </c>
      <c r="C1481" s="1"/>
      <c r="H1481" s="1" t="s">
        <v>1030</v>
      </c>
      <c r="I1481" s="1" t="s">
        <v>2963</v>
      </c>
      <c r="J1481" s="1" t="s">
        <v>608</v>
      </c>
      <c r="M1481" s="15" t="s">
        <v>1758</v>
      </c>
      <c r="N1481" s="15" t="s">
        <v>1903</v>
      </c>
      <c r="O1481" s="15">
        <v>9</v>
      </c>
      <c r="P1481" s="15" t="str" cm="1">
        <f t="array" ref="P1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1" s="15" t="str" cm="1">
        <f t="array" ref="Q1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canciones/ruah/quien_amo_primero.html</v>
      </c>
      <c r="S1481" s="1"/>
      <c r="T1481" s="1"/>
      <c r="U1481" s="1"/>
      <c r="V1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href="canciones/ruah/quien_amo_primero.html"&gt;Quién amó primero&lt;/a&gt;&lt;/li&gt;</v>
      </c>
      <c r="W1481" s="15" t="str">
        <f>_xlfn.TEXTBEFORE(_xlfn.TEXTAFTER(CantoralDB[[#This Row],[index.html]],"&gt;"),"&gt;")&amp;"&gt;"</f>
        <v>&lt;a href="canciones/ruah/quien_amo_primero.html"&gt;</v>
      </c>
    </row>
    <row r="1482" spans="1:23" x14ac:dyDescent="0.3">
      <c r="A1482" s="1">
        <f>ROW(CantoralDB[[#This Row],[Título]])-1</f>
        <v>1481</v>
      </c>
      <c r="B1482" s="1" t="s">
        <v>1885</v>
      </c>
      <c r="C1482" s="1"/>
      <c r="H1482" s="1" t="s">
        <v>1030</v>
      </c>
      <c r="I1482" s="1" t="s">
        <v>2961</v>
      </c>
      <c r="J1482" s="1" t="s">
        <v>608</v>
      </c>
      <c r="M1482" s="15" t="s">
        <v>1758</v>
      </c>
      <c r="N1482" s="15" t="s">
        <v>1903</v>
      </c>
      <c r="O1482" s="15">
        <v>10</v>
      </c>
      <c r="P1482" s="15" t="str" cm="1">
        <f t="array" ref="P1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2" s="15" t="str" cm="1">
        <f t="array" ref="Q1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canciones/ruah/alabarte.html</v>
      </c>
      <c r="S1482" s="1"/>
      <c r="T1482" s="1"/>
      <c r="U1482" s="1"/>
      <c r="V1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href="canciones/ruah/alabarte.html"&gt;Alabarte&lt;/a&gt;&lt;/li&gt;</v>
      </c>
      <c r="W1482" s="15" t="str">
        <f>_xlfn.TEXTBEFORE(_xlfn.TEXTAFTER(CantoralDB[[#This Row],[index.html]],"&gt;"),"&gt;")&amp;"&gt;"</f>
        <v>&lt;a href="canciones/ruah/alabarte.html"&gt;</v>
      </c>
    </row>
    <row r="1483" spans="1:23" x14ac:dyDescent="0.3">
      <c r="A1483" s="1">
        <f>ROW(CantoralDB[[#This Row],[Título]])-1</f>
        <v>1482</v>
      </c>
      <c r="B1483" s="1" t="s">
        <v>1904</v>
      </c>
      <c r="C1483" s="1"/>
      <c r="H1483" s="1" t="s">
        <v>1028</v>
      </c>
      <c r="J1483" s="1" t="s">
        <v>608</v>
      </c>
      <c r="M1483" s="15" t="s">
        <v>1758</v>
      </c>
      <c r="N1483" s="15" t="s">
        <v>1903</v>
      </c>
      <c r="O1483" s="15">
        <v>11</v>
      </c>
      <c r="P1483" s="15" t="str" cm="1">
        <f t="array" ref="P1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3" s="15" t="str" cm="1">
        <f t="array" ref="Q1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canciones/ruah/bailare.html</v>
      </c>
      <c r="S1483" s="1"/>
      <c r="T1483" s="1"/>
      <c r="U1483" s="1"/>
      <c r="V1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href="canciones/ruah/bailare.html"&gt;Bailaré&lt;/a&gt;&lt;/li&gt;</v>
      </c>
      <c r="W1483" s="15" t="str">
        <f>_xlfn.TEXTBEFORE(_xlfn.TEXTAFTER(CantoralDB[[#This Row],[index.html]],"&gt;"),"&gt;")&amp;"&gt;"</f>
        <v>&lt;a href="canciones/ruah/bailare.html"&gt;</v>
      </c>
    </row>
    <row r="1484" spans="1:23" x14ac:dyDescent="0.3">
      <c r="A1484" s="1">
        <f>ROW(CantoralDB[[#This Row],[Título]])-1</f>
        <v>1483</v>
      </c>
      <c r="B1484" s="1" t="s">
        <v>1917</v>
      </c>
      <c r="C1484" s="1"/>
      <c r="H1484" s="1" t="s">
        <v>531</v>
      </c>
      <c r="I1484" s="1" t="s">
        <v>2962</v>
      </c>
      <c r="J1484" s="1" t="s">
        <v>608</v>
      </c>
      <c r="M1484" s="15" t="s">
        <v>1758</v>
      </c>
      <c r="N1484" s="15" t="s">
        <v>1903</v>
      </c>
      <c r="O1484" s="15">
        <v>12</v>
      </c>
      <c r="P1484" s="15" t="str" cm="1">
        <f t="array" ref="P1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4" s="15" t="str" cm="1">
        <f t="array" ref="Q1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canciones/ruah/por_ti_jerusalen.html</v>
      </c>
      <c r="S1484" s="1"/>
      <c r="T1484" s="1"/>
      <c r="U1484" s="1"/>
      <c r="V1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href="canciones/ruah/por_ti_jerusalen.html"&gt;Por ti, Jerusalén&lt;/a&gt;&lt;/li&gt;</v>
      </c>
      <c r="W1484" s="15" t="str">
        <f>_xlfn.TEXTBEFORE(_xlfn.TEXTAFTER(CantoralDB[[#This Row],[index.html]],"&gt;"),"&gt;")&amp;"&gt;"</f>
        <v>&lt;a href="canciones/ruah/por_ti_jerusalen.html"&gt;</v>
      </c>
    </row>
    <row r="1485" spans="1:23" x14ac:dyDescent="0.3">
      <c r="A1485" s="1">
        <f>ROW(CantoralDB[[#This Row],[Título]])-1</f>
        <v>1484</v>
      </c>
      <c r="B1485" s="1" t="s">
        <v>1886</v>
      </c>
      <c r="C1485" s="1"/>
      <c r="H1485" s="1" t="s">
        <v>531</v>
      </c>
      <c r="J1485" s="1" t="s">
        <v>608</v>
      </c>
      <c r="M1485" s="15" t="s">
        <v>1758</v>
      </c>
      <c r="N1485" s="15" t="s">
        <v>1903</v>
      </c>
      <c r="O1485" s="15">
        <v>13</v>
      </c>
      <c r="P1485" s="15" t="str" cm="1">
        <f t="array" ref="P1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5" s="15" t="str" cm="1">
        <f t="array" ref="Q1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canciones/ruah/frontera.html</v>
      </c>
      <c r="S1485" s="1"/>
      <c r="T1485" s="1"/>
      <c r="U1485" s="1"/>
      <c r="V1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href="canciones/ruah/frontera.html"&gt;Frontera&lt;/a&gt;&lt;/li&gt;</v>
      </c>
      <c r="W1485" s="15" t="str">
        <f>_xlfn.TEXTBEFORE(_xlfn.TEXTAFTER(CantoralDB[[#This Row],[index.html]],"&gt;"),"&gt;")&amp;"&gt;"</f>
        <v>&lt;a href="canciones/ruah/frontera.html"&gt;</v>
      </c>
    </row>
    <row r="1486" spans="1:23" x14ac:dyDescent="0.3">
      <c r="A1486" s="1">
        <f>ROW(CantoralDB[[#This Row],[Título]])-1</f>
        <v>1485</v>
      </c>
      <c r="B1486" s="1" t="s">
        <v>1887</v>
      </c>
      <c r="C1486" s="1"/>
      <c r="H1486" s="1" t="s">
        <v>531</v>
      </c>
      <c r="J1486" s="1" t="s">
        <v>608</v>
      </c>
      <c r="M1486" s="15" t="s">
        <v>1758</v>
      </c>
      <c r="N1486" s="15" t="s">
        <v>1903</v>
      </c>
      <c r="O1486" s="15">
        <v>14</v>
      </c>
      <c r="P1486" s="15" t="str" cm="1">
        <f t="array" ref="P1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6" s="15" t="str" cm="1">
        <f t="array" ref="Q1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canciones/ruah/despierto.html</v>
      </c>
      <c r="S1486" s="1"/>
      <c r="T1486" s="1"/>
      <c r="U1486" s="1"/>
      <c r="V1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href="canciones/ruah/despierto.html"&gt;Despierto&lt;/a&gt;&lt;/li&gt;</v>
      </c>
      <c r="W1486" s="15" t="str">
        <f>_xlfn.TEXTBEFORE(_xlfn.TEXTAFTER(CantoralDB[[#This Row],[index.html]],"&gt;"),"&gt;")&amp;"&gt;"</f>
        <v>&lt;a href="canciones/ruah/despierto.html"&gt;</v>
      </c>
    </row>
    <row r="1487" spans="1:23" x14ac:dyDescent="0.3">
      <c r="A1487" s="1">
        <f>ROW(CantoralDB[[#This Row],[Título]])-1</f>
        <v>1486</v>
      </c>
      <c r="B1487" s="1" t="s">
        <v>1888</v>
      </c>
      <c r="C1487" s="1"/>
      <c r="H1487" s="1" t="s">
        <v>1027</v>
      </c>
      <c r="I1487" s="1" t="s">
        <v>2962</v>
      </c>
      <c r="J1487" s="1" t="s">
        <v>608</v>
      </c>
      <c r="M1487" s="15" t="s">
        <v>1758</v>
      </c>
      <c r="N1487" s="15" t="s">
        <v>1903</v>
      </c>
      <c r="O1487" s="15">
        <v>15</v>
      </c>
      <c r="P1487" s="15" t="str" cm="1">
        <f t="array" ref="P1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7" s="15" t="str" cm="1">
        <f t="array" ref="Q1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canciones/ruah/como_niños.html</v>
      </c>
      <c r="S1487" s="1"/>
      <c r="T1487" s="1"/>
      <c r="U1487" s="1"/>
      <c r="V1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href="canciones/ruah/como_niños.html"&gt;Como niños&lt;/a&gt;&lt;/li&gt;</v>
      </c>
      <c r="W1487" s="15" t="str">
        <f>_xlfn.TEXTBEFORE(_xlfn.TEXTAFTER(CantoralDB[[#This Row],[index.html]],"&gt;"),"&gt;")&amp;"&gt;"</f>
        <v>&lt;a href="canciones/ruah/como_niños.html"&gt;</v>
      </c>
    </row>
    <row r="1488" spans="1:23" x14ac:dyDescent="0.3">
      <c r="A1488" s="1">
        <f>ROW(CantoralDB[[#This Row],[Título]])-1</f>
        <v>1487</v>
      </c>
      <c r="B1488" s="1" t="s">
        <v>1889</v>
      </c>
      <c r="C1488" s="1"/>
      <c r="H1488" s="1" t="s">
        <v>1027</v>
      </c>
      <c r="J1488" s="1" t="s">
        <v>608</v>
      </c>
      <c r="M1488" s="15" t="s">
        <v>1758</v>
      </c>
      <c r="N1488" s="15" t="s">
        <v>1903</v>
      </c>
      <c r="O1488" s="15">
        <v>16</v>
      </c>
      <c r="P1488" s="15" t="str" cm="1">
        <f t="array" ref="P1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Q1488" s="15" t="str" cm="1">
        <f t="array" ref="Q1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R1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canciones/ruah/vivir.html</v>
      </c>
      <c r="S1488" s="1"/>
      <c r="T1488" s="1"/>
      <c r="U1488" s="1"/>
      <c r="V1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data-author="Ruah"&gt;&lt;a href="canciones/ruah/vivir.html"&gt;Vivir&lt;/a&gt;&lt;/li&gt;</v>
      </c>
      <c r="W1488" s="15" t="str">
        <f>_xlfn.TEXTBEFORE(_xlfn.TEXTAFTER(CantoralDB[[#This Row],[index.html]],"&gt;"),"&gt;")&amp;"&gt;"</f>
        <v>&lt;a href="canciones/ruah/vivir.html"&gt;</v>
      </c>
    </row>
    <row r="1489" spans="1:23" x14ac:dyDescent="0.3">
      <c r="A1489" s="1">
        <f>ROW(CantoralDB[[#This Row],[Título]])-1</f>
        <v>1488</v>
      </c>
      <c r="B1489" s="1" t="s">
        <v>2168</v>
      </c>
      <c r="C1489" s="15"/>
      <c r="H1489" s="1" t="s">
        <v>531</v>
      </c>
      <c r="I1489" s="1" t="s">
        <v>2962</v>
      </c>
      <c r="J1489" s="1" t="s">
        <v>608</v>
      </c>
      <c r="M1489" s="15" t="s">
        <v>2182</v>
      </c>
      <c r="N1489" s="15"/>
      <c r="O1489" s="15"/>
      <c r="P1489" s="15" t="str" cm="1">
        <f t="array" ref="P1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89" s="15" t="str" cm="1">
        <f t="array" ref="Q1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canciones/nuevas/haz_de_tu_casa_un_nazaret.html</v>
      </c>
      <c r="S1489" s="1"/>
      <c r="T1489" s="1"/>
      <c r="U1489" s="1"/>
      <c r="V1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data-author="Sagrada Familia"&gt;&lt;a href="canciones/nuevas/haz_de_tu_casa_un_nazaret.html"&gt;Haz de tu casa un Nazaret&lt;/a&gt;&lt;/li&gt;</v>
      </c>
      <c r="W1489" s="15" t="str">
        <f>_xlfn.TEXTBEFORE(_xlfn.TEXTAFTER(CantoralDB[[#This Row],[index.html]],"&gt;"),"&gt;")&amp;"&gt;"</f>
        <v>&lt;a href="canciones/nuevas/haz_de_tu_casa_un_nazaret.html"&gt;</v>
      </c>
    </row>
    <row r="1490" spans="1:23" x14ac:dyDescent="0.3">
      <c r="A1490" s="1">
        <f>ROW(CantoralDB[[#This Row],[Título]])-1</f>
        <v>1489</v>
      </c>
      <c r="B1490" s="1" t="s">
        <v>2483</v>
      </c>
      <c r="C1490" s="1"/>
      <c r="F1490" s="1">
        <v>90</v>
      </c>
      <c r="J1490" s="1"/>
      <c r="M1490" s="15" t="s">
        <v>2482</v>
      </c>
      <c r="N1490" s="15"/>
      <c r="O1490" s="15"/>
      <c r="P1490" s="15" t="str" cm="1">
        <f t="array" ref="P1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0" s="15" t="str" cm="1">
        <f t="array" ref="Q1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canciones/nuevas/yo_os_dare_la_fuerza.html</v>
      </c>
      <c r="S1490" s="1"/>
      <c r="T1490" s="1"/>
      <c r="U1490" s="1"/>
      <c r="V1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data-author="Sagrario Ruiz"&gt;&lt;a href="canciones/nuevas/yo_os_dare_la_fuerza.html"&gt;Yo os daré la fuerza&lt;/a&gt;&lt;/li&gt;</v>
      </c>
      <c r="W1490" s="15" t="str">
        <f>_xlfn.TEXTBEFORE(_xlfn.TEXTAFTER(CantoralDB[[#This Row],[index.html]],"&gt;"),"&gt;")&amp;"&gt;"</f>
        <v>&lt;a href="canciones/nuevas/yo_os_dare_la_fuerza.html"&gt;</v>
      </c>
    </row>
    <row r="1491" spans="1:23" x14ac:dyDescent="0.3">
      <c r="A1491" s="1">
        <f>ROW(CantoralDB[[#This Row],[Título]])-1</f>
        <v>1490</v>
      </c>
      <c r="B1491" s="1" t="s">
        <v>2166</v>
      </c>
      <c r="C1491" s="15"/>
      <c r="H1491" s="1" t="s">
        <v>531</v>
      </c>
      <c r="J1491" s="1" t="s">
        <v>608</v>
      </c>
      <c r="M1491" s="15" t="s">
        <v>573</v>
      </c>
      <c r="N1491" s="15"/>
      <c r="O1491" s="15"/>
      <c r="P1491" s="15" t="str" cm="1">
        <f t="array" ref="P1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1" s="15" t="str" cm="1">
        <f t="array" ref="Q1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R1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canciones/nuevas/estas_aqui_jesus.html</v>
      </c>
      <c r="S1491" s="1"/>
      <c r="T1491" s="1"/>
      <c r="U1491" s="1"/>
      <c r="V1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data-author="Salomé Arricibita"&gt;&lt;a href="canciones/nuevas/estas_aqui_jesus.html"&gt;Estás aquí, Jesús&lt;/a&gt;&lt;/li&gt;</v>
      </c>
      <c r="W1491" s="15" t="str">
        <f>_xlfn.TEXTBEFORE(_xlfn.TEXTAFTER(CantoralDB[[#This Row],[index.html]],"&gt;"),"&gt;")&amp;"&gt;"</f>
        <v>&lt;a href="canciones/nuevas/estas_aqui_jesus.html"&gt;</v>
      </c>
    </row>
    <row r="1492" spans="1:23" x14ac:dyDescent="0.3">
      <c r="A1492" s="1">
        <f>ROW(CantoralDB[[#This Row],[Título]])-1</f>
        <v>1491</v>
      </c>
      <c r="B1492" s="1" t="s">
        <v>176</v>
      </c>
      <c r="C1492" s="1" t="s">
        <v>993</v>
      </c>
      <c r="D1492" s="1" t="s">
        <v>693</v>
      </c>
      <c r="G1492" s="1" t="s">
        <v>209</v>
      </c>
      <c r="H1492" s="1" t="s">
        <v>473</v>
      </c>
      <c r="J1492" s="1" t="s">
        <v>608</v>
      </c>
      <c r="M1492" s="15" t="s">
        <v>573</v>
      </c>
      <c r="N1492" s="15"/>
      <c r="O1492" s="15"/>
      <c r="P1492" s="15" t="str" cm="1">
        <f t="array" ref="P1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92" s="15" t="str" cm="1">
        <f t="array" ref="Q1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canciones/nsb/dime_como_ser_pan.html</v>
      </c>
      <c r="S1492" s="1"/>
      <c r="T1492" s="1"/>
      <c r="U1492" s="1"/>
      <c r="V1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data-author="Salomé Arricibita" data-momento="Comunión" data-nnew="K20"&gt;&lt;a href="canciones/nsb/dime_como_ser_pan.html"&gt;Dime cómo ser pan&lt;/a&gt;&lt;/li&gt;</v>
      </c>
      <c r="W1492" s="15" t="str">
        <f>_xlfn.TEXTBEFORE(_xlfn.TEXTAFTER(CantoralDB[[#This Row],[index.html]],"&gt;"),"&gt;")&amp;"&gt;"</f>
        <v>&lt;a href="canciones/nsb/dime_como_ser_pan.html"&gt;</v>
      </c>
    </row>
    <row r="1493" spans="1:23" x14ac:dyDescent="0.3">
      <c r="A1493" s="1">
        <f>ROW(CantoralDB[[#This Row],[Título]])-1</f>
        <v>1492</v>
      </c>
      <c r="B1493" s="1" t="s">
        <v>583</v>
      </c>
      <c r="C1493" s="1"/>
      <c r="F1493" s="1">
        <v>285</v>
      </c>
      <c r="H1493" s="1" t="s">
        <v>2970</v>
      </c>
      <c r="J1493" s="1" t="s">
        <v>608</v>
      </c>
      <c r="M1493" s="15" t="s">
        <v>2670</v>
      </c>
      <c r="N1493" s="15"/>
      <c r="O1493" s="15"/>
      <c r="P1493" s="15" t="str" cm="1">
        <f t="array" ref="P1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3" s="15" t="str" cm="1">
        <f t="array" ref="Q1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canciones/nuevas/salve_regina.html</v>
      </c>
      <c r="S1493" s="1"/>
      <c r="T1493" s="1"/>
      <c r="U1493" s="1"/>
      <c r="V1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data-author="Salvatore Martínez"&gt;&lt;a href="canciones/nuevas/salve_regina.html"&gt;Salve, Regina&lt;/a&gt;&lt;/li&gt;</v>
      </c>
      <c r="W1493" s="15" t="str">
        <f>_xlfn.TEXTBEFORE(_xlfn.TEXTAFTER(CantoralDB[[#This Row],[index.html]],"&gt;"),"&gt;")&amp;"&gt;"</f>
        <v>&lt;a href="canciones/nuevas/salve_regina.html"&gt;</v>
      </c>
    </row>
    <row r="1494" spans="1:23" x14ac:dyDescent="0.3">
      <c r="A1494" s="1">
        <f>ROW(CantoralDB[[#This Row],[Título]])-1</f>
        <v>1493</v>
      </c>
      <c r="B1494" s="1" t="s">
        <v>2913</v>
      </c>
      <c r="C1494" s="1"/>
      <c r="F1494" s="1">
        <v>309</v>
      </c>
      <c r="H1494" s="1" t="s">
        <v>531</v>
      </c>
      <c r="J1494" s="1" t="s">
        <v>608</v>
      </c>
      <c r="M1494" s="15" t="s">
        <v>2670</v>
      </c>
      <c r="N1494" s="15"/>
      <c r="O1494" s="15"/>
      <c r="P1494" s="15" t="str" cm="1">
        <f t="array" ref="P1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4" s="15" t="str" cm="1">
        <f t="array" ref="Q1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canciones/nuevas/abba_padre_(escuchame).html</v>
      </c>
      <c r="S1494" s="1"/>
      <c r="T1494" s="1"/>
      <c r="U1494" s="1"/>
      <c r="V1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data-author="Salvatore Martínez"&gt;&lt;a href="canciones/nuevas/abba_padre_(escuchame).html"&gt;Abbá, Padre (escúchame)&lt;/a&gt;&lt;/li&gt;</v>
      </c>
      <c r="W1494" s="15" t="str">
        <f>_xlfn.TEXTBEFORE(_xlfn.TEXTAFTER(CantoralDB[[#This Row],[index.html]],"&gt;"),"&gt;")&amp;"&gt;"</f>
        <v>&lt;a href="canciones/nuevas/abba_padre_(escuchame).html"&gt;</v>
      </c>
    </row>
    <row r="1495" spans="1:23" x14ac:dyDescent="0.3">
      <c r="A1495" s="1">
        <f>ROW(CantoralDB[[#This Row],[Título]])-1</f>
        <v>1494</v>
      </c>
      <c r="B1495" s="1" t="s">
        <v>175</v>
      </c>
      <c r="C1495" s="1" t="s">
        <v>993</v>
      </c>
      <c r="D1495" s="1" t="s">
        <v>687</v>
      </c>
      <c r="G1495" s="1" t="s">
        <v>209</v>
      </c>
      <c r="H1495" s="1" t="s">
        <v>1027</v>
      </c>
      <c r="J1495" s="1" t="s">
        <v>608</v>
      </c>
      <c r="M1495" s="15" t="s">
        <v>571</v>
      </c>
      <c r="N1495" s="15"/>
      <c r="O1495" s="15"/>
      <c r="P1495" s="15" t="str" cm="1">
        <f t="array" ref="P1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95" s="15" t="str" cm="1">
        <f t="array" ref="Q1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canciones/nsb/cerca_de_ti_señor.html</v>
      </c>
      <c r="S1495" s="1"/>
      <c r="T1495" s="1"/>
      <c r="U1495" s="1"/>
      <c r="V1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data-author="Sarah Flower Adams" data-momento="Comunión" data-nnew="K14"&gt;&lt;a href="canciones/nsb/cerca_de_ti_señor.html"&gt;Cerca de Ti, Señor&lt;/a&gt;&lt;/li&gt;</v>
      </c>
      <c r="W1495" s="15" t="str">
        <f>_xlfn.TEXTBEFORE(_xlfn.TEXTAFTER(CantoralDB[[#This Row],[index.html]],"&gt;"),"&gt;")&amp;"&gt;"</f>
        <v>&lt;a href="canciones/nsb/cerca_de_ti_señor.html"&gt;</v>
      </c>
    </row>
    <row r="1496" spans="1:23" x14ac:dyDescent="0.3">
      <c r="A1496" s="1">
        <f>ROW(CantoralDB[[#This Row],[Título]])-1</f>
        <v>1495</v>
      </c>
      <c r="B1496" s="1" t="s">
        <v>2454</v>
      </c>
      <c r="C1496" s="1"/>
      <c r="F1496" s="1">
        <v>63</v>
      </c>
      <c r="J1496" s="1"/>
      <c r="M1496" s="15" t="s">
        <v>2455</v>
      </c>
      <c r="N1496" s="15"/>
      <c r="O1496" s="15"/>
      <c r="P1496" s="15" t="str" cm="1">
        <f t="array" ref="P1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496" s="15" t="str" cm="1">
        <f t="array" ref="Q1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canciones/nuevas/hazme_instrumento.html</v>
      </c>
      <c r="S1496" s="1"/>
      <c r="T1496" s="1"/>
      <c r="U1496" s="1"/>
      <c r="V1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data-author="Sebastián Temple"&gt;&lt;a href="canciones/nuevas/hazme_instrumento.html"&gt;Hazme instrumento&lt;/a&gt;&lt;/li&gt;</v>
      </c>
      <c r="W1496" s="15" t="str">
        <f>_xlfn.TEXTBEFORE(_xlfn.TEXTAFTER(CantoralDB[[#This Row],[index.html]],"&gt;"),"&gt;")&amp;"&gt;"</f>
        <v>&lt;a href="canciones/nuevas/hazme_instrumento.html"&gt;</v>
      </c>
    </row>
    <row r="1497" spans="1:23" x14ac:dyDescent="0.3">
      <c r="A1497" s="1">
        <f>ROW(CantoralDB[[#This Row],[Título]])-1</f>
        <v>1496</v>
      </c>
      <c r="B1497" s="1" t="s">
        <v>106</v>
      </c>
      <c r="C1497" s="1" t="s">
        <v>197</v>
      </c>
      <c r="D1497" s="1" t="s">
        <v>1448</v>
      </c>
      <c r="E1497" s="1">
        <v>198</v>
      </c>
      <c r="F1497" s="1">
        <v>203</v>
      </c>
      <c r="G1497" s="1" t="s">
        <v>209</v>
      </c>
      <c r="H1497" s="1" t="s">
        <v>531</v>
      </c>
      <c r="I1497" s="1" t="s">
        <v>2962</v>
      </c>
      <c r="J1497" s="1" t="s">
        <v>608</v>
      </c>
      <c r="M1497" s="15" t="s">
        <v>2878</v>
      </c>
      <c r="N1497" s="15"/>
      <c r="O1497" s="15"/>
      <c r="P1497" s="15" t="str" cm="1">
        <f t="array" ref="P1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97" s="15" t="str" cm="1">
        <f t="array" ref="Q1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canciones/nsb/padre_nuestro_tu_que_estas.html</v>
      </c>
      <c r="S1497" s="1"/>
      <c r="T1497" s="1"/>
      <c r="U1497" s="1"/>
      <c r="V1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data-author="Simon y Garfunkel" data-momento="Padrenuestro" data-nnew="H06" data-nold="198"&gt;&lt;a href="canciones/nsb/padre_nuestro_tu_que_estas.html"&gt;Padre nuestro, tú que estás&lt;/a&gt;&lt;/li&gt;</v>
      </c>
      <c r="W1497" s="15" t="str">
        <f>_xlfn.TEXTBEFORE(_xlfn.TEXTAFTER(CantoralDB[[#This Row],[index.html]],"&gt;"),"&gt;")&amp;"&gt;"</f>
        <v>&lt;a href="canciones/nsb/padre_nuestro_tu_que_estas.html"&gt;</v>
      </c>
    </row>
    <row r="1498" spans="1:23" x14ac:dyDescent="0.3">
      <c r="A1498" s="1">
        <f>ROW(CantoralDB[[#This Row],[Título]])-1</f>
        <v>1497</v>
      </c>
      <c r="B1498" s="1" t="s">
        <v>556</v>
      </c>
      <c r="C1498" s="1" t="s">
        <v>201</v>
      </c>
      <c r="D1498" s="1" t="s">
        <v>671</v>
      </c>
      <c r="G1498" s="1" t="s">
        <v>553</v>
      </c>
      <c r="H1498" s="1" t="s">
        <v>1027</v>
      </c>
      <c r="J1498" s="1" t="s">
        <v>608</v>
      </c>
      <c r="M1498" s="15" t="s">
        <v>612</v>
      </c>
      <c r="N1498" s="15"/>
      <c r="O1498" s="15"/>
      <c r="P1498" s="15" t="str" cm="1">
        <f t="array" ref="P1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98" s="15" t="str" cm="1">
        <f t="array" ref="Q1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canciones/nsb/quiero_caminar.html</v>
      </c>
      <c r="S1498" s="1"/>
      <c r="T1498" s="1"/>
      <c r="U1498" s="1"/>
      <c r="V1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data-author="Sor Trini - Hijas de la Caridad" data-momento="Antífonas" data-nnew="D33"&gt;&lt;a href="canciones/nsb/quiero_caminar.html"&gt;Quiero caminar&lt;/a&gt;&lt;/li&gt;</v>
      </c>
      <c r="W1498" s="15" t="str">
        <f>_xlfn.TEXTBEFORE(_xlfn.TEXTAFTER(CantoralDB[[#This Row],[index.html]],"&gt;"),"&gt;")&amp;"&gt;"</f>
        <v>&lt;a href="canciones/nsb/quiero_caminar.html"&gt;</v>
      </c>
    </row>
    <row r="1499" spans="1:23" x14ac:dyDescent="0.3">
      <c r="A1499" s="1">
        <f>ROW(CantoralDB[[#This Row],[Título]])-1</f>
        <v>1498</v>
      </c>
      <c r="B1499" s="1" t="s">
        <v>115</v>
      </c>
      <c r="C1499" s="1" t="s">
        <v>191</v>
      </c>
      <c r="D1499" s="1" t="s">
        <v>747</v>
      </c>
      <c r="E1499" s="1">
        <v>449</v>
      </c>
      <c r="F1499" s="1">
        <v>215</v>
      </c>
      <c r="G1499" s="1" t="s">
        <v>209</v>
      </c>
      <c r="H1499" s="1" t="s">
        <v>1029</v>
      </c>
      <c r="J1499" s="1" t="s">
        <v>608</v>
      </c>
      <c r="M1499" s="15" t="s">
        <v>587</v>
      </c>
      <c r="N1499" s="15"/>
      <c r="O1499" s="15"/>
      <c r="P1499" s="15" t="str" cm="1">
        <f t="array" ref="P1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499" s="15" t="str" cm="1">
        <f t="array" ref="Q1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canciones/nsb/preparad_el_camino_al_señor.html</v>
      </c>
      <c r="S1499" s="1" t="s">
        <v>855</v>
      </c>
      <c r="T1499" s="1"/>
      <c r="U1499" s="1"/>
      <c r="V1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data-author="Stephen Schwartz" data-momento="Entrada" data-nnew="A27" data-nold="449"&gt;&lt;a href="canciones/nsb/preparad_el_camino_al_señor.html"&gt;Preparad el camino al Señor&lt;/a&gt;&lt;/li&gt;</v>
      </c>
      <c r="W1499" s="15" t="str">
        <f>_xlfn.TEXTBEFORE(_xlfn.TEXTAFTER(CantoralDB[[#This Row],[index.html]],"&gt;"),"&gt;")&amp;"&gt;"</f>
        <v>&lt;a href="canciones/nsb/preparad_el_camino_al_señor.html"&gt;</v>
      </c>
    </row>
    <row r="1500" spans="1:23" x14ac:dyDescent="0.3">
      <c r="A1500" s="1">
        <f>ROW(CantoralDB[[#This Row],[Título]])-1</f>
        <v>1499</v>
      </c>
      <c r="B1500" s="1" t="s">
        <v>2687</v>
      </c>
      <c r="C1500" s="1"/>
      <c r="F1500" s="1">
        <v>302</v>
      </c>
      <c r="J1500" s="1"/>
      <c r="M1500" s="15" t="s">
        <v>2688</v>
      </c>
      <c r="N1500" s="15"/>
      <c r="O1500" s="15"/>
      <c r="P1500" s="15" t="str" cm="1">
        <f t="array" ref="P1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0" s="15" t="str" cm="1">
        <f t="array" ref="Q1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canciones/nuevas/dios_el_mas_grande.html</v>
      </c>
      <c r="S1500" s="1"/>
      <c r="T1500" s="1"/>
      <c r="U1500" s="1"/>
      <c r="V1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data-author="Steve McEwan"&gt;&lt;a href="canciones/nuevas/dios_el_mas_grande.html"&gt;Dios, el más grande&lt;/a&gt;&lt;/li&gt;</v>
      </c>
      <c r="W1500" s="15" t="str">
        <f>_xlfn.TEXTBEFORE(_xlfn.TEXTAFTER(CantoralDB[[#This Row],[index.html]],"&gt;"),"&gt;")&amp;"&gt;"</f>
        <v>&lt;a href="canciones/nuevas/dios_el_mas_grande.html"&gt;</v>
      </c>
    </row>
    <row r="1501" spans="1:23" x14ac:dyDescent="0.3">
      <c r="A1501" s="1">
        <f>ROW(CantoralDB[[#This Row],[Título]])-1</f>
        <v>1500</v>
      </c>
      <c r="B1501" s="1" t="s">
        <v>2169</v>
      </c>
      <c r="C1501" s="15"/>
      <c r="F1501" s="1">
        <v>101</v>
      </c>
      <c r="H1501" s="1" t="s">
        <v>1027</v>
      </c>
      <c r="J1501" s="1" t="s">
        <v>608</v>
      </c>
      <c r="M1501" s="15" t="s">
        <v>2181</v>
      </c>
      <c r="N1501" s="15"/>
      <c r="O1501" s="15"/>
      <c r="P1501" s="15" t="str" cm="1">
        <f t="array" ref="P1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501" s="15" t="str" cm="1">
        <f t="array" ref="Q1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canciones/nuevas/mas_de_ti_menos_de_mi.html</v>
      </c>
      <c r="S1501" s="1"/>
      <c r="T1501" s="1"/>
      <c r="U1501" s="1"/>
      <c r="V1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data-author="Steve Merkel"&gt;&lt;a href="canciones/nuevas/mas_de_ti_menos_de_mi.html"&gt;Más de ti, menos de mí&lt;/a&gt;&lt;/li&gt;</v>
      </c>
      <c r="W1501" s="15" t="str">
        <f>_xlfn.TEXTBEFORE(_xlfn.TEXTAFTER(CantoralDB[[#This Row],[index.html]],"&gt;"),"&gt;")&amp;"&gt;"</f>
        <v>&lt;a href="canciones/nuevas/mas_de_ti_menos_de_mi.html"&gt;</v>
      </c>
    </row>
    <row r="1502" spans="1:23" x14ac:dyDescent="0.3">
      <c r="A1502" s="1">
        <f>ROW(CantoralDB[[#This Row],[Título]])-1</f>
        <v>1501</v>
      </c>
      <c r="B1502" s="1" t="s">
        <v>168</v>
      </c>
      <c r="C1502" s="1" t="s">
        <v>993</v>
      </c>
      <c r="D1502" s="1" t="s">
        <v>1019</v>
      </c>
      <c r="E1502" s="1">
        <v>477</v>
      </c>
      <c r="F1502" s="1">
        <v>57</v>
      </c>
      <c r="G1502" s="1" t="s">
        <v>209</v>
      </c>
      <c r="H1502" s="1" t="s">
        <v>1030</v>
      </c>
      <c r="J1502" s="1" t="s">
        <v>608</v>
      </c>
      <c r="M1502" s="15" t="s">
        <v>581</v>
      </c>
      <c r="N1502" s="15"/>
      <c r="O1502" s="15"/>
      <c r="P1502" s="15" t="str" cm="1">
        <f t="array" ref="P1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502" s="15" t="str" cm="1">
        <f t="array" ref="Q1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canciones/nsb/yo_soy_el_pan_de_vida.html</v>
      </c>
      <c r="S1502" s="1" t="s">
        <v>869</v>
      </c>
      <c r="T1502" s="1"/>
      <c r="U1502" s="1"/>
      <c r="V1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data-author="Suzanne Toolan" data-momento="Comunión" data-nnew="K82" data-nold="477"&gt;&lt;a href="canciones/nsb/yo_soy_el_pan_de_vida.html"&gt;Yo soy el Pan de Vida&lt;/a&gt;&lt;/li&gt;</v>
      </c>
      <c r="W1502" s="15" t="str">
        <f>_xlfn.TEXTBEFORE(_xlfn.TEXTAFTER(CantoralDB[[#This Row],[index.html]],"&gt;"),"&gt;")&amp;"&gt;"</f>
        <v>&lt;a href="canciones/nsb/yo_soy_el_pan_de_vida.html"&gt;</v>
      </c>
    </row>
    <row r="1503" spans="1:23" x14ac:dyDescent="0.3">
      <c r="A1503" s="1">
        <f>ROW(CantoralDB[[#This Row],[Título]])-1</f>
        <v>1502</v>
      </c>
      <c r="B1503" s="1" t="s">
        <v>39</v>
      </c>
      <c r="C1503" s="1" t="s">
        <v>993</v>
      </c>
      <c r="D1503" s="1" t="s">
        <v>690</v>
      </c>
      <c r="E1503" s="1">
        <v>65</v>
      </c>
      <c r="G1503" s="1" t="s">
        <v>209</v>
      </c>
      <c r="H1503" s="1" t="s">
        <v>473</v>
      </c>
      <c r="I1503" s="1" t="s">
        <v>2959</v>
      </c>
      <c r="J1503" s="1" t="s">
        <v>608</v>
      </c>
      <c r="M1503" s="15" t="s">
        <v>268</v>
      </c>
      <c r="N1503" s="15"/>
      <c r="O1503" s="15"/>
      <c r="P1503" s="15" t="str" cm="1">
        <f t="array" ref="P1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03" s="15" t="str" cm="1">
        <f t="array" ref="Q1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canciones/taize/cristo_ha_resucitado.html</v>
      </c>
      <c r="S1503" s="1"/>
      <c r="T1503" s="1"/>
      <c r="U1503" s="1"/>
      <c r="V1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 data-momento="Comunión" data-nnew="K17" data-nold="65"&gt;&lt;a href="canciones/taize/cristo_ha_resucitado.html"&gt;Cristo ha resucitado&lt;/a&gt;&lt;/li&gt;</v>
      </c>
      <c r="W1503" s="15" t="str">
        <f>_xlfn.TEXTBEFORE(_xlfn.TEXTAFTER(CantoralDB[[#This Row],[index.html]],"&gt;"),"&gt;")&amp;"&gt;"</f>
        <v>&lt;a href="canciones/taize/cristo_ha_resucitado.html"&gt;</v>
      </c>
    </row>
    <row r="1504" spans="1:23" x14ac:dyDescent="0.3">
      <c r="A1504" s="1">
        <f>ROW(CantoralDB[[#This Row],[Título]])-1</f>
        <v>1503</v>
      </c>
      <c r="B1504" s="1" t="s">
        <v>421</v>
      </c>
      <c r="C1504" s="1" t="s">
        <v>1022</v>
      </c>
      <c r="E1504" s="1">
        <v>187</v>
      </c>
      <c r="H1504" s="1" t="s">
        <v>1027</v>
      </c>
      <c r="J1504" s="1" t="s">
        <v>608</v>
      </c>
      <c r="M1504" s="15" t="s">
        <v>268</v>
      </c>
      <c r="N1504" s="15"/>
      <c r="O1504" s="15"/>
      <c r="P1504" s="15" t="str" cm="1">
        <f t="array" ref="P1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04" s="15" t="str" cm="1">
        <f t="array" ref="Q1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S1504" s="1"/>
      <c r="T1504" s="1" t="s">
        <v>421</v>
      </c>
      <c r="U1504" s="1"/>
      <c r="V1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 data-momento="TaizéORIG" data-nold="187"&gt;&lt;a href="canciones/taize/o_christe_domine_jesu.html"&gt;O Christe Domine Jesu&lt;/a&gt;&lt;/li&gt;</v>
      </c>
      <c r="W1504" s="15" t="str">
        <f>_xlfn.TEXTBEFORE(_xlfn.TEXTAFTER(CantoralDB[[#This Row],[index.html]],"&gt;"),"&gt;")&amp;"&gt;"</f>
        <v>&lt;a href="canciones/taize/o_christe_domine_jesu.html"&gt;</v>
      </c>
    </row>
    <row r="1505" spans="1:23" x14ac:dyDescent="0.3">
      <c r="A1505" s="1">
        <f>ROW(CantoralDB[[#This Row],[Título]])-1</f>
        <v>1504</v>
      </c>
      <c r="B1505" s="1" t="s">
        <v>2818</v>
      </c>
      <c r="C1505" s="1"/>
      <c r="F1505" s="1">
        <v>421</v>
      </c>
      <c r="J1505" s="1"/>
      <c r="M1505" s="15" t="s">
        <v>268</v>
      </c>
      <c r="N1505" s="15"/>
      <c r="O1505" s="15"/>
      <c r="P1505" s="15" t="str" cm="1">
        <f t="array" ref="P1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05" s="15" t="str" cm="1">
        <f t="array" ref="Q1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canciones/taize/oh_pobreza.html</v>
      </c>
      <c r="S1505" s="1"/>
      <c r="T1505" s="1"/>
      <c r="U1505" s="1"/>
      <c r="V1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data-author="Taizé"&gt;&lt;a href="canciones/taize/oh_pobreza.html"&gt;Oh, pobreza&lt;/a&gt;&lt;/li&gt;</v>
      </c>
      <c r="W1505" s="15" t="str">
        <f>_xlfn.TEXTBEFORE(_xlfn.TEXTAFTER(CantoralDB[[#This Row],[index.html]],"&gt;"),"&gt;")&amp;"&gt;"</f>
        <v>&lt;a href="canciones/taize/oh_pobreza.html"&gt;</v>
      </c>
    </row>
    <row r="1506" spans="1:23" x14ac:dyDescent="0.3">
      <c r="A1506" s="1">
        <f>ROW(CantoralDB[[#This Row],[Título]])-1</f>
        <v>1505</v>
      </c>
      <c r="B1506" s="1" t="s">
        <v>929</v>
      </c>
      <c r="C1506" s="1" t="s">
        <v>1021</v>
      </c>
      <c r="D1506" s="1" t="s">
        <v>1138</v>
      </c>
      <c r="E1506" s="1">
        <v>157</v>
      </c>
      <c r="H1506" s="1" t="s">
        <v>531</v>
      </c>
      <c r="I1506" s="1" t="s">
        <v>2960</v>
      </c>
      <c r="J1506" s="1" t="s">
        <v>608</v>
      </c>
      <c r="M1506" s="15" t="s">
        <v>1940</v>
      </c>
      <c r="N1506" s="15"/>
      <c r="O1506" s="15"/>
      <c r="P1506" s="15" t="str" cm="1">
        <f t="array" ref="P1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06" s="15" t="str" cm="1">
        <f t="array" ref="Q1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S1506" s="1" t="s">
        <v>977</v>
      </c>
      <c r="T1506" s="1" t="s">
        <v>413</v>
      </c>
      <c r="U1506" s="1"/>
      <c r="V1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data-nnew="Q62" data-nold="157"&gt;&lt;a href="canciones/taize/misericordias_domini.html"&gt;La misericordia del Señor&lt;/a&gt;&lt;/li&gt;</v>
      </c>
      <c r="W1506" s="15" t="str">
        <f>_xlfn.TEXTBEFORE(_xlfn.TEXTAFTER(CantoralDB[[#This Row],[index.html]],"&gt;"),"&gt;")&amp;"&gt;"</f>
        <v>&lt;a href="canciones/taize/misericordias_domini.html"&gt;</v>
      </c>
    </row>
    <row r="1507" spans="1:23" x14ac:dyDescent="0.3">
      <c r="A1507" s="1">
        <f>ROW(CantoralDB[[#This Row],[Título]])-1</f>
        <v>1506</v>
      </c>
      <c r="B1507" s="1" t="s">
        <v>2865</v>
      </c>
      <c r="C1507" s="1" t="s">
        <v>1021</v>
      </c>
      <c r="E1507" s="1">
        <v>187</v>
      </c>
      <c r="H1507" s="1" t="s">
        <v>1027</v>
      </c>
      <c r="J1507" s="1" t="s">
        <v>608</v>
      </c>
      <c r="M1507" s="15" t="s">
        <v>1940</v>
      </c>
      <c r="N1507" s="15"/>
      <c r="O1507" s="15"/>
      <c r="P1507" s="15" t="str" cm="1">
        <f t="array" ref="P1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07" s="15" t="str" cm="1">
        <f t="array" ref="Q1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S1507" s="1"/>
      <c r="T1507" s="1" t="s">
        <v>421</v>
      </c>
      <c r="U1507" s="1"/>
      <c r="V1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data-nold="187"&gt;&lt;a href="canciones/taize/o_christe_domine_jesu.html"&gt;Tú, Cristo, oh, Jesucristo&lt;/a&gt;&lt;/li&gt;</v>
      </c>
      <c r="W1507" s="15" t="str">
        <f>_xlfn.TEXTBEFORE(_xlfn.TEXTAFTER(CantoralDB[[#This Row],[index.html]],"&gt;"),"&gt;")&amp;"&gt;"</f>
        <v>&lt;a href="canciones/taize/o_christe_domine_jesu.html"&gt;</v>
      </c>
    </row>
    <row r="1508" spans="1:23" x14ac:dyDescent="0.3">
      <c r="A1508" s="1">
        <f>ROW(CantoralDB[[#This Row],[Título]])-1</f>
        <v>1507</v>
      </c>
      <c r="B1508" s="1" t="s">
        <v>942</v>
      </c>
      <c r="C1508" s="1" t="s">
        <v>1021</v>
      </c>
      <c r="D1508" s="1" t="s">
        <v>1117</v>
      </c>
      <c r="E1508" s="1">
        <v>466</v>
      </c>
      <c r="H1508" s="1" t="s">
        <v>531</v>
      </c>
      <c r="I1508" s="1" t="s">
        <v>2960</v>
      </c>
      <c r="J1508" s="1" t="s">
        <v>608</v>
      </c>
      <c r="M1508" s="15" t="s">
        <v>1940</v>
      </c>
      <c r="N1508" s="15"/>
      <c r="O1508" s="15"/>
      <c r="P1508" s="15" t="str" cm="1">
        <f t="array" ref="P1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08" s="15" t="str" cm="1">
        <f t="array" ref="Q1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S1508" s="1"/>
      <c r="T1508" s="1" t="s">
        <v>456</v>
      </c>
      <c r="U1508" s="1"/>
      <c r="V1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data-nnew="Q78" data-nold="466"&gt;&lt;a href="canciones/taize/ubi_caritas.html"&gt;Donde hay amor&lt;/a&gt;&lt;/li&gt;</v>
      </c>
      <c r="W1508" s="15" t="str">
        <f>_xlfn.TEXTBEFORE(_xlfn.TEXTAFTER(CantoralDB[[#This Row],[index.html]],"&gt;"),"&gt;")&amp;"&gt;"</f>
        <v>&lt;a href="canciones/taize/ubi_caritas.html"&gt;</v>
      </c>
    </row>
    <row r="1509" spans="1:23" x14ac:dyDescent="0.3">
      <c r="A1509" s="1">
        <f>ROW(CantoralDB[[#This Row],[Título]])-1</f>
        <v>1508</v>
      </c>
      <c r="B1509" s="1" t="s">
        <v>409</v>
      </c>
      <c r="C1509" s="1" t="s">
        <v>1021</v>
      </c>
      <c r="D1509" s="1" t="s">
        <v>1142</v>
      </c>
      <c r="F1509" s="1">
        <v>68</v>
      </c>
      <c r="H1509" s="1" t="s">
        <v>1030</v>
      </c>
      <c r="J1509" s="1" t="s">
        <v>608</v>
      </c>
      <c r="M1509" s="15" t="s">
        <v>1940</v>
      </c>
      <c r="N1509" s="15"/>
      <c r="O1509" s="15"/>
      <c r="P1509" s="15" t="str" cm="1">
        <f t="array" ref="P1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09" s="15" t="str" cm="1">
        <f t="array" ref="Q1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S1509" s="1" t="s">
        <v>976</v>
      </c>
      <c r="T1509" s="1" t="s">
        <v>409</v>
      </c>
      <c r="U1509" s="1"/>
      <c r="V1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data-nnew="Q61"&gt;&lt;a href="canciones/taize/magnificat_(canon).html"&gt;Magnificat (canon)&lt;/a&gt;&lt;/li&gt;</v>
      </c>
      <c r="W1509" s="15" t="str">
        <f>_xlfn.TEXTBEFORE(_xlfn.TEXTAFTER(CantoralDB[[#This Row],[index.html]],"&gt;"),"&gt;")&amp;"&gt;"</f>
        <v>&lt;a href="canciones/taize/magnificat_(canon).html"&gt;</v>
      </c>
    </row>
    <row r="1510" spans="1:23" x14ac:dyDescent="0.3">
      <c r="A1510" s="1">
        <f>ROW(CantoralDB[[#This Row],[Título]])-1</f>
        <v>1509</v>
      </c>
      <c r="B1510" s="1" t="s">
        <v>895</v>
      </c>
      <c r="C1510" s="1" t="s">
        <v>1021</v>
      </c>
      <c r="D1510" s="1" t="s">
        <v>1099</v>
      </c>
      <c r="F1510" s="1">
        <v>423</v>
      </c>
      <c r="H1510" s="1" t="s">
        <v>531</v>
      </c>
      <c r="I1510" s="1" t="s">
        <v>2962</v>
      </c>
      <c r="J1510" s="1" t="s">
        <v>608</v>
      </c>
      <c r="M1510" s="15" t="s">
        <v>1940</v>
      </c>
      <c r="N1510" s="15"/>
      <c r="O1510" s="15"/>
      <c r="P1510" s="15" t="str" cm="1">
        <f t="array" ref="P1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10" s="15" t="str" cm="1">
        <f t="array" ref="Q1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S1510" s="1" t="s">
        <v>957</v>
      </c>
      <c r="T1510" s="1" t="s">
        <v>332</v>
      </c>
      <c r="U1510" s="1"/>
      <c r="V1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data-nnew="Q24"&gt;&lt;a href="canciones/taize/confitemini_domino.html"&gt;Llénanos, Señor, de tu paz&lt;/a&gt;&lt;/li&gt;</v>
      </c>
      <c r="W1510" s="15" t="str">
        <f>_xlfn.TEXTBEFORE(_xlfn.TEXTAFTER(CantoralDB[[#This Row],[index.html]],"&gt;"),"&gt;")&amp;"&gt;"</f>
        <v>&lt;a href="canciones/taize/confitemini_domino.html"&gt;</v>
      </c>
    </row>
    <row r="1511" spans="1:23" x14ac:dyDescent="0.3">
      <c r="A1511" s="1">
        <f>ROW(CantoralDB[[#This Row],[Título]])-1</f>
        <v>1510</v>
      </c>
      <c r="B1511" s="1" t="s">
        <v>927</v>
      </c>
      <c r="C1511" s="1" t="s">
        <v>1021</v>
      </c>
      <c r="D1511" s="1" t="s">
        <v>1140</v>
      </c>
      <c r="F1511" s="1">
        <v>429</v>
      </c>
      <c r="H1511" s="1" t="s">
        <v>531</v>
      </c>
      <c r="I1511" s="1" t="s">
        <v>2961</v>
      </c>
      <c r="J1511" s="1" t="s">
        <v>608</v>
      </c>
      <c r="M1511" s="15" t="s">
        <v>1940</v>
      </c>
      <c r="N1511" s="15"/>
      <c r="O1511" s="15"/>
      <c r="P1511" s="15" t="str" cm="1">
        <f t="array" ref="P1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11" s="15" t="str" cm="1">
        <f t="array" ref="Q1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S1511" s="1" t="s">
        <v>974</v>
      </c>
      <c r="T1511" s="1" t="s">
        <v>785</v>
      </c>
      <c r="U1511" s="1"/>
      <c r="V1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data-nnew="Q59"&gt;&lt;a href="canciones/taize/laudate_omnes_gentes.html"&gt;Que todo el mundo alabe&lt;/a&gt;&lt;/li&gt;</v>
      </c>
      <c r="W1511" s="15" t="str">
        <f>_xlfn.TEXTBEFORE(_xlfn.TEXTAFTER(CantoralDB[[#This Row],[index.html]],"&gt;"),"&gt;")&amp;"&gt;"</f>
        <v>&lt;a href="canciones/taize/laudate_omnes_gentes.html"&gt;</v>
      </c>
    </row>
    <row r="1512" spans="1:23" x14ac:dyDescent="0.3">
      <c r="A1512" s="1">
        <f>ROW(CantoralDB[[#This Row],[Título]])-1</f>
        <v>1511</v>
      </c>
      <c r="B1512" s="1" t="s">
        <v>914</v>
      </c>
      <c r="C1512" s="1" t="s">
        <v>1021</v>
      </c>
      <c r="D1512" s="1" t="s">
        <v>1077</v>
      </c>
      <c r="H1512" s="1" t="s">
        <v>531</v>
      </c>
      <c r="I1512" s="1" t="s">
        <v>2962</v>
      </c>
      <c r="J1512" s="1" t="s">
        <v>608</v>
      </c>
      <c r="M1512" s="15" t="s">
        <v>1940</v>
      </c>
      <c r="N1512" s="15"/>
      <c r="O1512" s="15"/>
      <c r="P1512" s="15" t="str" cm="1">
        <f t="array" ref="P1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12" s="15" t="str" cm="1">
        <f t="array" ref="Q1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S1512" s="1"/>
      <c r="T1512" s="1" t="s">
        <v>371</v>
      </c>
      <c r="U1512" s="1"/>
      <c r="V1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data-nnew="Q46"&gt;&lt;a href="canciones/taize/in_resurrectione_tua.html"&gt;Alégrense el Cielo y la Tierra&lt;/a&gt;&lt;/li&gt;</v>
      </c>
      <c r="W1512" s="15" t="str">
        <f>_xlfn.TEXTBEFORE(_xlfn.TEXTAFTER(CantoralDB[[#This Row],[index.html]],"&gt;"),"&gt;")&amp;"&gt;"</f>
        <v>&lt;a href="canciones/taize/in_resurrectione_tua.html"&gt;</v>
      </c>
    </row>
    <row r="1513" spans="1:23" x14ac:dyDescent="0.3">
      <c r="A1513" s="1">
        <f>ROW(CantoralDB[[#This Row],[Título]])-1</f>
        <v>1512</v>
      </c>
      <c r="B1513" s="1" t="s">
        <v>885</v>
      </c>
      <c r="C1513" s="1" t="s">
        <v>1021</v>
      </c>
      <c r="D1513" s="1" t="s">
        <v>1087</v>
      </c>
      <c r="H1513" s="1" t="s">
        <v>531</v>
      </c>
      <c r="I1513" s="1" t="s">
        <v>2962</v>
      </c>
      <c r="J1513" s="1" t="s">
        <v>608</v>
      </c>
      <c r="M1513" s="15" t="s">
        <v>1940</v>
      </c>
      <c r="N1513" s="15"/>
      <c r="O1513" s="15"/>
      <c r="P1513" s="15" t="str" cm="1">
        <f t="array" ref="P1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13" s="15" t="str" cm="1">
        <f t="array" ref="Q1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S1513" s="1" t="s">
        <v>951</v>
      </c>
      <c r="T1513" s="1" t="s">
        <v>316</v>
      </c>
      <c r="U1513" s="1"/>
      <c r="V1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data-nnew="Q15"&gt;&lt;a href="canciones/taize/benissez_le_seigneur.html"&gt;Bendecid al Señor&lt;/a&gt;&lt;/li&gt;</v>
      </c>
      <c r="W1513" s="15" t="str">
        <f>_xlfn.TEXTBEFORE(_xlfn.TEXTAFTER(CantoralDB[[#This Row],[index.html]],"&gt;"),"&gt;")&amp;"&gt;"</f>
        <v>&lt;a href="canciones/taize/benissez_le_seigneur.html"&gt;</v>
      </c>
    </row>
    <row r="1514" spans="1:23" x14ac:dyDescent="0.3">
      <c r="A1514" s="1">
        <f>ROW(CantoralDB[[#This Row],[Título]])-1</f>
        <v>1513</v>
      </c>
      <c r="B1514" s="1" t="s">
        <v>937</v>
      </c>
      <c r="C1514" s="1" t="s">
        <v>1021</v>
      </c>
      <c r="D1514" s="1" t="s">
        <v>1101</v>
      </c>
      <c r="H1514" s="1" t="s">
        <v>531</v>
      </c>
      <c r="I1514" s="1" t="s">
        <v>2962</v>
      </c>
      <c r="J1514" s="1" t="s">
        <v>608</v>
      </c>
      <c r="M1514" s="15" t="s">
        <v>1940</v>
      </c>
      <c r="N1514" s="15"/>
      <c r="O1514" s="15"/>
      <c r="P1514" s="15" t="str" cm="1">
        <f t="array" ref="P1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14" s="15" t="str" cm="1">
        <f t="array" ref="Q1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S1514" s="1"/>
      <c r="T1514" s="1" t="s">
        <v>444</v>
      </c>
      <c r="U1514" s="1"/>
      <c r="V1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data-nnew="Q72"&gt;&lt;a href="canciones/taize/surrexit_christus.html"&gt;Cristo está vivo&lt;/a&gt;&lt;/li&gt;</v>
      </c>
      <c r="W1514" s="15" t="str">
        <f>_xlfn.TEXTBEFORE(_xlfn.TEXTAFTER(CantoralDB[[#This Row],[index.html]],"&gt;"),"&gt;")&amp;"&gt;"</f>
        <v>&lt;a href="canciones/taize/surrexit_christus.html"&gt;</v>
      </c>
    </row>
    <row r="1515" spans="1:23" x14ac:dyDescent="0.3">
      <c r="A1515" s="1">
        <f>ROW(CantoralDB[[#This Row],[Título]])-1</f>
        <v>1514</v>
      </c>
      <c r="B1515" s="1" t="s">
        <v>901</v>
      </c>
      <c r="C1515" s="1" t="s">
        <v>1021</v>
      </c>
      <c r="D1515" s="1" t="s">
        <v>1115</v>
      </c>
      <c r="H1515" s="1" t="s">
        <v>531</v>
      </c>
      <c r="I1515" s="1" t="s">
        <v>2962</v>
      </c>
      <c r="J1515" s="1" t="s">
        <v>608</v>
      </c>
      <c r="M1515" s="15" t="s">
        <v>1940</v>
      </c>
      <c r="N1515" s="15"/>
      <c r="O1515" s="15"/>
      <c r="P1515" s="15" t="str" cm="1">
        <f t="array" ref="P1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15" s="15" t="str" cm="1">
        <f t="array" ref="Q1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S1515" s="1"/>
      <c r="T1515" s="1" t="s">
        <v>340</v>
      </c>
      <c r="U1515" s="1"/>
      <c r="V1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data-nnew="Q32"&gt;&lt;a href="canciones/taize/dieu_ne_peut_que_donner.html"&gt;Dios, que nos ama&lt;/a&gt;&lt;/li&gt;</v>
      </c>
      <c r="W1515" s="15" t="str">
        <f>_xlfn.TEXTBEFORE(_xlfn.TEXTAFTER(CantoralDB[[#This Row],[index.html]],"&gt;"),"&gt;")&amp;"&gt;"</f>
        <v>&lt;a href="canciones/taize/dieu_ne_peut_que_donner.html"&gt;</v>
      </c>
    </row>
    <row r="1516" spans="1:23" x14ac:dyDescent="0.3">
      <c r="A1516" s="1">
        <f>ROW(CantoralDB[[#This Row],[Título]])-1</f>
        <v>1515</v>
      </c>
      <c r="B1516" s="1" t="s">
        <v>917</v>
      </c>
      <c r="C1516" s="1" t="s">
        <v>1021</v>
      </c>
      <c r="D1516" s="1" t="s">
        <v>1130</v>
      </c>
      <c r="H1516" s="1" t="s">
        <v>531</v>
      </c>
      <c r="I1516" s="1" t="s">
        <v>2961</v>
      </c>
      <c r="J1516" s="1" t="s">
        <v>608</v>
      </c>
      <c r="M1516" s="15" t="s">
        <v>1940</v>
      </c>
      <c r="N1516" s="15"/>
      <c r="O1516" s="15"/>
      <c r="P1516" s="15" t="str" cm="1">
        <f t="array" ref="P1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16" s="15" t="str" cm="1">
        <f t="array" ref="Q1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S1516" s="1" t="s">
        <v>970</v>
      </c>
      <c r="T1516" s="1" t="s">
        <v>379</v>
      </c>
      <c r="U1516" s="1"/>
      <c r="V1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data-nnew="Q49"&gt;&lt;a href="canciones/taize/jesus_remember_me.html"&gt;Jesús, acuérdate de mí&lt;/a&gt;&lt;/li&gt;</v>
      </c>
      <c r="W1516" s="15" t="str">
        <f>_xlfn.TEXTBEFORE(_xlfn.TEXTAFTER(CantoralDB[[#This Row],[index.html]],"&gt;"),"&gt;")&amp;"&gt;"</f>
        <v>&lt;a href="canciones/taize/jesus_remember_me.html"&gt;</v>
      </c>
    </row>
    <row r="1517" spans="1:23" x14ac:dyDescent="0.3">
      <c r="A1517" s="1">
        <f>ROW(CantoralDB[[#This Row],[Título]])-1</f>
        <v>1516</v>
      </c>
      <c r="B1517" s="1" t="s">
        <v>919</v>
      </c>
      <c r="C1517" s="1" t="s">
        <v>1021</v>
      </c>
      <c r="D1517" s="1" t="s">
        <v>1132</v>
      </c>
      <c r="H1517" s="1" t="s">
        <v>531</v>
      </c>
      <c r="I1517" s="1" t="s">
        <v>2962</v>
      </c>
      <c r="J1517" s="1" t="s">
        <v>608</v>
      </c>
      <c r="M1517" s="15" t="s">
        <v>1940</v>
      </c>
      <c r="N1517" s="15"/>
      <c r="O1517" s="15"/>
      <c r="P1517" s="15" t="str" cm="1">
        <f t="array" ref="P1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17" s="15" t="str" cm="1">
        <f t="array" ref="Q1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S1517" s="1"/>
      <c r="T1517" s="1" t="s">
        <v>382</v>
      </c>
      <c r="U1517" s="1"/>
      <c r="V1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data-nnew="Q52"&gt;&lt;a href="canciones/taize/jubilate_coeli_(canon).html"&gt;Júbilo en el cielo (canon)&lt;/a&gt;&lt;/li&gt;</v>
      </c>
      <c r="W1517" s="15" t="str">
        <f>_xlfn.TEXTBEFORE(_xlfn.TEXTAFTER(CantoralDB[[#This Row],[index.html]],"&gt;"),"&gt;")&amp;"&gt;"</f>
        <v>&lt;a href="canciones/taize/jubilate_coeli_(canon).html"&gt;</v>
      </c>
    </row>
    <row r="1518" spans="1:23" x14ac:dyDescent="0.3">
      <c r="A1518" s="1">
        <f>ROW(CantoralDB[[#This Row],[Título]])-1</f>
        <v>1517</v>
      </c>
      <c r="B1518" s="1" t="s">
        <v>872</v>
      </c>
      <c r="C1518" s="1" t="s">
        <v>1021</v>
      </c>
      <c r="D1518" s="1" t="s">
        <v>1071</v>
      </c>
      <c r="H1518" s="1" t="s">
        <v>531</v>
      </c>
      <c r="I1518" s="1" t="s">
        <v>2963</v>
      </c>
      <c r="J1518" s="1" t="s">
        <v>608</v>
      </c>
      <c r="M1518" s="15" t="s">
        <v>1940</v>
      </c>
      <c r="N1518" s="15"/>
      <c r="O1518" s="15"/>
      <c r="P1518" s="15" t="str" cm="1">
        <f t="array" ref="P1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18" s="15" t="str" cm="1">
        <f t="array" ref="Q1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S1518" s="1" t="s">
        <v>946</v>
      </c>
      <c r="T1518" s="1" t="s">
        <v>277</v>
      </c>
      <c r="U1518" s="1"/>
      <c r="V1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data-nnew="Q01"&gt;&lt;a href="canciones/taize/aber_du_weisst_den_weg_für_mich.html"&gt;Mas tú sabes que senda es para mí&lt;/a&gt;&lt;/li&gt;</v>
      </c>
      <c r="W1518" s="15" t="str">
        <f>_xlfn.TEXTBEFORE(_xlfn.TEXTAFTER(CantoralDB[[#This Row],[index.html]],"&gt;"),"&gt;")&amp;"&gt;"</f>
        <v>&lt;a href="canciones/taize/aber_du_weisst_den_weg_für_mich.html"&gt;</v>
      </c>
    </row>
    <row r="1519" spans="1:23" x14ac:dyDescent="0.3">
      <c r="A1519" s="1">
        <f>ROW(CantoralDB[[#This Row],[Título]])-1</f>
        <v>1518</v>
      </c>
      <c r="B1519" s="1" t="s">
        <v>913</v>
      </c>
      <c r="C1519" s="1" t="s">
        <v>1021</v>
      </c>
      <c r="D1519" s="1" t="s">
        <v>1129</v>
      </c>
      <c r="H1519" s="1" t="s">
        <v>531</v>
      </c>
      <c r="I1519" s="1" t="s">
        <v>2962</v>
      </c>
      <c r="J1519" s="1" t="s">
        <v>608</v>
      </c>
      <c r="M1519" s="15" t="s">
        <v>1940</v>
      </c>
      <c r="N1519" s="15"/>
      <c r="O1519" s="15"/>
      <c r="P1519" s="15" t="str" cm="1">
        <f t="array" ref="P1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19" s="15" t="str" cm="1">
        <f t="array" ref="Q1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S1519" s="1" t="s">
        <v>969</v>
      </c>
      <c r="T1519" s="1" t="s">
        <v>370</v>
      </c>
      <c r="U1519" s="1"/>
      <c r="V1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data-nnew="Q45"&gt;&lt;a href="canciones/taize/in_manus_tuas.html"&gt;Oh, Padre, entre tus manos&lt;/a&gt;&lt;/li&gt;</v>
      </c>
      <c r="W1519" s="15" t="str">
        <f>_xlfn.TEXTBEFORE(_xlfn.TEXTAFTER(CantoralDB[[#This Row],[index.html]],"&gt;"),"&gt;")&amp;"&gt;"</f>
        <v>&lt;a href="canciones/taize/in_manus_tuas.html"&gt;</v>
      </c>
    </row>
    <row r="1520" spans="1:23" x14ac:dyDescent="0.3">
      <c r="A1520" s="1">
        <f>ROW(CantoralDB[[#This Row],[Título]])-1</f>
        <v>1519</v>
      </c>
      <c r="B1520" s="1" t="s">
        <v>931</v>
      </c>
      <c r="C1520" s="1" t="s">
        <v>1021</v>
      </c>
      <c r="D1520" s="1" t="s">
        <v>1144</v>
      </c>
      <c r="H1520" s="1" t="s">
        <v>531</v>
      </c>
      <c r="J1520" s="1" t="s">
        <v>608</v>
      </c>
      <c r="M1520" s="15" t="s">
        <v>1940</v>
      </c>
      <c r="N1520" s="15"/>
      <c r="O1520" s="15"/>
      <c r="P1520" s="15" t="str" cm="1">
        <f t="array" ref="P1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0" s="15" t="str" cm="1">
        <f t="array" ref="Q1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S1520" s="1"/>
      <c r="T1520" s="1" t="s">
        <v>425</v>
      </c>
      <c r="U1520" s="1"/>
      <c r="V1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data-nnew="Q65"&gt;&lt;a href="canciones/taize/para_mim_ser_feliz.html"&gt;Para mí ser feliz&lt;/a&gt;&lt;/li&gt;</v>
      </c>
      <c r="W1520" s="15" t="str">
        <f>_xlfn.TEXTBEFORE(_xlfn.TEXTAFTER(CantoralDB[[#This Row],[index.html]],"&gt;"),"&gt;")&amp;"&gt;"</f>
        <v>&lt;a href="canciones/taize/para_mim_ser_feliz.html"&gt;</v>
      </c>
    </row>
    <row r="1521" spans="1:23" x14ac:dyDescent="0.3">
      <c r="A1521" s="1">
        <f>ROW(CantoralDB[[#This Row],[Título]])-1</f>
        <v>1520</v>
      </c>
      <c r="B1521" s="1" t="s">
        <v>883</v>
      </c>
      <c r="C1521" s="1" t="s">
        <v>1021</v>
      </c>
      <c r="D1521" s="1" t="s">
        <v>1086</v>
      </c>
      <c r="H1521" s="1" t="s">
        <v>531</v>
      </c>
      <c r="I1521" s="1" t="s">
        <v>2961</v>
      </c>
      <c r="J1521" s="1" t="s">
        <v>608</v>
      </c>
      <c r="M1521" s="15" t="s">
        <v>1940</v>
      </c>
      <c r="N1521" s="15"/>
      <c r="O1521" s="15"/>
      <c r="P1521" s="15" t="str" cm="1">
        <f t="array" ref="P1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1" s="15" t="str" cm="1">
        <f t="array" ref="Q1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S1521" s="1" t="s">
        <v>949</v>
      </c>
      <c r="T1521" s="1" t="s">
        <v>312</v>
      </c>
      <c r="U1521" s="1"/>
      <c r="V1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data-nnew="Q12"&gt;&lt;a href="canciones/taize/behüte_mich_gott.html"&gt;Protégeme, Dios&lt;/a&gt;&lt;/li&gt;</v>
      </c>
      <c r="W1521" s="15" t="str">
        <f>_xlfn.TEXTBEFORE(_xlfn.TEXTAFTER(CantoralDB[[#This Row],[index.html]],"&gt;"),"&gt;")&amp;"&gt;"</f>
        <v>&lt;a href="canciones/taize/behüte_mich_gott.html"&gt;</v>
      </c>
    </row>
    <row r="1522" spans="1:23" x14ac:dyDescent="0.3">
      <c r="A1522" s="1">
        <f>ROW(CantoralDB[[#This Row],[Título]])-1</f>
        <v>1521</v>
      </c>
      <c r="B1522" s="1" t="s">
        <v>928</v>
      </c>
      <c r="C1522" s="1" t="s">
        <v>1021</v>
      </c>
      <c r="D1522" s="1" t="s">
        <v>1141</v>
      </c>
      <c r="H1522" s="1" t="s">
        <v>531</v>
      </c>
      <c r="I1522" s="1" t="s">
        <v>2962</v>
      </c>
      <c r="J1522" s="1" t="s">
        <v>608</v>
      </c>
      <c r="M1522" s="15" t="s">
        <v>1940</v>
      </c>
      <c r="N1522" s="15"/>
      <c r="O1522" s="15"/>
      <c r="P1522" s="15" t="str" cm="1">
        <f t="array" ref="P1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2" s="15" t="str" cm="1">
        <f t="array" ref="Q1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S1522" s="1" t="s">
        <v>975</v>
      </c>
      <c r="T1522" s="1" t="s">
        <v>408</v>
      </c>
      <c r="U1522" s="1"/>
      <c r="V1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data-nnew="Q60"&gt;&lt;a href="canciones/taize/let_all_who_are_thirsty_come.html"&gt;Que venga a ti&lt;/a&gt;&lt;/li&gt;</v>
      </c>
      <c r="W1522" s="15" t="str">
        <f>_xlfn.TEXTBEFORE(_xlfn.TEXTAFTER(CantoralDB[[#This Row],[index.html]],"&gt;"),"&gt;")&amp;"&gt;"</f>
        <v>&lt;a href="canciones/taize/let_all_who_are_thirsty_come.html"&gt;</v>
      </c>
    </row>
    <row r="1523" spans="1:23" x14ac:dyDescent="0.3">
      <c r="A1523" s="1">
        <f>ROW(CantoralDB[[#This Row],[Título]])-1</f>
        <v>1522</v>
      </c>
      <c r="B1523" s="1" t="s">
        <v>940</v>
      </c>
      <c r="C1523" s="1" t="s">
        <v>1021</v>
      </c>
      <c r="D1523" s="1" t="s">
        <v>1149</v>
      </c>
      <c r="H1523" s="1" t="s">
        <v>531</v>
      </c>
      <c r="I1523" s="1" t="s">
        <v>2961</v>
      </c>
      <c r="J1523" s="1" t="s">
        <v>608</v>
      </c>
      <c r="M1523" s="15" t="s">
        <v>1940</v>
      </c>
      <c r="N1523" s="15"/>
      <c r="O1523" s="15"/>
      <c r="P1523" s="15" t="str" cm="1">
        <f t="array" ref="P1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3" s="15" t="str" cm="1">
        <f t="array" ref="Q1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S1523" s="1"/>
      <c r="T1523" s="1" t="s">
        <v>454</v>
      </c>
      <c r="U1523" s="1"/>
      <c r="V1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data-nnew="Q76"&gt;&lt;a href="canciones/taize/tu_sei_sorgente_viva.html"&gt;Tú eres fuente viva&lt;/a&gt;&lt;/li&gt;</v>
      </c>
      <c r="W1523" s="15" t="str">
        <f>_xlfn.TEXTBEFORE(_xlfn.TEXTAFTER(CantoralDB[[#This Row],[index.html]],"&gt;"),"&gt;")&amp;"&gt;"</f>
        <v>&lt;a href="canciones/taize/tu_sei_sorgente_viva.html"&gt;</v>
      </c>
    </row>
    <row r="1524" spans="1:23" x14ac:dyDescent="0.3">
      <c r="A1524" s="1">
        <f>ROW(CantoralDB[[#This Row],[Título]])-1</f>
        <v>1523</v>
      </c>
      <c r="B1524" s="1" t="s">
        <v>905</v>
      </c>
      <c r="C1524" s="1" t="s">
        <v>1021</v>
      </c>
      <c r="D1524" s="1" t="s">
        <v>1098</v>
      </c>
      <c r="H1524" s="1" t="s">
        <v>1028</v>
      </c>
      <c r="I1524" s="1" t="s">
        <v>2962</v>
      </c>
      <c r="J1524" s="1" t="s">
        <v>608</v>
      </c>
      <c r="M1524" s="15" t="s">
        <v>1940</v>
      </c>
      <c r="N1524" s="15"/>
      <c r="O1524" s="15"/>
      <c r="P1524" s="15" t="str" cm="1">
        <f t="array" ref="P1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4" s="15" t="str" cm="1">
        <f t="array" ref="Q1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S1524" s="1" t="s">
        <v>869</v>
      </c>
      <c r="T1524" s="1" t="s">
        <v>345</v>
      </c>
      <c r="U1524" s="1"/>
      <c r="V1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data-nnew="Q36"&gt;&lt;a href="canciones/taize/eat_this_bread.html"&gt;Come este pan&lt;/a&gt;&lt;/li&gt;</v>
      </c>
      <c r="W1524" s="15" t="str">
        <f>_xlfn.TEXTBEFORE(_xlfn.TEXTAFTER(CantoralDB[[#This Row],[index.html]],"&gt;"),"&gt;")&amp;"&gt;"</f>
        <v>&lt;a href="canciones/taize/eat_this_bread.html"&gt;</v>
      </c>
    </row>
    <row r="1525" spans="1:23" x14ac:dyDescent="0.3">
      <c r="A1525" s="1">
        <f>ROW(CantoralDB[[#This Row],[Título]])-1</f>
        <v>1524</v>
      </c>
      <c r="B1525" s="1" t="s">
        <v>935</v>
      </c>
      <c r="C1525" s="1" t="s">
        <v>1021</v>
      </c>
      <c r="D1525" s="1" t="s">
        <v>1123</v>
      </c>
      <c r="H1525" s="1" t="s">
        <v>1028</v>
      </c>
      <c r="I1525" s="1" t="s">
        <v>2960</v>
      </c>
      <c r="J1525" s="1" t="s">
        <v>608</v>
      </c>
      <c r="M1525" s="15" t="s">
        <v>1940</v>
      </c>
      <c r="N1525" s="15"/>
      <c r="O1525" s="15"/>
      <c r="P1525" s="15" t="str" cm="1">
        <f t="array" ref="P1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5" s="15" t="str" cm="1">
        <f t="array" ref="Q1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S1525" s="1"/>
      <c r="T1525" s="1" t="s">
        <v>442</v>
      </c>
      <c r="U1525" s="1"/>
      <c r="V1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data-nnew="Q70"&gt;&lt;a href="canciones/taize/spiritus_jesu_christi.html"&gt;Espíritu de Dios vivo&lt;/a&gt;&lt;/li&gt;</v>
      </c>
      <c r="W1525" s="15" t="str">
        <f>_xlfn.TEXTBEFORE(_xlfn.TEXTAFTER(CantoralDB[[#This Row],[index.html]],"&gt;"),"&gt;")&amp;"&gt;"</f>
        <v>&lt;a href="canciones/taize/spiritus_jesu_christi.html"&gt;</v>
      </c>
    </row>
    <row r="1526" spans="1:23" x14ac:dyDescent="0.3">
      <c r="A1526" s="1">
        <f>ROW(CantoralDB[[#This Row],[Título]])-1</f>
        <v>1525</v>
      </c>
      <c r="B1526" s="1" t="s">
        <v>873</v>
      </c>
      <c r="C1526" s="1" t="s">
        <v>1021</v>
      </c>
      <c r="D1526" s="1" t="s">
        <v>1073</v>
      </c>
      <c r="H1526" s="1" t="s">
        <v>1028</v>
      </c>
      <c r="I1526" s="1" t="s">
        <v>2962</v>
      </c>
      <c r="J1526" s="1" t="s">
        <v>608</v>
      </c>
      <c r="M1526" s="15" t="s">
        <v>1940</v>
      </c>
      <c r="N1526" s="15"/>
      <c r="O1526" s="15"/>
      <c r="P1526" s="15" t="str" cm="1">
        <f t="array" ref="P1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6" s="15" t="str" cm="1">
        <f t="array" ref="Q1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S1526" s="1"/>
      <c r="T1526" s="1" t="s">
        <v>281</v>
      </c>
      <c r="U1526" s="1"/>
      <c r="V1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data-nnew="Q02"&gt;&lt;a href="canciones/taize/adoramus_te_o_christe.html"&gt;Te adoramos&lt;/a&gt;&lt;/li&gt;</v>
      </c>
      <c r="W1526" s="15" t="str">
        <f>_xlfn.TEXTBEFORE(_xlfn.TEXTAFTER(CantoralDB[[#This Row],[index.html]],"&gt;"),"&gt;")&amp;"&gt;"</f>
        <v>&lt;a href="canciones/taize/adoramus_te_o_christe.html"&gt;</v>
      </c>
    </row>
    <row r="1527" spans="1:23" x14ac:dyDescent="0.3">
      <c r="A1527" s="1">
        <f>ROW(CantoralDB[[#This Row],[Título]])-1</f>
        <v>1526</v>
      </c>
      <c r="B1527" s="1" t="s">
        <v>918</v>
      </c>
      <c r="C1527" s="1" t="s">
        <v>1021</v>
      </c>
      <c r="D1527" s="1" t="s">
        <v>1076</v>
      </c>
      <c r="H1527" s="1" t="s">
        <v>473</v>
      </c>
      <c r="J1527" s="1" t="s">
        <v>608</v>
      </c>
      <c r="M1527" s="15" t="s">
        <v>1940</v>
      </c>
      <c r="N1527" s="15"/>
      <c r="O1527" s="15"/>
      <c r="P1527" s="15" t="str" cm="1">
        <f t="array" ref="P1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7" s="15" t="str" cm="1">
        <f t="array" ref="Q1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S1527" s="1" t="s">
        <v>971</v>
      </c>
      <c r="T1527" s="1" t="s">
        <v>380</v>
      </c>
      <c r="U1527" s="1"/>
      <c r="V1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data-nnew="Q50"&gt;&lt;a href="canciones/taize/jubelt_und_freut_euch.html"&gt;Alégrate y goza en el Señor&lt;/a&gt;&lt;/li&gt;</v>
      </c>
      <c r="W1527" s="15" t="str">
        <f>_xlfn.TEXTBEFORE(_xlfn.TEXTAFTER(CantoralDB[[#This Row],[index.html]],"&gt;"),"&gt;")&amp;"&gt;"</f>
        <v>&lt;a href="canciones/taize/jubelt_und_freut_euch.html"&gt;</v>
      </c>
    </row>
    <row r="1528" spans="1:23" x14ac:dyDescent="0.3">
      <c r="A1528" s="1">
        <f>ROW(CantoralDB[[#This Row],[Título]])-1</f>
        <v>1527</v>
      </c>
      <c r="B1528" s="1" t="s">
        <v>877</v>
      </c>
      <c r="C1528" s="1" t="s">
        <v>1021</v>
      </c>
      <c r="D1528" s="1" t="s">
        <v>1080</v>
      </c>
      <c r="H1528" s="1" t="s">
        <v>473</v>
      </c>
      <c r="I1528" s="1" t="s">
        <v>2961</v>
      </c>
      <c r="J1528" s="1" t="s">
        <v>608</v>
      </c>
      <c r="M1528" s="15" t="s">
        <v>1940</v>
      </c>
      <c r="N1528" s="15"/>
      <c r="O1528" s="15"/>
      <c r="P1528" s="15" t="str" cm="1">
        <f t="array" ref="P1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8" s="15" t="str" cm="1">
        <f t="array" ref="Q1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S1528" s="1"/>
      <c r="T1528" s="1" t="s">
        <v>303</v>
      </c>
      <c r="U1528" s="1"/>
      <c r="V1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data-nnew="Q07"&gt;&lt;a href="canciones/taize/alleluia_22.html"&gt;Aleluya 22&lt;/a&gt;&lt;/li&gt;</v>
      </c>
      <c r="W1528" s="15" t="str">
        <f>_xlfn.TEXTBEFORE(_xlfn.TEXTAFTER(CantoralDB[[#This Row],[index.html]],"&gt;"),"&gt;")&amp;"&gt;"</f>
        <v>&lt;a href="canciones/taize/alleluia_22.html"&gt;</v>
      </c>
    </row>
    <row r="1529" spans="1:23" x14ac:dyDescent="0.3">
      <c r="A1529" s="1">
        <f>ROW(CantoralDB[[#This Row],[Título]])-1</f>
        <v>1528</v>
      </c>
      <c r="B1529" s="1" t="s">
        <v>879</v>
      </c>
      <c r="C1529" s="1" t="s">
        <v>1021</v>
      </c>
      <c r="D1529" s="1" t="s">
        <v>1082</v>
      </c>
      <c r="H1529" s="1" t="s">
        <v>473</v>
      </c>
      <c r="I1529" s="1" t="s">
        <v>2959</v>
      </c>
      <c r="J1529" s="1" t="s">
        <v>608</v>
      </c>
      <c r="M1529" s="15" t="s">
        <v>1940</v>
      </c>
      <c r="N1529" s="15"/>
      <c r="O1529" s="15"/>
      <c r="P1529" s="15" t="str" cm="1">
        <f t="array" ref="P1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29" s="15" t="str" cm="1">
        <f t="array" ref="Q1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S1529" s="1"/>
      <c r="T1529" s="1" t="s">
        <v>786</v>
      </c>
      <c r="U1529" s="1"/>
      <c r="V1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data-nnew="Q08"&gt;&lt;a href="canciones/taize/alleluia_94.html"&gt;Aleluya 94&lt;/a&gt;&lt;/li&gt;</v>
      </c>
      <c r="W1529" s="15" t="str">
        <f>_xlfn.TEXTBEFORE(_xlfn.TEXTAFTER(CantoralDB[[#This Row],[index.html]],"&gt;"),"&gt;")&amp;"&gt;"</f>
        <v>&lt;a href="canciones/taize/alleluia_94.html"&gt;</v>
      </c>
    </row>
    <row r="1530" spans="1:23" x14ac:dyDescent="0.3">
      <c r="A1530" s="1">
        <f>ROW(CantoralDB[[#This Row],[Título]])-1</f>
        <v>1529</v>
      </c>
      <c r="B1530" s="1" t="s">
        <v>938</v>
      </c>
      <c r="C1530" s="1" t="s">
        <v>1021</v>
      </c>
      <c r="D1530" s="1" t="s">
        <v>1102</v>
      </c>
      <c r="H1530" s="1" t="s">
        <v>473</v>
      </c>
      <c r="I1530" s="1" t="s">
        <v>2961</v>
      </c>
      <c r="J1530" s="1" t="s">
        <v>608</v>
      </c>
      <c r="M1530" s="15" t="s">
        <v>1940</v>
      </c>
      <c r="N1530" s="15"/>
      <c r="O1530" s="15"/>
      <c r="P1530" s="15" t="str" cm="1">
        <f t="array" ref="P1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0" s="15" t="str" cm="1">
        <f t="array" ref="Q1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S1530" s="1" t="s">
        <v>984</v>
      </c>
      <c r="T1530" s="1" t="s">
        <v>445</v>
      </c>
      <c r="U1530" s="1"/>
      <c r="V1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data-nnew="Q73"&gt;&lt;a href="canciones/taize/surrexit_dominus_vere_(canon).html"&gt;Cristo ha resucitado (canon)&lt;/a&gt;&lt;/li&gt;</v>
      </c>
      <c r="W1530" s="15" t="str">
        <f>_xlfn.TEXTBEFORE(_xlfn.TEXTAFTER(CantoralDB[[#This Row],[index.html]],"&gt;"),"&gt;")&amp;"&gt;"</f>
        <v>&lt;a href="canciones/taize/surrexit_dominus_vere_(canon).html"&gt;</v>
      </c>
    </row>
    <row r="1531" spans="1:23" x14ac:dyDescent="0.3">
      <c r="A1531" s="1">
        <f>ROW(CantoralDB[[#This Row],[Título]])-1</f>
        <v>1530</v>
      </c>
      <c r="B1531" s="1" t="s">
        <v>882</v>
      </c>
      <c r="C1531" s="1" t="s">
        <v>1021</v>
      </c>
      <c r="D1531" s="1" t="s">
        <v>1085</v>
      </c>
      <c r="H1531" s="1" t="s">
        <v>473</v>
      </c>
      <c r="I1531" s="1" t="s">
        <v>2961</v>
      </c>
      <c r="J1531" s="1" t="s">
        <v>608</v>
      </c>
      <c r="M1531" s="15" t="s">
        <v>1940</v>
      </c>
      <c r="N1531" s="15"/>
      <c r="O1531" s="15"/>
      <c r="P1531" s="15" t="str" cm="1">
        <f t="array" ref="P1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1" s="15" t="str" cm="1">
        <f t="array" ref="Q1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S1531" s="1" t="s">
        <v>948</v>
      </c>
      <c r="T1531" s="1" t="s">
        <v>310</v>
      </c>
      <c r="U1531" s="1"/>
      <c r="V1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data-nnew="Q11"&gt;&lt;a href="canciones/taize/beati_voi_poveri.html"&gt;Dichosos los pobres&lt;/a&gt;&lt;/li&gt;</v>
      </c>
      <c r="W1531" s="15" t="str">
        <f>_xlfn.TEXTBEFORE(_xlfn.TEXTAFTER(CantoralDB[[#This Row],[index.html]],"&gt;"),"&gt;")&amp;"&gt;"</f>
        <v>&lt;a href="canciones/taize/beati_voi_poveri.html"&gt;</v>
      </c>
    </row>
    <row r="1532" spans="1:23" x14ac:dyDescent="0.3">
      <c r="A1532" s="1">
        <f>ROW(CantoralDB[[#This Row],[Título]])-1</f>
        <v>1531</v>
      </c>
      <c r="B1532" s="1" t="s">
        <v>899</v>
      </c>
      <c r="C1532" s="1" t="s">
        <v>1021</v>
      </c>
      <c r="D1532" s="1" t="s">
        <v>1109</v>
      </c>
      <c r="H1532" s="1" t="s">
        <v>473</v>
      </c>
      <c r="I1532" s="1" t="s">
        <v>2962</v>
      </c>
      <c r="J1532" s="1" t="s">
        <v>608</v>
      </c>
      <c r="M1532" s="15" t="s">
        <v>1940</v>
      </c>
      <c r="N1532" s="15"/>
      <c r="O1532" s="15"/>
      <c r="P1532" s="15" t="str" cm="1">
        <f t="array" ref="P1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2" s="15" t="str" cm="1">
        <f t="array" ref="Q1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S1532" s="1"/>
      <c r="T1532" s="1" t="s">
        <v>336</v>
      </c>
      <c r="U1532" s="1"/>
      <c r="V1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data-nnew="Q28"&gt;&lt;a href="canciones/taize/dans_nos_obscurites.html"&gt;En nuestra oscuridad&lt;/a&gt;&lt;/li&gt;</v>
      </c>
      <c r="W1532" s="15" t="str">
        <f>_xlfn.TEXTBEFORE(_xlfn.TEXTAFTER(CantoralDB[[#This Row],[index.html]],"&gt;"),"&gt;")&amp;"&gt;"</f>
        <v>&lt;a href="canciones/taize/dans_nos_obscurites.html"&gt;</v>
      </c>
    </row>
    <row r="1533" spans="1:23" x14ac:dyDescent="0.3">
      <c r="A1533" s="1">
        <f>ROW(CantoralDB[[#This Row],[Título]])-1</f>
        <v>1532</v>
      </c>
      <c r="B1533" s="1" t="s">
        <v>936</v>
      </c>
      <c r="C1533" s="1" t="s">
        <v>1021</v>
      </c>
      <c r="D1533" s="1" t="s">
        <v>1147</v>
      </c>
      <c r="H1533" s="1" t="s">
        <v>473</v>
      </c>
      <c r="I1533" s="1" t="s">
        <v>2960</v>
      </c>
      <c r="J1533" s="1" t="s">
        <v>608</v>
      </c>
      <c r="M1533" s="15" t="s">
        <v>1940</v>
      </c>
      <c r="N1533" s="15"/>
      <c r="O1533" s="15"/>
      <c r="P1533" s="15" t="str" cm="1">
        <f t="array" ref="P1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3" s="15" t="str" cm="1">
        <f t="array" ref="Q1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S1533" s="1" t="s">
        <v>983</v>
      </c>
      <c r="T1533" s="1" t="s">
        <v>443</v>
      </c>
      <c r="U1533" s="1"/>
      <c r="V1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data-nnew="Q71"&gt;&lt;a href="canciones/taize/staňte_se_soli.html"&gt;Sé sal que sala&lt;/a&gt;&lt;/li&gt;</v>
      </c>
      <c r="W1533" s="15" t="str">
        <f>_xlfn.TEXTBEFORE(_xlfn.TEXTAFTER(CantoralDB[[#This Row],[index.html]],"&gt;"),"&gt;")&amp;"&gt;"</f>
        <v>&lt;a href="canciones/taize/staňte_se_soli.html"&gt;</v>
      </c>
    </row>
    <row r="1534" spans="1:23" x14ac:dyDescent="0.3">
      <c r="A1534" s="1">
        <f>ROW(CantoralDB[[#This Row],[Título]])-1</f>
        <v>1533</v>
      </c>
      <c r="B1534" s="1" t="s">
        <v>987</v>
      </c>
      <c r="C1534" s="1" t="s">
        <v>1021</v>
      </c>
      <c r="D1534" s="1" t="s">
        <v>1070</v>
      </c>
      <c r="H1534" s="1" t="s">
        <v>531</v>
      </c>
      <c r="I1534" s="1" t="s">
        <v>2962</v>
      </c>
      <c r="J1534" s="1" t="s">
        <v>608</v>
      </c>
      <c r="M1534" s="15" t="s">
        <v>1940</v>
      </c>
      <c r="N1534" s="15"/>
      <c r="O1534" s="15"/>
      <c r="P1534" s="15" t="str" cm="1">
        <f t="array" ref="P1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4" s="15" t="str" cm="1">
        <f t="array" ref="Q1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S1534" s="1" t="s">
        <v>988</v>
      </c>
      <c r="T1534" s="1" t="s">
        <v>472</v>
      </c>
      <c r="U1534" s="1"/>
      <c r="V1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data-nnew="Q83"&gt;&lt;a href="canciones/taize/zu_wem_sollen_wir_gehen.html"&gt;A quién iremos, Señor&lt;/a&gt;&lt;/li&gt;</v>
      </c>
      <c r="W1534" s="15" t="str">
        <f>_xlfn.TEXTBEFORE(_xlfn.TEXTAFTER(CantoralDB[[#This Row],[index.html]],"&gt;"),"&gt;")&amp;"&gt;"</f>
        <v>&lt;a href="canciones/taize/zu_wem_sollen_wir_gehen.html"&gt;</v>
      </c>
    </row>
    <row r="1535" spans="1:23" x14ac:dyDescent="0.3">
      <c r="A1535" s="1">
        <f>ROW(CantoralDB[[#This Row],[Título]])-1</f>
        <v>1534</v>
      </c>
      <c r="B1535" s="1" t="s">
        <v>902</v>
      </c>
      <c r="C1535" s="1" t="s">
        <v>1021</v>
      </c>
      <c r="D1535" s="1" t="s">
        <v>1100</v>
      </c>
      <c r="H1535" s="1" t="s">
        <v>531</v>
      </c>
      <c r="J1535" s="1" t="s">
        <v>608</v>
      </c>
      <c r="M1535" s="15" t="s">
        <v>1940</v>
      </c>
      <c r="N1535" s="15"/>
      <c r="O1535" s="15"/>
      <c r="P1535" s="15" t="str" cm="1">
        <f t="array" ref="P1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5" s="15" t="str" cm="1">
        <f t="array" ref="Q1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S1535" s="1" t="s">
        <v>961</v>
      </c>
      <c r="T1535" s="1" t="s">
        <v>342</v>
      </c>
      <c r="U1535" s="1"/>
      <c r="V1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data-nnew="Q33"&gt;&lt;a href="canciones/taize/dominus_spiritus_est.html"&gt;Cristo es Espíritu y Dios&lt;/a&gt;&lt;/li&gt;</v>
      </c>
      <c r="W1535" s="15" t="str">
        <f>_xlfn.TEXTBEFORE(_xlfn.TEXTAFTER(CantoralDB[[#This Row],[index.html]],"&gt;"),"&gt;")&amp;"&gt;"</f>
        <v>&lt;a href="canciones/taize/dominus_spiritus_est.html"&gt;</v>
      </c>
    </row>
    <row r="1536" spans="1:23" x14ac:dyDescent="0.3">
      <c r="A1536" s="1">
        <f>ROW(CantoralDB[[#This Row],[Título]])-1</f>
        <v>1535</v>
      </c>
      <c r="B1536" s="1" t="s">
        <v>915</v>
      </c>
      <c r="C1536" s="1" t="s">
        <v>1021</v>
      </c>
      <c r="D1536" s="1" t="s">
        <v>1103</v>
      </c>
      <c r="H1536" s="1" t="s">
        <v>531</v>
      </c>
      <c r="I1536" s="1" t="s">
        <v>2962</v>
      </c>
      <c r="J1536" s="1" t="s">
        <v>608</v>
      </c>
      <c r="M1536" s="15" t="s">
        <v>1940</v>
      </c>
      <c r="N1536" s="15"/>
      <c r="O1536" s="15"/>
      <c r="P1536" s="15" t="str" cm="1">
        <f t="array" ref="P1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6" s="15" t="str" cm="1">
        <f t="array" ref="Q1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S1536" s="1"/>
      <c r="T1536" s="1" t="s">
        <v>377</v>
      </c>
      <c r="U1536" s="1"/>
      <c r="V1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data-nnew="Q47"&gt;&lt;a href="canciones/taize/jesus_le_christ.html"&gt;Cristo Jesús&lt;/a&gt;&lt;/li&gt;</v>
      </c>
      <c r="W1536" s="15" t="str">
        <f>_xlfn.TEXTBEFORE(_xlfn.TEXTAFTER(CantoralDB[[#This Row],[index.html]],"&gt;"),"&gt;")&amp;"&gt;"</f>
        <v>&lt;a href="canciones/taize/jesus_le_christ.html"&gt;</v>
      </c>
    </row>
    <row r="1537" spans="1:23" x14ac:dyDescent="0.3">
      <c r="A1537" s="1">
        <f>ROW(CantoralDB[[#This Row],[Título]])-1</f>
        <v>1536</v>
      </c>
      <c r="B1537" s="1" t="s">
        <v>897</v>
      </c>
      <c r="C1537" s="1" t="s">
        <v>1021</v>
      </c>
      <c r="D1537" s="1" t="s">
        <v>1105</v>
      </c>
      <c r="H1537" s="1" t="s">
        <v>531</v>
      </c>
      <c r="I1537" s="1" t="s">
        <v>2961</v>
      </c>
      <c r="J1537" s="1" t="s">
        <v>608</v>
      </c>
      <c r="M1537" s="15" t="s">
        <v>1940</v>
      </c>
      <c r="N1537" s="15"/>
      <c r="O1537" s="15"/>
      <c r="P1537" s="15" t="str" cm="1">
        <f t="array" ref="P1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7" s="15" t="str" cm="1">
        <f t="array" ref="Q1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S1537" s="1"/>
      <c r="T1537" s="1" t="s">
        <v>334</v>
      </c>
      <c r="U1537" s="1"/>
      <c r="V1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data-nnew="Q26"&gt;&lt;a href="canciones/taize/da_pacem_cordium_(canon).html"&gt;Danos, Señor, la paz (canon)&lt;/a&gt;&lt;/li&gt;</v>
      </c>
      <c r="W1537" s="15" t="str">
        <f>_xlfn.TEXTBEFORE(_xlfn.TEXTAFTER(CantoralDB[[#This Row],[index.html]],"&gt;"),"&gt;")&amp;"&gt;"</f>
        <v>&lt;a href="canciones/taize/da_pacem_cordium_(canon).html"&gt;</v>
      </c>
    </row>
    <row r="1538" spans="1:23" x14ac:dyDescent="0.3">
      <c r="A1538" s="1">
        <f>ROW(CantoralDB[[#This Row],[Título]])-1</f>
        <v>1537</v>
      </c>
      <c r="B1538" s="1" t="s">
        <v>893</v>
      </c>
      <c r="C1538" s="1" t="s">
        <v>1021</v>
      </c>
      <c r="D1538" s="1" t="s">
        <v>1096</v>
      </c>
      <c r="H1538" s="1" t="s">
        <v>531</v>
      </c>
      <c r="I1538" s="1" t="s">
        <v>2961</v>
      </c>
      <c r="J1538" s="1" t="s">
        <v>608</v>
      </c>
      <c r="M1538" s="15" t="s">
        <v>1940</v>
      </c>
      <c r="N1538" s="15"/>
      <c r="O1538" s="15"/>
      <c r="P1538" s="15" t="str" cm="1">
        <f t="array" ref="P1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8" s="15" t="str" cm="1">
        <f t="array" ref="Q1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S1538" s="1"/>
      <c r="T1538" s="1" t="s">
        <v>330</v>
      </c>
      <c r="U1538" s="1"/>
      <c r="V1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data-nnew="Q23"&gt;&lt;a href="canciones/taize/christe_salvator.html"&gt;Dios de la vida&lt;/a&gt;&lt;/li&gt;</v>
      </c>
      <c r="W1538" s="15" t="str">
        <f>_xlfn.TEXTBEFORE(_xlfn.TEXTAFTER(CantoralDB[[#This Row],[index.html]],"&gt;"),"&gt;")&amp;"&gt;"</f>
        <v>&lt;a href="canciones/taize/christe_salvator.html"&gt;</v>
      </c>
    </row>
    <row r="1539" spans="1:23" x14ac:dyDescent="0.3">
      <c r="A1539" s="1">
        <f>ROW(CantoralDB[[#This Row],[Título]])-1</f>
        <v>1538</v>
      </c>
      <c r="B1539" s="1" t="s">
        <v>906</v>
      </c>
      <c r="C1539" s="1" t="s">
        <v>1021</v>
      </c>
      <c r="D1539" s="1" t="s">
        <v>1120</v>
      </c>
      <c r="H1539" s="1" t="s">
        <v>531</v>
      </c>
      <c r="I1539" s="1" t="s">
        <v>2960</v>
      </c>
      <c r="J1539" s="1" t="s">
        <v>608</v>
      </c>
      <c r="M1539" s="15" t="s">
        <v>1940</v>
      </c>
      <c r="N1539" s="15"/>
      <c r="O1539" s="15"/>
      <c r="P1539" s="15" t="str" cm="1">
        <f t="array" ref="P1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39" s="15" t="str" cm="1">
        <f t="array" ref="Q1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S1539" s="1" t="s">
        <v>963</v>
      </c>
      <c r="T1539" s="1" t="s">
        <v>347</v>
      </c>
      <c r="U1539" s="1"/>
      <c r="V1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data-nnew="Q38"&gt;&lt;a href="canciones/taize/el_senyor.html"&gt;El Señor es mi fortaleza&lt;/a&gt;&lt;/li&gt;</v>
      </c>
      <c r="W1539" s="15" t="str">
        <f>_xlfn.TEXTBEFORE(_xlfn.TEXTAFTER(CantoralDB[[#This Row],[index.html]],"&gt;"),"&gt;")&amp;"&gt;"</f>
        <v>&lt;a href="canciones/taize/el_senyor.html"&gt;</v>
      </c>
    </row>
    <row r="1540" spans="1:23" x14ac:dyDescent="0.3">
      <c r="A1540" s="1">
        <f>ROW(CantoralDB[[#This Row],[Título]])-1</f>
        <v>1539</v>
      </c>
      <c r="B1540" s="1" t="s">
        <v>944</v>
      </c>
      <c r="C1540" s="1" t="s">
        <v>1021</v>
      </c>
      <c r="D1540" s="1" t="s">
        <v>1122</v>
      </c>
      <c r="H1540" s="1" t="s">
        <v>531</v>
      </c>
      <c r="I1540" s="1" t="s">
        <v>2961</v>
      </c>
      <c r="J1540" s="1" t="s">
        <v>608</v>
      </c>
      <c r="M1540" s="15" t="s">
        <v>1940</v>
      </c>
      <c r="N1540" s="15"/>
      <c r="O1540" s="15"/>
      <c r="P1540" s="15" t="str" cm="1">
        <f t="array" ref="P1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0" s="15" t="str" cm="1">
        <f t="array" ref="Q1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S1540" s="1" t="s">
        <v>986</v>
      </c>
      <c r="T1540" s="1" t="s">
        <v>468</v>
      </c>
      <c r="U1540" s="1"/>
      <c r="V1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data-nnew="Q81"&gt;&lt;a href="canciones/taize/voici_dieu_qui_vient_à_mon_secours.html"&gt;El Señor, que viene en mi ayuda&lt;/a&gt;&lt;/li&gt;</v>
      </c>
      <c r="W1540" s="15" t="str">
        <f>_xlfn.TEXTBEFORE(_xlfn.TEXTAFTER(CantoralDB[[#This Row],[index.html]],"&gt;"),"&gt;")&amp;"&gt;"</f>
        <v>&lt;a href="canciones/taize/voici_dieu_qui_vient_à_mon_secours.html"&gt;</v>
      </c>
    </row>
    <row r="1541" spans="1:23" x14ac:dyDescent="0.3">
      <c r="A1541" s="1">
        <f>ROW(CantoralDB[[#This Row],[Título]])-1</f>
        <v>1540</v>
      </c>
      <c r="B1541" s="1" t="s">
        <v>886</v>
      </c>
      <c r="C1541" s="1" t="s">
        <v>1021</v>
      </c>
      <c r="D1541" s="1" t="s">
        <v>1089</v>
      </c>
      <c r="H1541" s="1" t="s">
        <v>531</v>
      </c>
      <c r="I1541" s="1" t="s">
        <v>2960</v>
      </c>
      <c r="J1541" s="1" t="s">
        <v>608</v>
      </c>
      <c r="M1541" s="15" t="s">
        <v>1940</v>
      </c>
      <c r="N1541" s="15"/>
      <c r="O1541" s="15"/>
      <c r="P1541" s="15" t="str" cm="1">
        <f t="array" ref="P1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1" s="15" t="str" cm="1">
        <f t="array" ref="Q1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S1541" s="1" t="s">
        <v>952</v>
      </c>
      <c r="T1541" s="1" t="s">
        <v>318</v>
      </c>
      <c r="U1541" s="1"/>
      <c r="V1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data-nnew="Q14"&gt;&lt;a href="canciones/taize/bleibet_hier.html"&gt;Permaneced conmigo&lt;/a&gt;&lt;/li&gt;</v>
      </c>
      <c r="W1541" s="15" t="str">
        <f>_xlfn.TEXTBEFORE(_xlfn.TEXTAFTER(CantoralDB[[#This Row],[index.html]],"&gt;"),"&gt;")&amp;"&gt;"</f>
        <v>&lt;a href="canciones/taize/bleibet_hier.html"&gt;</v>
      </c>
    </row>
    <row r="1542" spans="1:23" x14ac:dyDescent="0.3">
      <c r="A1542" s="1">
        <f>ROW(CantoralDB[[#This Row],[Título]])-1</f>
        <v>1541</v>
      </c>
      <c r="B1542" s="1" t="s">
        <v>932</v>
      </c>
      <c r="C1542" s="1" t="s">
        <v>1021</v>
      </c>
      <c r="D1542" s="1" t="s">
        <v>1145</v>
      </c>
      <c r="H1542" s="1" t="s">
        <v>531</v>
      </c>
      <c r="I1542" s="1" t="s">
        <v>2960</v>
      </c>
      <c r="J1542" s="1" t="s">
        <v>608</v>
      </c>
      <c r="M1542" s="15" t="s">
        <v>1940</v>
      </c>
      <c r="N1542" s="15"/>
      <c r="O1542" s="15"/>
      <c r="P1542" s="15" t="str" cm="1">
        <f t="array" ref="P1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2" s="15" t="str" cm="1">
        <f t="array" ref="Q1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S1542" s="1"/>
      <c r="T1542" s="1" t="s">
        <v>426</v>
      </c>
      <c r="U1542" s="1"/>
      <c r="V1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data-nnew="Q66"&gt;&lt;a href="canciones/taize/per_crucem.html"&gt;Por tu Cruz&lt;/a&gt;&lt;/li&gt;</v>
      </c>
      <c r="W1542" s="15" t="str">
        <f>_xlfn.TEXTBEFORE(_xlfn.TEXTAFTER(CantoralDB[[#This Row],[index.html]],"&gt;"),"&gt;")&amp;"&gt;"</f>
        <v>&lt;a href="canciones/taize/per_crucem.html"&gt;</v>
      </c>
    </row>
    <row r="1543" spans="1:23" x14ac:dyDescent="0.3">
      <c r="A1543" s="1">
        <f>ROW(CantoralDB[[#This Row],[Título]])-1</f>
        <v>1542</v>
      </c>
      <c r="B1543" s="1" t="s">
        <v>890</v>
      </c>
      <c r="C1543" s="1" t="s">
        <v>1021</v>
      </c>
      <c r="D1543" s="1" t="s">
        <v>1093</v>
      </c>
      <c r="H1543" s="1" t="s">
        <v>531</v>
      </c>
      <c r="I1543" s="1" t="s">
        <v>2960</v>
      </c>
      <c r="J1543" s="1" t="s">
        <v>608</v>
      </c>
      <c r="M1543" s="15" t="s">
        <v>1940</v>
      </c>
      <c r="N1543" s="15"/>
      <c r="O1543" s="15"/>
      <c r="P1543" s="15" t="str" cm="1">
        <f t="array" ref="P1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3" s="15" t="str" cm="1">
        <f t="array" ref="Q1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S1543" s="1" t="s">
        <v>954</v>
      </c>
      <c r="T1543" s="1" t="s">
        <v>323</v>
      </c>
      <c r="U1543" s="1"/>
      <c r="V1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data-nnew="Q19"&gt;&lt;a href="canciones/taize/bonum_est_confidere.html"&gt;Qué bueno es confiar en ti&lt;/a&gt;&lt;/li&gt;</v>
      </c>
      <c r="W1543" s="15" t="str">
        <f>_xlfn.TEXTBEFORE(_xlfn.TEXTAFTER(CantoralDB[[#This Row],[index.html]],"&gt;"),"&gt;")&amp;"&gt;"</f>
        <v>&lt;a href="canciones/taize/bonum_est_confidere.html"&gt;</v>
      </c>
    </row>
    <row r="1544" spans="1:23" x14ac:dyDescent="0.3">
      <c r="A1544" s="1">
        <f>ROW(CantoralDB[[#This Row],[Título]])-1</f>
        <v>1543</v>
      </c>
      <c r="B1544" s="1" t="s">
        <v>922</v>
      </c>
      <c r="C1544" s="1" t="s">
        <v>1021</v>
      </c>
      <c r="D1544" s="1" t="s">
        <v>1134</v>
      </c>
      <c r="H1544" s="1" t="s">
        <v>531</v>
      </c>
      <c r="I1544" s="1" t="s">
        <v>2961</v>
      </c>
      <c r="J1544" s="1" t="s">
        <v>608</v>
      </c>
      <c r="M1544" s="15" t="s">
        <v>1940</v>
      </c>
      <c r="N1544" s="15"/>
      <c r="O1544" s="15"/>
      <c r="P1544" s="15" t="str" cm="1">
        <f t="array" ref="P1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4" s="15" t="str" cm="1">
        <f t="array" ref="Q1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S1544" s="1"/>
      <c r="T1544" s="1" t="s">
        <v>399</v>
      </c>
      <c r="U1544" s="1"/>
      <c r="V1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data-nnew="Q56"&gt;&lt;a href="canciones/taize/kyrie_20.html"&gt;Ten piedad, Señor 20&lt;/a&gt;&lt;/li&gt;</v>
      </c>
      <c r="W1544" s="15" t="str">
        <f>_xlfn.TEXTBEFORE(_xlfn.TEXTAFTER(CantoralDB[[#This Row],[index.html]],"&gt;"),"&gt;")&amp;"&gt;"</f>
        <v>&lt;a href="canciones/taize/kyrie_20.html"&gt;</v>
      </c>
    </row>
    <row r="1545" spans="1:23" x14ac:dyDescent="0.3">
      <c r="A1545" s="1">
        <f>ROW(CantoralDB[[#This Row],[Título]])-1</f>
        <v>1544</v>
      </c>
      <c r="B1545" s="1" t="s">
        <v>924</v>
      </c>
      <c r="C1545" s="1" t="s">
        <v>1021</v>
      </c>
      <c r="D1545" s="1" t="s">
        <v>1136</v>
      </c>
      <c r="H1545" s="1" t="s">
        <v>531</v>
      </c>
      <c r="I1545" s="1" t="s">
        <v>2962</v>
      </c>
      <c r="J1545" s="1" t="s">
        <v>608</v>
      </c>
      <c r="M1545" s="15" t="s">
        <v>1940</v>
      </c>
      <c r="N1545" s="15"/>
      <c r="O1545" s="15"/>
      <c r="P1545" s="15" t="str" cm="1">
        <f t="array" ref="P1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5" s="15" t="str" cm="1">
        <f t="array" ref="Q1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S1545" s="1"/>
      <c r="T1545" s="1" t="s">
        <v>390</v>
      </c>
      <c r="U1545" s="1"/>
      <c r="V1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data-nnew="Q55"&gt;&lt;a href="canciones/taize/kyrie_8.html"&gt;Ten piedad, Señor 8&lt;/a&gt;&lt;/li&gt;</v>
      </c>
      <c r="W1545" s="15" t="str">
        <f>_xlfn.TEXTBEFORE(_xlfn.TEXTAFTER(CantoralDB[[#This Row],[index.html]],"&gt;"),"&gt;")&amp;"&gt;"</f>
        <v>&lt;a href="canciones/taize/kyrie_8.html"&gt;</v>
      </c>
    </row>
    <row r="1546" spans="1:23" x14ac:dyDescent="0.3">
      <c r="A1546" s="1">
        <f>ROW(CantoralDB[[#This Row],[Título]])-1</f>
        <v>1545</v>
      </c>
      <c r="B1546" s="1" t="s">
        <v>887</v>
      </c>
      <c r="C1546" s="1" t="s">
        <v>1021</v>
      </c>
      <c r="D1546" s="1" t="s">
        <v>1090</v>
      </c>
      <c r="H1546" s="1" t="s">
        <v>531</v>
      </c>
      <c r="I1546" s="1" t="s">
        <v>2960</v>
      </c>
      <c r="J1546" s="1" t="s">
        <v>608</v>
      </c>
      <c r="M1546" s="15" t="s">
        <v>1940</v>
      </c>
      <c r="N1546" s="15"/>
      <c r="O1546" s="15"/>
      <c r="P1546" s="15" t="str" cm="1">
        <f t="array" ref="P1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6" s="15" t="str" cm="1">
        <f t="array" ref="Q1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S1546" s="1" t="s">
        <v>953</v>
      </c>
      <c r="T1546" s="1" t="s">
        <v>319</v>
      </c>
      <c r="U1546" s="1"/>
      <c r="V1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data-nnew="Q17"&gt;&lt;a href="canciones/taize/bless_the_lord.html"&gt;Tengo sed de ti&lt;/a&gt;&lt;/li&gt;</v>
      </c>
      <c r="W1546" s="15" t="str">
        <f>_xlfn.TEXTBEFORE(_xlfn.TEXTAFTER(CantoralDB[[#This Row],[index.html]],"&gt;"),"&gt;")&amp;"&gt;"</f>
        <v>&lt;a href="canciones/taize/bless_the_lord.html"&gt;</v>
      </c>
    </row>
    <row r="1547" spans="1:23" x14ac:dyDescent="0.3">
      <c r="A1547" s="1">
        <f>ROW(CantoralDB[[#This Row],[Título]])-1</f>
        <v>1546</v>
      </c>
      <c r="B1547" s="1" t="s">
        <v>934</v>
      </c>
      <c r="C1547" s="1" t="s">
        <v>1021</v>
      </c>
      <c r="D1547" s="1" t="s">
        <v>1146</v>
      </c>
      <c r="H1547" s="1" t="s">
        <v>531</v>
      </c>
      <c r="I1547" s="1" t="s">
        <v>2960</v>
      </c>
      <c r="J1547" s="1" t="s">
        <v>608</v>
      </c>
      <c r="M1547" s="15" t="s">
        <v>1940</v>
      </c>
      <c r="N1547" s="15"/>
      <c r="O1547" s="15"/>
      <c r="P1547" s="15" t="str" cm="1">
        <f t="array" ref="P1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7" s="15" t="str" cm="1">
        <f t="array" ref="Q1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S1547" s="1" t="s">
        <v>981</v>
      </c>
      <c r="T1547" s="1" t="s">
        <v>433</v>
      </c>
      <c r="U1547" s="1"/>
      <c r="V1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data-nnew="Q68"&gt;&lt;a href="canciones/taize/sanasi_on_lamppu.html"&gt;Tu palabra alumbra&lt;/a&gt;&lt;/li&gt;</v>
      </c>
      <c r="W1547" s="15" t="str">
        <f>_xlfn.TEXTBEFORE(_xlfn.TEXTAFTER(CantoralDB[[#This Row],[index.html]],"&gt;"),"&gt;")&amp;"&gt;"</f>
        <v>&lt;a href="canciones/taize/sanasi_on_lamppu.html"&gt;</v>
      </c>
    </row>
    <row r="1548" spans="1:23" x14ac:dyDescent="0.3">
      <c r="A1548" s="1">
        <f>ROW(CantoralDB[[#This Row],[Título]])-1</f>
        <v>1547</v>
      </c>
      <c r="B1548" s="1" t="s">
        <v>898</v>
      </c>
      <c r="C1548" s="1" t="s">
        <v>1021</v>
      </c>
      <c r="D1548" s="1" t="s">
        <v>1106</v>
      </c>
      <c r="H1548" s="1" t="s">
        <v>1029</v>
      </c>
      <c r="I1548" s="1" t="s">
        <v>2961</v>
      </c>
      <c r="J1548" s="1" t="s">
        <v>608</v>
      </c>
      <c r="M1548" s="15" t="s">
        <v>1940</v>
      </c>
      <c r="N1548" s="15"/>
      <c r="O1548" s="15"/>
      <c r="P1548" s="15" t="str" cm="1">
        <f t="array" ref="P1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8" s="15" t="str" cm="1">
        <f t="array" ref="Q1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S1548" s="1" t="s">
        <v>958</v>
      </c>
      <c r="T1548" s="1" t="s">
        <v>335</v>
      </c>
      <c r="U1548" s="1"/>
      <c r="V1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data-nnew="Q27"&gt;&lt;a href="canciones/taize/da_pacem..._in_diebus.html"&gt;Danos la paz, Señor&lt;/a&gt;&lt;/li&gt;</v>
      </c>
      <c r="W1548" s="15" t="str">
        <f>_xlfn.TEXTBEFORE(_xlfn.TEXTAFTER(CantoralDB[[#This Row],[index.html]],"&gt;"),"&gt;")&amp;"&gt;"</f>
        <v>&lt;a href="canciones/taize/da_pacem..._in_diebus.html"&gt;</v>
      </c>
    </row>
    <row r="1549" spans="1:23" x14ac:dyDescent="0.3">
      <c r="A1549" s="1">
        <f>ROW(CantoralDB[[#This Row],[Título]])-1</f>
        <v>1548</v>
      </c>
      <c r="B1549" s="1" t="s">
        <v>925</v>
      </c>
      <c r="C1549" s="1" t="s">
        <v>1021</v>
      </c>
      <c r="D1549" s="1" t="s">
        <v>1137</v>
      </c>
      <c r="H1549" s="1" t="s">
        <v>1029</v>
      </c>
      <c r="I1549" s="1" t="s">
        <v>2961</v>
      </c>
      <c r="J1549" s="1" t="s">
        <v>608</v>
      </c>
      <c r="M1549" s="15" t="s">
        <v>1940</v>
      </c>
      <c r="N1549" s="15"/>
      <c r="O1549" s="15"/>
      <c r="P1549" s="15" t="str" cm="1">
        <f t="array" ref="P1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49" s="15" t="str" cm="1">
        <f t="array" ref="Q1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S1549" s="1" t="s">
        <v>973</v>
      </c>
      <c r="T1549" s="1" t="s">
        <v>401</v>
      </c>
      <c r="U1549" s="1"/>
      <c r="V1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data-nnew="Q57"&gt;&lt;a href="canciones/taize/l’ajuda_em_vindrà.html"&gt;La ayuda vendrá&lt;/a&gt;&lt;/li&gt;</v>
      </c>
      <c r="W1549" s="15" t="str">
        <f>_xlfn.TEXTBEFORE(_xlfn.TEXTAFTER(CantoralDB[[#This Row],[index.html]],"&gt;"),"&gt;")&amp;"&gt;"</f>
        <v>&lt;a href="canciones/taize/l’ajuda_em_vindrà.html"&gt;</v>
      </c>
    </row>
    <row r="1550" spans="1:23" x14ac:dyDescent="0.3">
      <c r="A1550" s="1">
        <f>ROW(CantoralDB[[#This Row],[Título]])-1</f>
        <v>1549</v>
      </c>
      <c r="B1550" s="1" t="s">
        <v>876</v>
      </c>
      <c r="C1550" s="1" t="s">
        <v>1021</v>
      </c>
      <c r="D1550" s="1" t="s">
        <v>1079</v>
      </c>
      <c r="H1550" s="1" t="s">
        <v>1030</v>
      </c>
      <c r="I1550" s="1" t="s">
        <v>2962</v>
      </c>
      <c r="J1550" s="1" t="s">
        <v>608</v>
      </c>
      <c r="M1550" s="15" t="s">
        <v>1940</v>
      </c>
      <c r="N1550" s="15"/>
      <c r="O1550" s="15"/>
      <c r="P1550" s="15" t="str" cm="1">
        <f t="array" ref="P1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0" s="15" t="str" cm="1">
        <f t="array" ref="Q1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S1550" s="1"/>
      <c r="T1550" s="1" t="s">
        <v>299</v>
      </c>
      <c r="U1550" s="1"/>
      <c r="V1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data-nnew="Q06"&gt;&lt;a href="canciones/taize/alleluia_17.html"&gt;Aleluya 17&lt;/a&gt;&lt;/li&gt;</v>
      </c>
      <c r="W1550" s="15" t="str">
        <f>_xlfn.TEXTBEFORE(_xlfn.TEXTAFTER(CantoralDB[[#This Row],[index.html]],"&gt;"),"&gt;")&amp;"&gt;"</f>
        <v>&lt;a href="canciones/taize/alleluia_17.html"&gt;</v>
      </c>
    </row>
    <row r="1551" spans="1:23" x14ac:dyDescent="0.3">
      <c r="A1551" s="1">
        <f>ROW(CantoralDB[[#This Row],[Título]])-1</f>
        <v>1550</v>
      </c>
      <c r="B1551" s="1" t="s">
        <v>880</v>
      </c>
      <c r="C1551" s="1" t="s">
        <v>1021</v>
      </c>
      <c r="D1551" s="1" t="s">
        <v>1083</v>
      </c>
      <c r="H1551" s="1" t="s">
        <v>1030</v>
      </c>
      <c r="J1551" s="1" t="s">
        <v>608</v>
      </c>
      <c r="M1551" s="15" t="s">
        <v>1940</v>
      </c>
      <c r="N1551" s="15"/>
      <c r="O1551" s="15"/>
      <c r="P1551" s="15" t="str" cm="1">
        <f t="array" ref="P1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1" s="15" t="str" cm="1">
        <f t="array" ref="Q1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S1551" s="1"/>
      <c r="T1551" s="1" t="s">
        <v>787</v>
      </c>
      <c r="U1551" s="1"/>
      <c r="V1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data-nnew="Q09"&gt;&lt;a href="canciones/taize/alleluia_96.html"&gt;Aleluya 96&lt;/a&gt;&lt;/li&gt;</v>
      </c>
      <c r="W1551" s="15" t="str">
        <f>_xlfn.TEXTBEFORE(_xlfn.TEXTAFTER(CantoralDB[[#This Row],[index.html]],"&gt;"),"&gt;")&amp;"&gt;"</f>
        <v>&lt;a href="canciones/taize/alleluia_96.html"&gt;</v>
      </c>
    </row>
    <row r="1552" spans="1:23" x14ac:dyDescent="0.3">
      <c r="A1552" s="1">
        <f>ROW(CantoralDB[[#This Row],[Título]])-1</f>
        <v>1551</v>
      </c>
      <c r="B1552" s="1" t="s">
        <v>881</v>
      </c>
      <c r="C1552" s="1" t="s">
        <v>1021</v>
      </c>
      <c r="D1552" s="1" t="s">
        <v>1084</v>
      </c>
      <c r="H1552" s="1" t="s">
        <v>1030</v>
      </c>
      <c r="I1552" s="1" t="s">
        <v>2961</v>
      </c>
      <c r="J1552" s="1" t="s">
        <v>608</v>
      </c>
      <c r="M1552" s="15" t="s">
        <v>1940</v>
      </c>
      <c r="N1552" s="15"/>
      <c r="O1552" s="15"/>
      <c r="P1552" s="15" t="str" cm="1">
        <f t="array" ref="P1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2" s="15" t="str" cm="1">
        <f t="array" ref="Q1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S1552" s="1"/>
      <c r="T1552" s="1" t="s">
        <v>788</v>
      </c>
      <c r="U1552" s="1"/>
      <c r="V1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data-nnew="Q10"&gt;&lt;a href="canciones/taize/alleluia_97.html"&gt;Aleluya 97&lt;/a&gt;&lt;/li&gt;</v>
      </c>
      <c r="W1552" s="15" t="str">
        <f>_xlfn.TEXTBEFORE(_xlfn.TEXTAFTER(CantoralDB[[#This Row],[index.html]],"&gt;"),"&gt;")&amp;"&gt;"</f>
        <v>&lt;a href="canciones/taize/alleluia_97.html"&gt;</v>
      </c>
    </row>
    <row r="1553" spans="1:23" x14ac:dyDescent="0.3">
      <c r="A1553" s="1">
        <f>ROW(CantoralDB[[#This Row],[Título]])-1</f>
        <v>1552</v>
      </c>
      <c r="B1553" s="1" t="s">
        <v>891</v>
      </c>
      <c r="C1553" s="1" t="s">
        <v>1021</v>
      </c>
      <c r="D1553" s="1" t="s">
        <v>1094</v>
      </c>
      <c r="H1553" s="1" t="s">
        <v>1030</v>
      </c>
      <c r="J1553" s="1" t="s">
        <v>608</v>
      </c>
      <c r="M1553" s="15" t="s">
        <v>1940</v>
      </c>
      <c r="N1553" s="15"/>
      <c r="O1553" s="15"/>
      <c r="P1553" s="15" t="str" cm="1">
        <f t="array" ref="P1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3" s="15" t="str" cm="1">
        <f t="array" ref="Q1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S1553" s="1" t="s">
        <v>955</v>
      </c>
      <c r="T1553" s="1" t="s">
        <v>325</v>
      </c>
      <c r="U1553" s="1"/>
      <c r="V1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data-nnew="Q20"&gt;&lt;a href="canciones/taize/cantarei_ao_senhor.html"&gt;Cantaré al Señor&lt;/a&gt;&lt;/li&gt;</v>
      </c>
      <c r="W1553" s="15" t="str">
        <f>_xlfn.TEXTBEFORE(_xlfn.TEXTAFTER(CantoralDB[[#This Row],[index.html]],"&gt;"),"&gt;")&amp;"&gt;"</f>
        <v>&lt;a href="canciones/taize/cantarei_ao_senhor.html"&gt;</v>
      </c>
    </row>
    <row r="1554" spans="1:23" x14ac:dyDescent="0.3">
      <c r="A1554" s="1">
        <f>ROW(CantoralDB[[#This Row],[Título]])-1</f>
        <v>1553</v>
      </c>
      <c r="B1554" s="1" t="s">
        <v>904</v>
      </c>
      <c r="C1554" s="1" t="s">
        <v>1021</v>
      </c>
      <c r="D1554" s="1" t="s">
        <v>1107</v>
      </c>
      <c r="H1554" s="1" t="s">
        <v>1030</v>
      </c>
      <c r="I1554" s="1" t="s">
        <v>2960</v>
      </c>
      <c r="J1554" s="1" t="s">
        <v>608</v>
      </c>
      <c r="M1554" s="15" t="s">
        <v>1940</v>
      </c>
      <c r="N1554" s="15"/>
      <c r="O1554" s="15"/>
      <c r="P1554" s="15" t="str" cm="1">
        <f t="array" ref="P1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4" s="15" t="str" cm="1">
        <f t="array" ref="Q1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S1554" s="1"/>
      <c r="T1554" s="1" t="s">
        <v>344</v>
      </c>
      <c r="U1554" s="1"/>
      <c r="V1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data-nnew="Q35"&gt;&lt;a href="canciones/taize/dona_nobis_pacem.html"&gt;Danos la paz del corazón&lt;/a&gt;&lt;/li&gt;</v>
      </c>
      <c r="W1554" s="15" t="str">
        <f>_xlfn.TEXTBEFORE(_xlfn.TEXTAFTER(CantoralDB[[#This Row],[index.html]],"&gt;"),"&gt;")&amp;"&gt;"</f>
        <v>&lt;a href="canciones/taize/dona_nobis_pacem.html"&gt;</v>
      </c>
    </row>
    <row r="1555" spans="1:23" x14ac:dyDescent="0.3">
      <c r="A1555" s="1">
        <f>ROW(CantoralDB[[#This Row],[Título]])-1</f>
        <v>1554</v>
      </c>
      <c r="B1555" s="1" t="s">
        <v>903</v>
      </c>
      <c r="C1555" s="1" t="s">
        <v>1021</v>
      </c>
      <c r="D1555" s="1" t="s">
        <v>1108</v>
      </c>
      <c r="H1555" s="1" t="s">
        <v>1030</v>
      </c>
      <c r="I1555" s="1" t="s">
        <v>2960</v>
      </c>
      <c r="J1555" s="1" t="s">
        <v>608</v>
      </c>
      <c r="M1555" s="15" t="s">
        <v>1940</v>
      </c>
      <c r="N1555" s="15"/>
      <c r="O1555" s="15"/>
      <c r="P1555" s="15" t="str" cm="1">
        <f t="array" ref="P1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5" s="15" t="str" cm="1">
        <f t="array" ref="Q1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S1555" s="1"/>
      <c r="T1555" s="1" t="s">
        <v>343</v>
      </c>
      <c r="U1555" s="1"/>
      <c r="V1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data-nnew="Q34"&gt;&lt;a href="canciones/taize/dona_la_pace.html"&gt;Danos la paz, oh, Señor&lt;/a&gt;&lt;/li&gt;</v>
      </c>
      <c r="W1555" s="15" t="str">
        <f>_xlfn.TEXTBEFORE(_xlfn.TEXTAFTER(CantoralDB[[#This Row],[index.html]],"&gt;"),"&gt;")&amp;"&gt;"</f>
        <v>&lt;a href="canciones/taize/dona_la_pace.html"&gt;</v>
      </c>
    </row>
    <row r="1556" spans="1:23" x14ac:dyDescent="0.3">
      <c r="A1556" s="1">
        <f>ROW(CantoralDB[[#This Row],[Título]])-1</f>
        <v>1555</v>
      </c>
      <c r="B1556" s="1" t="s">
        <v>2128</v>
      </c>
      <c r="C1556" s="1" t="s">
        <v>1021</v>
      </c>
      <c r="D1556" s="1" t="s">
        <v>1125</v>
      </c>
      <c r="H1556" s="1" t="s">
        <v>1030</v>
      </c>
      <c r="I1556" s="1" t="s">
        <v>2961</v>
      </c>
      <c r="J1556" s="1" t="s">
        <v>608</v>
      </c>
      <c r="M1556" s="15" t="s">
        <v>1940</v>
      </c>
      <c r="N1556" s="15"/>
      <c r="O1556" s="15"/>
      <c r="P1556" s="15" t="str" cm="1">
        <f t="array" ref="P1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6" s="15" t="str" cm="1">
        <f t="array" ref="Q1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S1556" s="1" t="s">
        <v>980</v>
      </c>
      <c r="T1556" s="1" t="s">
        <v>428</v>
      </c>
      <c r="U1556" s="1"/>
      <c r="V1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data-nnew="Q67"&gt;&lt;a href="canciones/taize/psallite_deo.html"&gt;Este es el día del Señor (Taizé)&lt;/a&gt;&lt;/li&gt;</v>
      </c>
      <c r="W1556" s="15" t="str">
        <f>_xlfn.TEXTBEFORE(_xlfn.TEXTAFTER(CantoralDB[[#This Row],[index.html]],"&gt;"),"&gt;")&amp;"&gt;"</f>
        <v>&lt;a href="canciones/taize/psallite_deo.html"&gt;</v>
      </c>
    </row>
    <row r="1557" spans="1:23" x14ac:dyDescent="0.3">
      <c r="A1557" s="1">
        <f>ROW(CantoralDB[[#This Row],[Título]])-1</f>
        <v>1556</v>
      </c>
      <c r="B1557" s="1" t="s">
        <v>916</v>
      </c>
      <c r="C1557" s="1" t="s">
        <v>1021</v>
      </c>
      <c r="D1557" s="1" t="s">
        <v>1131</v>
      </c>
      <c r="H1557" s="1" t="s">
        <v>1030</v>
      </c>
      <c r="J1557" s="1" t="s">
        <v>608</v>
      </c>
      <c r="M1557" s="15" t="s">
        <v>1940</v>
      </c>
      <c r="N1557" s="15"/>
      <c r="O1557" s="15"/>
      <c r="P1557" s="15" t="str" cm="1">
        <f t="array" ref="P1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7" s="15" t="str" cm="1">
        <f t="array" ref="Q1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S1557" s="1"/>
      <c r="T1557" s="1" t="s">
        <v>378</v>
      </c>
      <c r="U1557" s="1"/>
      <c r="V1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data-nnew="Q48"&gt;&lt;a href="canciones/taize/jesus_ma_joie.html"&gt;Jesús, mi vida&lt;/a&gt;&lt;/li&gt;</v>
      </c>
      <c r="W1557" s="15" t="str">
        <f>_xlfn.TEXTBEFORE(_xlfn.TEXTAFTER(CantoralDB[[#This Row],[index.html]],"&gt;"),"&gt;")&amp;"&gt;"</f>
        <v>&lt;a href="canciones/taize/jesus_ma_joie.html"&gt;</v>
      </c>
    </row>
    <row r="1558" spans="1:23" x14ac:dyDescent="0.3">
      <c r="A1558" s="1">
        <f>ROW(CantoralDB[[#This Row],[Título]])-1</f>
        <v>1557</v>
      </c>
      <c r="B1558" s="1" t="s">
        <v>907</v>
      </c>
      <c r="C1558" s="1" t="s">
        <v>1021</v>
      </c>
      <c r="D1558" s="1" t="s">
        <v>1124</v>
      </c>
      <c r="H1558" s="1" t="s">
        <v>1030</v>
      </c>
      <c r="J1558" s="1" t="s">
        <v>608</v>
      </c>
      <c r="M1558" s="15" t="s">
        <v>1940</v>
      </c>
      <c r="N1558" s="15"/>
      <c r="O1558" s="15"/>
      <c r="P1558" s="15" t="str" cm="1">
        <f t="array" ref="P1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8" s="15" t="str" cm="1">
        <f t="array" ref="Q1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S1558" s="1"/>
      <c r="T1558" s="1" t="s">
        <v>349</v>
      </c>
      <c r="U1558" s="1"/>
      <c r="V1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data-nnew="Q39"&gt;&lt;a href="canciones/taize/esprit_consolateur.html"&gt;Oh, Dios consolador&lt;/a&gt;&lt;/li&gt;</v>
      </c>
      <c r="W1558" s="15" t="str">
        <f>_xlfn.TEXTBEFORE(_xlfn.TEXTAFTER(CantoralDB[[#This Row],[index.html]],"&gt;"),"&gt;")&amp;"&gt;"</f>
        <v>&lt;a href="canciones/taize/esprit_consolateur.html"&gt;</v>
      </c>
    </row>
    <row r="1559" spans="1:23" x14ac:dyDescent="0.3">
      <c r="A1559" s="1">
        <f>ROW(CantoralDB[[#This Row],[Título]])-1</f>
        <v>1558</v>
      </c>
      <c r="B1559" s="1" t="s">
        <v>900</v>
      </c>
      <c r="C1559" s="1" t="s">
        <v>1021</v>
      </c>
      <c r="D1559" s="1" t="s">
        <v>1114</v>
      </c>
      <c r="H1559" s="1" t="s">
        <v>1030</v>
      </c>
      <c r="I1559" s="1" t="s">
        <v>2959</v>
      </c>
      <c r="J1559" s="1" t="s">
        <v>608</v>
      </c>
      <c r="M1559" s="15" t="s">
        <v>1940</v>
      </c>
      <c r="N1559" s="15"/>
      <c r="O1559" s="15"/>
      <c r="P1559" s="15" t="str" cm="1">
        <f t="array" ref="P1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59" s="15" t="str" cm="1">
        <f t="array" ref="Q1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S1559" s="1" t="s">
        <v>962</v>
      </c>
      <c r="T1559" s="1" t="s">
        <v>339</v>
      </c>
      <c r="U1559" s="1"/>
      <c r="V1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data-nnew="Q31"&gt;&lt;a href="canciones/taize/deus_deus_meus_(canon).html"&gt;Oh, Dios, tú, Dios mío (canon)&lt;/a&gt;&lt;/li&gt;</v>
      </c>
      <c r="W1559" s="15" t="str">
        <f>_xlfn.TEXTBEFORE(_xlfn.TEXTAFTER(CantoralDB[[#This Row],[index.html]],"&gt;"),"&gt;")&amp;"&gt;"</f>
        <v>&lt;a href="canciones/taize/deus_deus_meus_(canon).html"&gt;</v>
      </c>
    </row>
    <row r="1560" spans="1:23" x14ac:dyDescent="0.3">
      <c r="A1560" s="1">
        <f>ROW(CantoralDB[[#This Row],[Título]])-1</f>
        <v>1559</v>
      </c>
      <c r="B1560" s="1" t="s">
        <v>926</v>
      </c>
      <c r="C1560" s="1" t="s">
        <v>1021</v>
      </c>
      <c r="D1560" s="1" t="s">
        <v>1139</v>
      </c>
      <c r="H1560" s="1" t="s">
        <v>1030</v>
      </c>
      <c r="I1560" s="1" t="s">
        <v>2961</v>
      </c>
      <c r="J1560" s="1" t="s">
        <v>608</v>
      </c>
      <c r="M1560" s="15" t="s">
        <v>1940</v>
      </c>
      <c r="N1560" s="15"/>
      <c r="O1560" s="15"/>
      <c r="P1560" s="15" t="str" cm="1">
        <f t="array" ref="P1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0" s="15" t="str" cm="1">
        <f t="array" ref="Q1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S1560" s="1" t="s">
        <v>974</v>
      </c>
      <c r="T1560" s="1" t="s">
        <v>784</v>
      </c>
      <c r="U1560" s="1"/>
      <c r="V1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data-nnew="Q58"&gt;&lt;a href="canciones/taize/laudate_dominum.html"&gt;Que alabe al Señor&lt;/a&gt;&lt;/li&gt;</v>
      </c>
      <c r="W1560" s="15" t="str">
        <f>_xlfn.TEXTBEFORE(_xlfn.TEXTAFTER(CantoralDB[[#This Row],[index.html]],"&gt;"),"&gt;")&amp;"&gt;"</f>
        <v>&lt;a href="canciones/taize/laudate_dominum.html"&gt;</v>
      </c>
    </row>
    <row r="1561" spans="1:23" x14ac:dyDescent="0.3">
      <c r="A1561" s="1">
        <f>ROW(CantoralDB[[#This Row],[Título]])-1</f>
        <v>1560</v>
      </c>
      <c r="B1561" s="1" t="s">
        <v>923</v>
      </c>
      <c r="C1561" s="1" t="s">
        <v>1021</v>
      </c>
      <c r="D1561" s="1" t="s">
        <v>1135</v>
      </c>
      <c r="H1561" s="1" t="s">
        <v>1030</v>
      </c>
      <c r="I1561" s="1" t="s">
        <v>2959</v>
      </c>
      <c r="J1561" s="1" t="s">
        <v>608</v>
      </c>
      <c r="M1561" s="15" t="s">
        <v>1940</v>
      </c>
      <c r="N1561" s="15"/>
      <c r="O1561" s="15"/>
      <c r="P1561" s="15" t="str" cm="1">
        <f t="array" ref="P1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1" s="15" t="str" cm="1">
        <f t="array" ref="Q1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S1561" s="1"/>
      <c r="T1561" s="1" t="s">
        <v>388</v>
      </c>
      <c r="U1561" s="1"/>
      <c r="V1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data-nnew="Q54"&gt;&lt;a href="canciones/taize/kyrie_6.html"&gt;Ten piedad, Señor 6&lt;/a&gt;&lt;/li&gt;</v>
      </c>
      <c r="W1561" s="15" t="str">
        <f>_xlfn.TEXTBEFORE(_xlfn.TEXTAFTER(CantoralDB[[#This Row],[index.html]],"&gt;"),"&gt;")&amp;"&gt;"</f>
        <v>&lt;a href="canciones/taize/kyrie_6.html"&gt;</v>
      </c>
    </row>
    <row r="1562" spans="1:23" x14ac:dyDescent="0.3">
      <c r="A1562" s="1">
        <f>ROW(CantoralDB[[#This Row],[Título]])-1</f>
        <v>1561</v>
      </c>
      <c r="B1562" s="1" t="s">
        <v>920</v>
      </c>
      <c r="C1562" s="1" t="s">
        <v>1021</v>
      </c>
      <c r="D1562" s="1" t="s">
        <v>1074</v>
      </c>
      <c r="H1562" s="1" t="s">
        <v>1027</v>
      </c>
      <c r="I1562" s="1" t="s">
        <v>2961</v>
      </c>
      <c r="J1562" s="1" t="s">
        <v>608</v>
      </c>
      <c r="M1562" s="15" t="s">
        <v>1940</v>
      </c>
      <c r="N1562" s="15"/>
      <c r="O1562" s="15"/>
      <c r="P1562" s="15" t="str" cm="1">
        <f t="array" ref="P1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2" s="15" t="str" cm="1">
        <f t="array" ref="Q1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canciones/taize/jubilate_deo.html</v>
      </c>
      <c r="S1562" s="1" t="s">
        <v>972</v>
      </c>
      <c r="T1562" s="1" t="s">
        <v>383</v>
      </c>
      <c r="U1562" s="1"/>
      <c r="V1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data-nnew="Q51"&gt;&lt;a href="canciones/taize/jubilate_deo.html"&gt;Al Señor alabe&lt;/a&gt;&lt;/li&gt;</v>
      </c>
      <c r="W1562" s="15" t="str">
        <f>_xlfn.TEXTBEFORE(_xlfn.TEXTAFTER(CantoralDB[[#This Row],[index.html]],"&gt;"),"&gt;")&amp;"&gt;"</f>
        <v>&lt;a href="canciones/taize/jubilate_deo.html"&gt;</v>
      </c>
    </row>
    <row r="1563" spans="1:23" x14ac:dyDescent="0.3">
      <c r="A1563" s="1">
        <f>ROW(CantoralDB[[#This Row],[Título]])-1</f>
        <v>1562</v>
      </c>
      <c r="B1563" s="1" t="s">
        <v>945</v>
      </c>
      <c r="C1563" s="1" t="s">
        <v>1021</v>
      </c>
      <c r="D1563" s="1" t="s">
        <v>1075</v>
      </c>
      <c r="H1563" s="1" t="s">
        <v>1027</v>
      </c>
      <c r="I1563" s="1" t="s">
        <v>2962</v>
      </c>
      <c r="J1563" s="1" t="s">
        <v>608</v>
      </c>
      <c r="M1563" s="15" t="s">
        <v>1940</v>
      </c>
      <c r="N1563" s="15"/>
      <c r="O1563" s="15"/>
      <c r="P1563" s="15" t="str" cm="1">
        <f t="array" ref="P1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3" s="15" t="str" cm="1">
        <f t="array" ref="Q1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S1563" s="1"/>
      <c r="T1563" s="1" t="s">
        <v>471</v>
      </c>
      <c r="U1563" s="1"/>
      <c r="V1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data-nnew="Q82"&gt;&lt;a href="canciones/taize/wysławiajcie_pana.html"&gt;Alabado sea el Señor&lt;/a&gt;&lt;/li&gt;</v>
      </c>
      <c r="W1563" s="15" t="str">
        <f>_xlfn.TEXTBEFORE(_xlfn.TEXTAFTER(CantoralDB[[#This Row],[index.html]],"&gt;"),"&gt;")&amp;"&gt;"</f>
        <v>&lt;a href="canciones/taize/wysławiajcie_pana.html"&gt;</v>
      </c>
    </row>
    <row r="1564" spans="1:23" x14ac:dyDescent="0.3">
      <c r="A1564" s="1">
        <f>ROW(CantoralDB[[#This Row],[Título]])-1</f>
        <v>1563</v>
      </c>
      <c r="B1564" s="1" t="s">
        <v>1025</v>
      </c>
      <c r="C1564" s="1" t="s">
        <v>1021</v>
      </c>
      <c r="D1564" s="1" t="s">
        <v>1112</v>
      </c>
      <c r="H1564" s="1" t="s">
        <v>1027</v>
      </c>
      <c r="I1564" s="1" t="s">
        <v>2962</v>
      </c>
      <c r="J1564" s="1" t="s">
        <v>608</v>
      </c>
      <c r="M1564" s="15" t="s">
        <v>1940</v>
      </c>
      <c r="N1564" s="15"/>
      <c r="O1564" s="15"/>
      <c r="P1564" s="15" t="str" cm="1">
        <f t="array" ref="P1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4" s="15" t="str" cm="1">
        <f t="array" ref="Q1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S1564" s="1"/>
      <c r="T1564" s="1" t="s">
        <v>1026</v>
      </c>
      <c r="U1564" s="1"/>
      <c r="V1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data-nnew="Q79"&gt;&lt;a href="canciones/taize/v_tebi_je_izvir_življenja.html"&gt;Dentro llevas la fuente de vida&lt;/a&gt;&lt;/li&gt;</v>
      </c>
      <c r="W1564" s="15" t="str">
        <f>_xlfn.TEXTBEFORE(_xlfn.TEXTAFTER(CantoralDB[[#This Row],[index.html]],"&gt;"),"&gt;")&amp;"&gt;"</f>
        <v>&lt;a href="canciones/taize/v_tebi_je_izvir_življenja.html"&gt;</v>
      </c>
    </row>
    <row r="1565" spans="1:23" x14ac:dyDescent="0.3">
      <c r="A1565" s="1">
        <f>ROW(CantoralDB[[#This Row],[Título]])-1</f>
        <v>1564</v>
      </c>
      <c r="B1565" s="1" t="s">
        <v>943</v>
      </c>
      <c r="C1565" s="1" t="s">
        <v>1021</v>
      </c>
      <c r="D1565" s="1" t="s">
        <v>1152</v>
      </c>
      <c r="H1565" s="1" t="s">
        <v>1027</v>
      </c>
      <c r="I1565" s="1" t="s">
        <v>2962</v>
      </c>
      <c r="J1565" s="1" t="s">
        <v>608</v>
      </c>
      <c r="M1565" s="15" t="s">
        <v>1940</v>
      </c>
      <c r="N1565" s="15"/>
      <c r="O1565" s="15"/>
      <c r="P1565" s="15" t="str" cm="1">
        <f t="array" ref="P1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5" s="15" t="str" cm="1">
        <f t="array" ref="Q1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S1565" s="1"/>
      <c r="T1565" s="1" t="s">
        <v>466</v>
      </c>
      <c r="U1565" s="1"/>
      <c r="V1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data-nnew="Q80"&gt;&lt;a href="canciones/taize/vieni_spirito_creatore_(canon).html"&gt;Ven, Espíritu (canon)&lt;/a&gt;&lt;/li&gt;</v>
      </c>
      <c r="W1565" s="15" t="str">
        <f>_xlfn.TEXTBEFORE(_xlfn.TEXTAFTER(CantoralDB[[#This Row],[index.html]],"&gt;"),"&gt;")&amp;"&gt;"</f>
        <v>&lt;a href="canciones/taize/vieni_spirito_creatore_(canon).html"&gt;</v>
      </c>
    </row>
    <row r="1566" spans="1:23" x14ac:dyDescent="0.3">
      <c r="A1566" s="1">
        <f>ROW(CantoralDB[[#This Row],[Título]])-1</f>
        <v>1565</v>
      </c>
      <c r="B1566" s="1" t="s">
        <v>910</v>
      </c>
      <c r="C1566" s="1" t="s">
        <v>1021</v>
      </c>
      <c r="D1566" s="1" t="s">
        <v>1127</v>
      </c>
      <c r="H1566" s="1" t="s">
        <v>1027</v>
      </c>
      <c r="I1566" s="1" t="s">
        <v>2962</v>
      </c>
      <c r="J1566" s="1" t="s">
        <v>608</v>
      </c>
      <c r="M1566" s="15" t="s">
        <v>1940</v>
      </c>
      <c r="N1566" s="15"/>
      <c r="O1566" s="15"/>
      <c r="P1566" s="15" t="str" cm="1">
        <f t="array" ref="P1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6" s="15" t="str" cm="1">
        <f t="array" ref="Q1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S1566" s="1" t="s">
        <v>966</v>
      </c>
      <c r="T1566" s="1" t="s">
        <v>367</v>
      </c>
      <c r="U1566" s="1"/>
      <c r="V1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data-nnew="Q42"&gt;&lt;a href="canciones/taize/i_am_sure_i_shall_see.html"&gt;Yo ya sé qué veré&lt;/a&gt;&lt;/li&gt;</v>
      </c>
      <c r="W1566" s="15" t="str">
        <f>_xlfn.TEXTBEFORE(_xlfn.TEXTAFTER(CantoralDB[[#This Row],[index.html]],"&gt;"),"&gt;")&amp;"&gt;"</f>
        <v>&lt;a href="canciones/taize/i_am_sure_i_shall_see.html"&gt;</v>
      </c>
    </row>
    <row r="1567" spans="1:23" x14ac:dyDescent="0.3">
      <c r="A1567" s="1">
        <f>ROW(CantoralDB[[#This Row],[Título]])-1</f>
        <v>1566</v>
      </c>
      <c r="B1567" s="1" t="s">
        <v>878</v>
      </c>
      <c r="C1567" s="1" t="s">
        <v>1021</v>
      </c>
      <c r="D1567" s="1" t="s">
        <v>1081</v>
      </c>
      <c r="H1567" s="1" t="s">
        <v>1028</v>
      </c>
      <c r="J1567" s="1" t="s">
        <v>608</v>
      </c>
      <c r="M1567" s="15" t="s">
        <v>1940</v>
      </c>
      <c r="N1567" s="15"/>
      <c r="O1567" s="15"/>
      <c r="P1567" s="15" t="str" cm="1">
        <f t="array" ref="P1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7" s="15" t="str" cm="1">
        <f t="array" ref="Q1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S1567" s="1"/>
      <c r="T1567" s="1" t="s">
        <v>294</v>
      </c>
      <c r="U1567" s="1"/>
      <c r="V1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data-nnew="Q04"&gt;&lt;a href="canciones/taize/alleluia_7.html"&gt;Aleluya 7&lt;/a&gt;&lt;/li&gt;</v>
      </c>
      <c r="W1567" s="15" t="str">
        <f>_xlfn.TEXTBEFORE(_xlfn.TEXTAFTER(CantoralDB[[#This Row],[index.html]],"&gt;"),"&gt;")&amp;"&gt;"</f>
        <v>&lt;a href="canciones/taize/alleluia_7.html"&gt;</v>
      </c>
    </row>
    <row r="1568" spans="1:23" x14ac:dyDescent="0.3">
      <c r="A1568" s="1">
        <f>ROW(CantoralDB[[#This Row],[Título]])-1</f>
        <v>1567</v>
      </c>
      <c r="B1568" s="1" t="s">
        <v>884</v>
      </c>
      <c r="C1568" s="1" t="s">
        <v>1021</v>
      </c>
      <c r="D1568" s="1" t="s">
        <v>1088</v>
      </c>
      <c r="H1568" s="1" t="s">
        <v>1028</v>
      </c>
      <c r="I1568" s="1" t="s">
        <v>2962</v>
      </c>
      <c r="J1568" s="1" t="s">
        <v>608</v>
      </c>
      <c r="M1568" s="15" t="s">
        <v>1940</v>
      </c>
      <c r="N1568" s="15"/>
      <c r="O1568" s="15"/>
      <c r="P1568" s="15" t="str" cm="1">
        <f t="array" ref="P1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8" s="15" t="str" cm="1">
        <f t="array" ref="Q1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S1568" s="1" t="s">
        <v>950</v>
      </c>
      <c r="T1568" s="1" t="s">
        <v>314</v>
      </c>
      <c r="U1568" s="1"/>
      <c r="V1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data-nnew="Q13"&gt;&lt;a href="canciones/taize/benedictus_qui_venit_(canon).html"&gt;Bendito el que viene (canon)&lt;/a&gt;&lt;/li&gt;</v>
      </c>
      <c r="W1568" s="15" t="str">
        <f>_xlfn.TEXTBEFORE(_xlfn.TEXTAFTER(CantoralDB[[#This Row],[index.html]],"&gt;"),"&gt;")&amp;"&gt;"</f>
        <v>&lt;a href="canciones/taize/benedictus_qui_venit_(canon).html"&gt;</v>
      </c>
    </row>
    <row r="1569" spans="1:23" x14ac:dyDescent="0.3">
      <c r="A1569" s="1">
        <f>ROW(CantoralDB[[#This Row],[Título]])-1</f>
        <v>1568</v>
      </c>
      <c r="B1569" s="1" t="s">
        <v>939</v>
      </c>
      <c r="C1569" s="1" t="s">
        <v>1021</v>
      </c>
      <c r="D1569" s="1" t="s">
        <v>1119</v>
      </c>
      <c r="H1569" s="1" t="s">
        <v>1028</v>
      </c>
      <c r="I1569" s="1" t="s">
        <v>2962</v>
      </c>
      <c r="J1569" s="1" t="s">
        <v>608</v>
      </c>
      <c r="M1569" s="15" t="s">
        <v>1940</v>
      </c>
      <c r="N1569" s="15"/>
      <c r="O1569" s="15"/>
      <c r="P1569" s="15" t="str" cm="1">
        <f t="array" ref="P1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69" s="15" t="str" cm="1">
        <f t="array" ref="Q1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S1569" s="1" t="s">
        <v>806</v>
      </c>
      <c r="T1569" s="1" t="s">
        <v>449</v>
      </c>
      <c r="U1569" s="1"/>
      <c r="V1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data-nnew="Q74"&gt;&lt;a href="canciones/taize/the_kingdom_of_god.html"&gt;El Reino de Dios&lt;/a&gt;&lt;/li&gt;</v>
      </c>
      <c r="W1569" s="15" t="str">
        <f>_xlfn.TEXTBEFORE(_xlfn.TEXTAFTER(CantoralDB[[#This Row],[index.html]],"&gt;"),"&gt;")&amp;"&gt;"</f>
        <v>&lt;a href="canciones/taize/the_kingdom_of_god.html"&gt;</v>
      </c>
    </row>
    <row r="1570" spans="1:23" x14ac:dyDescent="0.3">
      <c r="A1570" s="1">
        <f>ROW(CantoralDB[[#This Row],[Título]])-1</f>
        <v>1569</v>
      </c>
      <c r="B1570" s="1" t="s">
        <v>911</v>
      </c>
      <c r="C1570" s="1" t="s">
        <v>1021</v>
      </c>
      <c r="D1570" s="1" t="s">
        <v>1128</v>
      </c>
      <c r="H1570" s="1" t="s">
        <v>1028</v>
      </c>
      <c r="I1570" s="1" t="s">
        <v>2962</v>
      </c>
      <c r="J1570" s="1" t="s">
        <v>608</v>
      </c>
      <c r="M1570" s="15" t="s">
        <v>1940</v>
      </c>
      <c r="N1570" s="15"/>
      <c r="O1570" s="15"/>
      <c r="P1570" s="15" t="str" cm="1">
        <f t="array" ref="P1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0" s="15" t="str" cm="1">
        <f t="array" ref="Q1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S1570" s="1" t="s">
        <v>967</v>
      </c>
      <c r="T1570" s="1" t="s">
        <v>368</v>
      </c>
      <c r="U1570" s="1"/>
      <c r="V1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data-nnew="Q43"&gt;&lt;a href="canciones/taize/iedere_nacht_verlang_ik.html"&gt;Mi corazón te anhela&lt;/a&gt;&lt;/li&gt;</v>
      </c>
      <c r="W1570" s="15" t="str">
        <f>_xlfn.TEXTBEFORE(_xlfn.TEXTAFTER(CantoralDB[[#This Row],[index.html]],"&gt;"),"&gt;")&amp;"&gt;"</f>
        <v>&lt;a href="canciones/taize/iedere_nacht_verlang_ik.html"&gt;</v>
      </c>
    </row>
    <row r="1571" spans="1:23" x14ac:dyDescent="0.3">
      <c r="A1571" s="1">
        <f>ROW(CantoralDB[[#This Row],[Título]])-1</f>
        <v>1570</v>
      </c>
      <c r="B1571" s="1" t="s">
        <v>896</v>
      </c>
      <c r="C1571" s="1" t="s">
        <v>1021</v>
      </c>
      <c r="D1571" s="1" t="s">
        <v>1104</v>
      </c>
      <c r="H1571" s="1" t="s">
        <v>1028</v>
      </c>
      <c r="I1571" s="1" t="s">
        <v>2962</v>
      </c>
      <c r="J1571" s="1" t="s">
        <v>608</v>
      </c>
      <c r="M1571" s="15" t="s">
        <v>1940</v>
      </c>
      <c r="N1571" s="15"/>
      <c r="O1571" s="15"/>
      <c r="P1571" s="15" t="str" cm="1">
        <f t="array" ref="P1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1" s="15" t="str" cm="1">
        <f t="array" ref="Q1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S1571" s="1"/>
      <c r="T1571" s="1" t="s">
        <v>333</v>
      </c>
      <c r="U1571" s="1"/>
      <c r="V1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data-nnew="Q25"&gt;&lt;a href="canciones/taize/crucem_tuam.html"&gt;Tu santa cruz&lt;/a&gt;&lt;/li&gt;</v>
      </c>
      <c r="W1571" s="15" t="str">
        <f>_xlfn.TEXTBEFORE(_xlfn.TEXTAFTER(CantoralDB[[#This Row],[index.html]],"&gt;"),"&gt;")&amp;"&gt;"</f>
        <v>&lt;a href="canciones/taize/crucem_tuam.html"&gt;</v>
      </c>
    </row>
    <row r="1572" spans="1:23" x14ac:dyDescent="0.3">
      <c r="A1572" s="1">
        <f>ROW(CantoralDB[[#This Row],[Título]])-1</f>
        <v>1571</v>
      </c>
      <c r="B1572" s="1" t="s">
        <v>941</v>
      </c>
      <c r="C1572" s="1" t="s">
        <v>1021</v>
      </c>
      <c r="D1572" s="1" t="s">
        <v>1151</v>
      </c>
      <c r="H1572" s="1" t="s">
        <v>1028</v>
      </c>
      <c r="I1572" s="1" t="s">
        <v>2962</v>
      </c>
      <c r="J1572" s="1" t="s">
        <v>608</v>
      </c>
      <c r="M1572" s="15" t="s">
        <v>1940</v>
      </c>
      <c r="N1572" s="15"/>
      <c r="O1572" s="15"/>
      <c r="P1572" s="15" t="str" cm="1">
        <f t="array" ref="P1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2" s="15" t="str" cm="1">
        <f t="array" ref="Q1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S1572" s="1"/>
      <c r="T1572" s="1" t="s">
        <v>455</v>
      </c>
      <c r="U1572" s="1"/>
      <c r="V1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data-nnew="Q77"&gt;&lt;a href="canciones/taize/tui_amoris.html"&gt;Ven, Espíritu de Dios&lt;/a&gt;&lt;/li&gt;</v>
      </c>
      <c r="W1572" s="15" t="str">
        <f>_xlfn.TEXTBEFORE(_xlfn.TEXTAFTER(CantoralDB[[#This Row],[index.html]],"&gt;"),"&gt;")&amp;"&gt;"</f>
        <v>&lt;a href="canciones/taize/tui_amoris.html"&gt;</v>
      </c>
    </row>
    <row r="1573" spans="1:23" x14ac:dyDescent="0.3">
      <c r="A1573" s="1">
        <f>ROW(CantoralDB[[#This Row],[Título]])-1</f>
        <v>1572</v>
      </c>
      <c r="B1573" s="1" t="s">
        <v>912</v>
      </c>
      <c r="C1573" s="1" t="s">
        <v>1021</v>
      </c>
      <c r="D1573" s="1" t="s">
        <v>1121</v>
      </c>
      <c r="H1573" s="1" t="s">
        <v>1027</v>
      </c>
      <c r="I1573" s="1" t="s">
        <v>2962</v>
      </c>
      <c r="J1573" s="1" t="s">
        <v>608</v>
      </c>
      <c r="M1573" s="15" t="s">
        <v>1940</v>
      </c>
      <c r="N1573" s="15"/>
      <c r="O1573" s="15"/>
      <c r="P1573" s="15" t="str" cm="1">
        <f t="array" ref="P1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3" s="15" t="str" cm="1">
        <f t="array" ref="Q1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S1573" s="1" t="s">
        <v>968</v>
      </c>
      <c r="T1573" s="1" t="s">
        <v>369</v>
      </c>
      <c r="U1573" s="1"/>
      <c r="V1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data-nnew="Q44"&gt;&lt;a href="canciones/taize/il_signore_ti_ristora.html"&gt;El Señor es quien restaura&lt;/a&gt;&lt;/li&gt;</v>
      </c>
      <c r="W1573" s="15" t="str">
        <f>_xlfn.TEXTBEFORE(_xlfn.TEXTAFTER(CantoralDB[[#This Row],[index.html]],"&gt;"),"&gt;")&amp;"&gt;"</f>
        <v>&lt;a href="canciones/taize/il_signore_ti_ristora.html"&gt;</v>
      </c>
    </row>
    <row r="1574" spans="1:23" x14ac:dyDescent="0.3">
      <c r="A1574" s="1">
        <f>ROW(CantoralDB[[#This Row],[Título]])-1</f>
        <v>1573</v>
      </c>
      <c r="B1574" s="1" t="s">
        <v>894</v>
      </c>
      <c r="C1574" s="1" t="s">
        <v>1021</v>
      </c>
      <c r="D1574" s="1" t="s">
        <v>1097</v>
      </c>
      <c r="H1574" s="1" t="s">
        <v>1027</v>
      </c>
      <c r="I1574" s="1" t="s">
        <v>2961</v>
      </c>
      <c r="J1574" s="1" t="s">
        <v>608</v>
      </c>
      <c r="M1574" s="15" t="s">
        <v>1940</v>
      </c>
      <c r="N1574" s="15"/>
      <c r="O1574" s="15"/>
      <c r="P1574" s="15" t="str" cm="1">
        <f t="array" ref="P1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4" s="15" t="str" cm="1">
        <f t="array" ref="Q1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S1574" s="1" t="s">
        <v>870</v>
      </c>
      <c r="T1574" s="1" t="s">
        <v>329</v>
      </c>
      <c r="U1574" s="1"/>
      <c r="V1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data-nnew="Q21"&gt;&lt;a href="canciones/taize/christe_lux_mundi.html"&gt;Tú, luz del mundo&lt;/a&gt;&lt;/li&gt;</v>
      </c>
      <c r="W1574" s="15" t="str">
        <f>_xlfn.TEXTBEFORE(_xlfn.TEXTAFTER(CantoralDB[[#This Row],[index.html]],"&gt;"),"&gt;")&amp;"&gt;"</f>
        <v>&lt;a href="canciones/taize/christe_lux_mundi.html"&gt;</v>
      </c>
    </row>
    <row r="1575" spans="1:23" x14ac:dyDescent="0.3">
      <c r="A1575" s="1">
        <f>ROW(CantoralDB[[#This Row],[Título]])-1</f>
        <v>1574</v>
      </c>
      <c r="B1575" s="1" t="s">
        <v>875</v>
      </c>
      <c r="C1575" s="1" t="s">
        <v>1021</v>
      </c>
      <c r="D1575" s="1" t="s">
        <v>1078</v>
      </c>
      <c r="H1575" s="1" t="s">
        <v>1030</v>
      </c>
      <c r="I1575" s="1" t="s">
        <v>2959</v>
      </c>
      <c r="J1575" s="1" t="s">
        <v>608</v>
      </c>
      <c r="M1575" s="15" t="s">
        <v>1940</v>
      </c>
      <c r="N1575" s="15"/>
      <c r="O1575" s="15"/>
      <c r="P1575" s="15" t="str" cm="1">
        <f t="array" ref="P1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5" s="15" t="str" cm="1">
        <f t="array" ref="Q1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S1575" s="1"/>
      <c r="T1575" s="1" t="s">
        <v>297</v>
      </c>
      <c r="U1575" s="1"/>
      <c r="V1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data-nnew="Q05"&gt;&lt;a href="canciones/taize/alleluia_11.html"&gt;Aleluya 11&lt;/a&gt;&lt;/li&gt;</v>
      </c>
      <c r="W1575" s="15" t="str">
        <f>_xlfn.TEXTBEFORE(_xlfn.TEXTAFTER(CantoralDB[[#This Row],[index.html]],"&gt;"),"&gt;")&amp;"&gt;"</f>
        <v>&lt;a href="canciones/taize/alleluia_11.html"&gt;</v>
      </c>
    </row>
    <row r="1576" spans="1:23" x14ac:dyDescent="0.3">
      <c r="A1576" s="1">
        <f>ROW(CantoralDB[[#This Row],[Título]])-1</f>
        <v>1575</v>
      </c>
      <c r="B1576" s="1" t="s">
        <v>930</v>
      </c>
      <c r="C1576" s="1" t="s">
        <v>1021</v>
      </c>
      <c r="D1576" s="1" t="s">
        <v>1111</v>
      </c>
      <c r="H1576" s="1" t="s">
        <v>1030</v>
      </c>
      <c r="J1576" s="1" t="s">
        <v>608</v>
      </c>
      <c r="M1576" s="15" t="s">
        <v>1940</v>
      </c>
      <c r="N1576" s="15"/>
      <c r="O1576" s="15"/>
      <c r="P1576" s="15" t="str" cm="1">
        <f t="array" ref="P1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6" s="15" t="str" cm="1">
        <f t="array" ref="Q1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S1576" s="1" t="s">
        <v>979</v>
      </c>
      <c r="T1576" s="1" t="s">
        <v>420</v>
      </c>
      <c r="U1576" s="1"/>
      <c r="V1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data-nnew="Q64"&gt;&lt;a href="canciones/taize/nunc_dimittis.html"&gt;Deja ahora&lt;/a&gt;&lt;/li&gt;</v>
      </c>
      <c r="W1576" s="15" t="str">
        <f>_xlfn.TEXTBEFORE(_xlfn.TEXTAFTER(CantoralDB[[#This Row],[index.html]],"&gt;"),"&gt;")&amp;"&gt;"</f>
        <v>&lt;a href="canciones/taize/nunc_dimittis.html"&gt;</v>
      </c>
    </row>
    <row r="1577" spans="1:23" x14ac:dyDescent="0.3">
      <c r="A1577" s="1">
        <f>ROW(CantoralDB[[#This Row],[Título]])-1</f>
        <v>1576</v>
      </c>
      <c r="B1577" s="1" t="s">
        <v>888</v>
      </c>
      <c r="C1577" s="1" t="s">
        <v>1021</v>
      </c>
      <c r="D1577" s="1" t="s">
        <v>1091</v>
      </c>
      <c r="H1577" s="1" t="s">
        <v>1030</v>
      </c>
      <c r="I1577" s="1" t="s">
        <v>2962</v>
      </c>
      <c r="J1577" s="1" t="s">
        <v>608</v>
      </c>
      <c r="M1577" s="15" t="s">
        <v>1940</v>
      </c>
      <c r="N1577" s="15"/>
      <c r="O1577" s="15"/>
      <c r="P1577" s="15" t="str" cm="1">
        <f t="array" ref="P1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7" s="15" t="str" cm="1">
        <f t="array" ref="Q1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S1577" s="1"/>
      <c r="T1577" s="1" t="s">
        <v>320</v>
      </c>
      <c r="U1577" s="1"/>
      <c r="V1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data-nnew="Q16"&gt;&lt;a href="canciones/taize/bog_jest_miłością.html"&gt;Dios es ternura&lt;/a&gt;&lt;/li&gt;</v>
      </c>
      <c r="W1577" s="15" t="str">
        <f>_xlfn.TEXTBEFORE(_xlfn.TEXTAFTER(CantoralDB[[#This Row],[index.html]],"&gt;"),"&gt;")&amp;"&gt;"</f>
        <v>&lt;a href="canciones/taize/bog_jest_miłością.html"&gt;</v>
      </c>
    </row>
    <row r="1578" spans="1:23" x14ac:dyDescent="0.3">
      <c r="A1578" s="1">
        <f>ROW(CantoralDB[[#This Row],[Título]])-1</f>
        <v>1577</v>
      </c>
      <c r="B1578" s="1" t="s">
        <v>889</v>
      </c>
      <c r="C1578" s="1" t="s">
        <v>1021</v>
      </c>
      <c r="D1578" s="1" t="s">
        <v>1092</v>
      </c>
      <c r="H1578" s="1" t="s">
        <v>1030</v>
      </c>
      <c r="J1578" s="1" t="s">
        <v>608</v>
      </c>
      <c r="M1578" s="15" t="s">
        <v>1940</v>
      </c>
      <c r="N1578" s="15"/>
      <c r="O1578" s="15"/>
      <c r="P1578" s="15" t="str" cm="1">
        <f t="array" ref="P1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8" s="15" t="str" cm="1">
        <f t="array" ref="Q1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S1578" s="1"/>
      <c r="T1578" s="1" t="s">
        <v>321</v>
      </c>
      <c r="U1578" s="1"/>
      <c r="V1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data-nnew="Q18"&gt;&lt;a href="canciones/taize/bogoroditse_dievo_1.html"&gt;Dios te salve&lt;/a&gt;&lt;/li&gt;</v>
      </c>
      <c r="W1578" s="15" t="str">
        <f>_xlfn.TEXTBEFORE(_xlfn.TEXTAFTER(CantoralDB[[#This Row],[index.html]],"&gt;"),"&gt;")&amp;"&gt;"</f>
        <v>&lt;a href="canciones/taize/bogoroditse_dievo_1.html"&gt;</v>
      </c>
    </row>
    <row r="1579" spans="1:23" x14ac:dyDescent="0.3">
      <c r="A1579" s="1">
        <f>ROW(CantoralDB[[#This Row],[Título]])-1</f>
        <v>1578</v>
      </c>
      <c r="B1579" s="1" t="s">
        <v>908</v>
      </c>
      <c r="C1579" s="1" t="s">
        <v>1021</v>
      </c>
      <c r="D1579" s="1" t="s">
        <v>1116</v>
      </c>
      <c r="H1579" s="1" t="s">
        <v>1030</v>
      </c>
      <c r="J1579" s="1" t="s">
        <v>608</v>
      </c>
      <c r="M1579" s="15" t="s">
        <v>1940</v>
      </c>
      <c r="N1579" s="15"/>
      <c r="O1579" s="15"/>
      <c r="P1579" s="15" t="str" cm="1">
        <f t="array" ref="P1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79" s="15" t="str" cm="1">
        <f t="array" ref="Q1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S1579" s="1" t="s">
        <v>964</v>
      </c>
      <c r="T1579" s="1" t="s">
        <v>276</v>
      </c>
      <c r="U1579" s="1"/>
      <c r="V1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data-nnew="Q40"&gt;&lt;a href="canciones/taize/herre_visa_mig_vägen.html"&gt;Dios, muéstrame tu senda&lt;/a&gt;&lt;/li&gt;</v>
      </c>
      <c r="W1579" s="15" t="str">
        <f>_xlfn.TEXTBEFORE(_xlfn.TEXTAFTER(CantoralDB[[#This Row],[index.html]],"&gt;"),"&gt;")&amp;"&gt;"</f>
        <v>&lt;a href="canciones/taize/herre_visa_mig_vägen.html"&gt;</v>
      </c>
    </row>
    <row r="1580" spans="1:23" x14ac:dyDescent="0.3">
      <c r="A1580" s="1">
        <f>ROW(CantoralDB[[#This Row],[Título]])-1</f>
        <v>1579</v>
      </c>
      <c r="B1580" s="1" t="s">
        <v>909</v>
      </c>
      <c r="C1580" s="1" t="s">
        <v>1021</v>
      </c>
      <c r="D1580" s="1" t="s">
        <v>1126</v>
      </c>
      <c r="H1580" s="1" t="s">
        <v>1030</v>
      </c>
      <c r="I1580" s="1" t="s">
        <v>2960</v>
      </c>
      <c r="J1580" s="1" t="s">
        <v>608</v>
      </c>
      <c r="M1580" s="15" t="s">
        <v>1940</v>
      </c>
      <c r="N1580" s="15"/>
      <c r="O1580" s="15"/>
      <c r="P1580" s="15" t="str" cm="1">
        <f t="array" ref="P1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0" s="15" t="str" cm="1">
        <f t="array" ref="Q1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S1580" s="1" t="s">
        <v>965</v>
      </c>
      <c r="T1580" s="1" t="s">
        <v>363</v>
      </c>
      <c r="U1580" s="1"/>
      <c r="V1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data-nnew="Q41"&gt;&lt;a href="canciones/taize/heureux_qui_s’abandonne_à_toi.html"&gt;Feliz quien se abandona&lt;/a&gt;&lt;/li&gt;</v>
      </c>
      <c r="W1580" s="15" t="str">
        <f>_xlfn.TEXTBEFORE(_xlfn.TEXTAFTER(CantoralDB[[#This Row],[index.html]],"&gt;"),"&gt;")&amp;"&gt;"</f>
        <v>&lt;a href="canciones/taize/heureux_qui_s’abandonne_à_toi.html"&gt;</v>
      </c>
    </row>
    <row r="1581" spans="1:23" x14ac:dyDescent="0.3">
      <c r="A1581" s="1">
        <f>ROW(CantoralDB[[#This Row],[Título]])-1</f>
        <v>1580</v>
      </c>
      <c r="B1581" s="1" t="s">
        <v>921</v>
      </c>
      <c r="C1581" s="1" t="s">
        <v>1021</v>
      </c>
      <c r="D1581" s="1" t="s">
        <v>1133</v>
      </c>
      <c r="H1581" s="1" t="s">
        <v>1030</v>
      </c>
      <c r="J1581" s="1" t="s">
        <v>608</v>
      </c>
      <c r="M1581" s="15" t="s">
        <v>1940</v>
      </c>
      <c r="N1581" s="15"/>
      <c r="O1581" s="15"/>
      <c r="P1581" s="15" t="str" cm="1">
        <f t="array" ref="P1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1" s="15" t="str" cm="1">
        <f t="array" ref="Q1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S1581" s="1"/>
      <c r="T1581" s="1" t="s">
        <v>386</v>
      </c>
      <c r="U1581" s="1"/>
      <c r="V1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data-nnew="Q53"&gt;&lt;a href="canciones/taize/kyrie_1.html"&gt;Ten piedad, Señor 1&lt;/a&gt;&lt;/li&gt;</v>
      </c>
      <c r="W1581" s="15" t="str">
        <f>_xlfn.TEXTBEFORE(_xlfn.TEXTAFTER(CantoralDB[[#This Row],[index.html]],"&gt;"),"&gt;")&amp;"&gt;"</f>
        <v>&lt;a href="canciones/taize/kyrie_1.html"&gt;</v>
      </c>
    </row>
    <row r="1582" spans="1:23" x14ac:dyDescent="0.3">
      <c r="A1582" s="1">
        <f>ROW(CantoralDB[[#This Row],[Título]])-1</f>
        <v>1581</v>
      </c>
      <c r="B1582" s="1" t="s">
        <v>892</v>
      </c>
      <c r="C1582" s="1" t="s">
        <v>1021</v>
      </c>
      <c r="D1582" s="1" t="s">
        <v>1095</v>
      </c>
      <c r="H1582" s="1" t="s">
        <v>1030</v>
      </c>
      <c r="J1582" s="1" t="s">
        <v>608</v>
      </c>
      <c r="M1582" s="15" t="s">
        <v>1940</v>
      </c>
      <c r="N1582" s="15"/>
      <c r="O1582" s="15"/>
      <c r="P1582" s="15" t="str" cm="1">
        <f t="array" ref="P1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2" s="15" t="str" cm="1">
        <f t="array" ref="Q1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S1582" s="1" t="s">
        <v>956</v>
      </c>
      <c r="T1582" s="1" t="s">
        <v>327</v>
      </c>
      <c r="U1582" s="1"/>
      <c r="V1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data-nnew="Q22"&gt;&lt;a href="canciones/taize/cantate_domino_canticum_novum.html"&gt;Un canto nuevo&lt;/a&gt;&lt;/li&gt;</v>
      </c>
      <c r="W1582" s="15" t="str">
        <f>_xlfn.TEXTBEFORE(_xlfn.TEXTAFTER(CantoralDB[[#This Row],[index.html]],"&gt;"),"&gt;")&amp;"&gt;"</f>
        <v>&lt;a href="canciones/taize/cantate_domino_canticum_novum.html"&gt;</v>
      </c>
    </row>
    <row r="1583" spans="1:23" x14ac:dyDescent="0.3">
      <c r="A1583" s="1">
        <f>ROW(CantoralDB[[#This Row],[Título]])-1</f>
        <v>1582</v>
      </c>
      <c r="B1583" s="1" t="s">
        <v>874</v>
      </c>
      <c r="C1583" s="1" t="s">
        <v>1021</v>
      </c>
      <c r="D1583" s="1" t="s">
        <v>1072</v>
      </c>
      <c r="H1583" s="1" t="s">
        <v>1043</v>
      </c>
      <c r="I1583" s="1" t="s">
        <v>2962</v>
      </c>
      <c r="J1583" s="1" t="s">
        <v>608</v>
      </c>
      <c r="M1583" s="15" t="s">
        <v>1940</v>
      </c>
      <c r="N1583" s="15"/>
      <c r="O1583" s="15"/>
      <c r="P1583" s="15" t="str" cm="1">
        <f t="array" ref="P1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3" s="15" t="str" cm="1">
        <f t="array" ref="Q1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R1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S1583" s="1" t="s">
        <v>947</v>
      </c>
      <c r="T1583" s="1" t="s">
        <v>278</v>
      </c>
      <c r="U1583" s="1"/>
      <c r="V1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en español" data-momento="TaizéESP" data-nnew="Q03"&gt;&lt;a href="canciones/taize/ad_te_jesu_christe.html"&gt;Levanto mi alma&lt;/a&gt;&lt;/li&gt;</v>
      </c>
      <c r="W1583" s="15" t="str">
        <f>_xlfn.TEXTBEFORE(_xlfn.TEXTAFTER(CantoralDB[[#This Row],[index.html]],"&gt;"),"&gt;")&amp;"&gt;"</f>
        <v>&lt;a href="canciones/taize/ad_te_jesu_christe.html"&gt;</v>
      </c>
    </row>
    <row r="1584" spans="1:23" x14ac:dyDescent="0.3">
      <c r="A1584" s="1">
        <f>ROW(CantoralDB[[#This Row],[Título]])-1</f>
        <v>1583</v>
      </c>
      <c r="B1584" s="1" t="s">
        <v>413</v>
      </c>
      <c r="C1584" s="1" t="s">
        <v>1022</v>
      </c>
      <c r="D1584" s="1" t="s">
        <v>1138</v>
      </c>
      <c r="E1584" s="1">
        <v>157</v>
      </c>
      <c r="H1584" s="1" t="s">
        <v>531</v>
      </c>
      <c r="I1584" s="1" t="s">
        <v>2960</v>
      </c>
      <c r="J1584" s="1" t="s">
        <v>608</v>
      </c>
      <c r="M1584" s="15" t="s">
        <v>2140</v>
      </c>
      <c r="N1584" s="15"/>
      <c r="O1584" s="15"/>
      <c r="P1584" s="15" t="str" cm="1">
        <f t="array" ref="P1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4" s="15" t="str" cm="1">
        <f t="array" ref="Q1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S1584" s="1"/>
      <c r="T1584" s="1"/>
      <c r="U1584" s="1"/>
      <c r="V1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data-nnew="Q62" data-nold="157"&gt;&lt;a href="canciones/taize/misericordias_domini.html"&gt;Misericordias Domini&lt;/a&gt;&lt;/li&gt;</v>
      </c>
      <c r="W1584" s="15" t="str">
        <f>_xlfn.TEXTBEFORE(_xlfn.TEXTAFTER(CantoralDB[[#This Row],[index.html]],"&gt;"),"&gt;")&amp;"&gt;"</f>
        <v>&lt;a href="canciones/taize/misericordias_domini.html"&gt;</v>
      </c>
    </row>
    <row r="1585" spans="1:23" x14ac:dyDescent="0.3">
      <c r="A1585" s="1">
        <f>ROW(CantoralDB[[#This Row],[Título]])-1</f>
        <v>1584</v>
      </c>
      <c r="B1585" s="1" t="s">
        <v>415</v>
      </c>
      <c r="C1585" s="1" t="s">
        <v>1022</v>
      </c>
      <c r="D1585" s="1" t="s">
        <v>1143</v>
      </c>
      <c r="E1585" s="1">
        <v>173</v>
      </c>
      <c r="F1585" s="1">
        <v>319</v>
      </c>
      <c r="H1585" s="1" t="s">
        <v>1030</v>
      </c>
      <c r="I1585" s="1" t="s">
        <v>2960</v>
      </c>
      <c r="J1585" s="1" t="s">
        <v>608</v>
      </c>
      <c r="M1585" s="15" t="s">
        <v>2140</v>
      </c>
      <c r="N1585" s="15"/>
      <c r="O1585" s="15"/>
      <c r="P1585" s="15" t="str" cm="1">
        <f t="array" ref="P1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5" s="15" t="str" cm="1">
        <f t="array" ref="Q1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canciones/taize/nada_te_turbe.html</v>
      </c>
      <c r="S1585" s="1" t="s">
        <v>978</v>
      </c>
      <c r="T1585" s="1"/>
      <c r="U1585" s="1"/>
      <c r="V1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data-nnew="Q63" data-nold="173"&gt;&lt;a href="canciones/taize/nada_te_turbe.html"&gt;Nada te turbe&lt;/a&gt;&lt;/li&gt;</v>
      </c>
      <c r="W1585" s="15" t="str">
        <f>_xlfn.TEXTBEFORE(_xlfn.TEXTAFTER(CantoralDB[[#This Row],[index.html]],"&gt;"),"&gt;")&amp;"&gt;"</f>
        <v>&lt;a href="canciones/taize/nada_te_turbe.html"&gt;</v>
      </c>
    </row>
    <row r="1586" spans="1:23" x14ac:dyDescent="0.3">
      <c r="A1586" s="1">
        <f>ROW(CantoralDB[[#This Row],[Título]])-1</f>
        <v>1585</v>
      </c>
      <c r="B1586" s="1" t="s">
        <v>456</v>
      </c>
      <c r="C1586" s="1" t="s">
        <v>1022</v>
      </c>
      <c r="D1586" s="1" t="s">
        <v>1117</v>
      </c>
      <c r="E1586" s="1">
        <v>466</v>
      </c>
      <c r="H1586" s="1" t="s">
        <v>531</v>
      </c>
      <c r="I1586" s="1" t="s">
        <v>2960</v>
      </c>
      <c r="J1586" s="1" t="s">
        <v>608</v>
      </c>
      <c r="M1586" s="15" t="s">
        <v>2140</v>
      </c>
      <c r="N1586" s="15"/>
      <c r="O1586" s="15"/>
      <c r="P1586" s="15" t="str" cm="1">
        <f t="array" ref="P1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6" s="15" t="str" cm="1">
        <f t="array" ref="Q1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S1586" s="1"/>
      <c r="T1586" s="1"/>
      <c r="U1586" s="1"/>
      <c r="V1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data-nnew="Q78" data-nold="466"&gt;&lt;a href="canciones/taize/ubi_caritas.html"&gt;Ubi caritas&lt;/a&gt;&lt;/li&gt;</v>
      </c>
      <c r="W1586" s="15" t="str">
        <f>_xlfn.TEXTBEFORE(_xlfn.TEXTAFTER(CantoralDB[[#This Row],[index.html]],"&gt;"),"&gt;")&amp;"&gt;"</f>
        <v>&lt;a href="canciones/taize/ubi_caritas.html"&gt;</v>
      </c>
    </row>
    <row r="1587" spans="1:23" x14ac:dyDescent="0.3">
      <c r="A1587" s="1">
        <f>ROW(CantoralDB[[#This Row],[Título]])-1</f>
        <v>1586</v>
      </c>
      <c r="B1587" s="1" t="s">
        <v>409</v>
      </c>
      <c r="C1587" s="1" t="s">
        <v>1022</v>
      </c>
      <c r="D1587" s="1" t="s">
        <v>1142</v>
      </c>
      <c r="F1587" s="1">
        <v>68</v>
      </c>
      <c r="H1587" s="1" t="s">
        <v>1030</v>
      </c>
      <c r="J1587" s="1" t="s">
        <v>608</v>
      </c>
      <c r="M1587" s="15" t="s">
        <v>2140</v>
      </c>
      <c r="N1587" s="15"/>
      <c r="O1587" s="15"/>
      <c r="P1587" s="15" t="str" cm="1">
        <f t="array" ref="P1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7" s="15" t="str" cm="1">
        <f t="array" ref="Q1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S1587" s="1"/>
      <c r="T1587" s="1"/>
      <c r="U1587" s="1"/>
      <c r="V1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data-nnew="Q61"&gt;&lt;a href="canciones/taize/magnificat_(canon).html"&gt;Magnificat (canon)&lt;/a&gt;&lt;/li&gt;</v>
      </c>
      <c r="W1587" s="15" t="str">
        <f>_xlfn.TEXTBEFORE(_xlfn.TEXTAFTER(CantoralDB[[#This Row],[index.html]],"&gt;"),"&gt;")&amp;"&gt;"</f>
        <v>&lt;a href="canciones/taize/magnificat_(canon).html"&gt;</v>
      </c>
    </row>
    <row r="1588" spans="1:23" x14ac:dyDescent="0.3">
      <c r="A1588" s="1">
        <f>ROW(CantoralDB[[#This Row],[Título]])-1</f>
        <v>1587</v>
      </c>
      <c r="B1588" s="1" t="s">
        <v>337</v>
      </c>
      <c r="C1588" s="1" t="s">
        <v>1022</v>
      </c>
      <c r="D1588" s="1" t="s">
        <v>1110</v>
      </c>
      <c r="F1588" s="1">
        <v>415</v>
      </c>
      <c r="H1588" s="1" t="s">
        <v>531</v>
      </c>
      <c r="I1588" s="1" t="s">
        <v>2960</v>
      </c>
      <c r="J1588" s="1" t="s">
        <v>608</v>
      </c>
      <c r="M1588" s="15" t="s">
        <v>2140</v>
      </c>
      <c r="N1588" s="15"/>
      <c r="O1588" s="15"/>
      <c r="P1588" s="15" t="str" cm="1">
        <f t="array" ref="P1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8" s="15" t="str" cm="1">
        <f t="array" ref="Q1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canciones/taize/de_noche.html</v>
      </c>
      <c r="S1588" s="1" t="s">
        <v>959</v>
      </c>
      <c r="T1588" s="1"/>
      <c r="U1588" s="1"/>
      <c r="V1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data-nnew="Q29"&gt;&lt;a href="canciones/taize/de_noche.html"&gt;De noche&lt;/a&gt;&lt;/li&gt;</v>
      </c>
      <c r="W1588" s="15" t="str">
        <f>_xlfn.TEXTBEFORE(_xlfn.TEXTAFTER(CantoralDB[[#This Row],[index.html]],"&gt;"),"&gt;")&amp;"&gt;"</f>
        <v>&lt;a href="canciones/taize/de_noche.html"&gt;</v>
      </c>
    </row>
    <row r="1589" spans="1:23" x14ac:dyDescent="0.3">
      <c r="A1589" s="1">
        <f>ROW(CantoralDB[[#This Row],[Título]])-1</f>
        <v>1588</v>
      </c>
      <c r="B1589" s="1" t="s">
        <v>332</v>
      </c>
      <c r="C1589" s="1" t="s">
        <v>1022</v>
      </c>
      <c r="D1589" s="1" t="s">
        <v>1099</v>
      </c>
      <c r="F1589" s="1">
        <v>423</v>
      </c>
      <c r="H1589" s="1" t="s">
        <v>531</v>
      </c>
      <c r="I1589" s="1" t="s">
        <v>2962</v>
      </c>
      <c r="J1589" s="1" t="s">
        <v>608</v>
      </c>
      <c r="M1589" s="15" t="s">
        <v>2140</v>
      </c>
      <c r="N1589" s="15"/>
      <c r="O1589" s="15"/>
      <c r="P1589" s="15" t="str" cm="1">
        <f t="array" ref="P1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89" s="15" t="str" cm="1">
        <f t="array" ref="Q1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S1589" s="1"/>
      <c r="T1589" s="1"/>
      <c r="U1589" s="1"/>
      <c r="V1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data-nnew="Q24"&gt;&lt;a href="canciones/taize/confitemini_domino.html"&gt;Confitemini Domino&lt;/a&gt;&lt;/li&gt;</v>
      </c>
      <c r="W1589" s="15" t="str">
        <f>_xlfn.TEXTBEFORE(_xlfn.TEXTAFTER(CantoralDB[[#This Row],[index.html]],"&gt;"),"&gt;")&amp;"&gt;"</f>
        <v>&lt;a href="canciones/taize/confitemini_domino.html"&gt;</v>
      </c>
    </row>
    <row r="1590" spans="1:23" x14ac:dyDescent="0.3">
      <c r="A1590" s="1">
        <f>ROW(CantoralDB[[#This Row],[Título]])-1</f>
        <v>1589</v>
      </c>
      <c r="B1590" s="1" t="s">
        <v>785</v>
      </c>
      <c r="C1590" s="1" t="s">
        <v>1022</v>
      </c>
      <c r="D1590" s="1" t="s">
        <v>1140</v>
      </c>
      <c r="F1590" s="1">
        <v>429</v>
      </c>
      <c r="H1590" s="1" t="s">
        <v>531</v>
      </c>
      <c r="I1590" s="1" t="s">
        <v>2961</v>
      </c>
      <c r="J1590" s="1" t="s">
        <v>608</v>
      </c>
      <c r="M1590" s="15" t="s">
        <v>2140</v>
      </c>
      <c r="N1590" s="15"/>
      <c r="O1590" s="15"/>
      <c r="P1590" s="15" t="str" cm="1">
        <f t="array" ref="P1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0" s="15" t="str" cm="1">
        <f t="array" ref="Q1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S1590" s="1"/>
      <c r="T1590" s="1"/>
      <c r="U1590" s="1"/>
      <c r="V1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data-nnew="Q59"&gt;&lt;a href="canciones/taize/laudate_omnes_gentes.html"&gt;Laudate omnes gentes&lt;/a&gt;&lt;/li&gt;</v>
      </c>
      <c r="W1590" s="15" t="str">
        <f>_xlfn.TEXTBEFORE(_xlfn.TEXTAFTER(CantoralDB[[#This Row],[index.html]],"&gt;"),"&gt;")&amp;"&gt;"</f>
        <v>&lt;a href="canciones/taize/laudate_omnes_gentes.html"&gt;</v>
      </c>
    </row>
    <row r="1591" spans="1:23" x14ac:dyDescent="0.3">
      <c r="A1591" s="1">
        <f>ROW(CantoralDB[[#This Row],[Título]])-1</f>
        <v>1590</v>
      </c>
      <c r="B1591" s="1" t="s">
        <v>277</v>
      </c>
      <c r="C1591" s="1" t="s">
        <v>1022</v>
      </c>
      <c r="D1591" s="1" t="s">
        <v>1071</v>
      </c>
      <c r="H1591" s="1" t="s">
        <v>531</v>
      </c>
      <c r="I1591" s="1" t="s">
        <v>2963</v>
      </c>
      <c r="J1591" s="1" t="s">
        <v>608</v>
      </c>
      <c r="M1591" s="15" t="s">
        <v>2140</v>
      </c>
      <c r="N1591" s="15"/>
      <c r="O1591" s="15"/>
      <c r="P1591" s="15" t="str" cm="1">
        <f t="array" ref="P1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1" s="15" t="str" cm="1">
        <f t="array" ref="Q1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S1591" s="1"/>
      <c r="T1591" s="1"/>
      <c r="U1591" s="1"/>
      <c r="V1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data-nnew="Q01"&gt;&lt;a href="canciones/taize/aber_du_weisst_den_weg_für_mich.html"&gt;Aber du weisst den Weg für mich&lt;/a&gt;&lt;/li&gt;</v>
      </c>
      <c r="W1591" s="15" t="str">
        <f>_xlfn.TEXTBEFORE(_xlfn.TEXTAFTER(CantoralDB[[#This Row],[index.html]],"&gt;"),"&gt;")&amp;"&gt;"</f>
        <v>&lt;a href="canciones/taize/aber_du_weisst_den_weg_für_mich.html"&gt;</v>
      </c>
    </row>
    <row r="1592" spans="1:23" x14ac:dyDescent="0.3">
      <c r="A1592" s="1">
        <f>ROW(CantoralDB[[#This Row],[Título]])-1</f>
        <v>1591</v>
      </c>
      <c r="B1592" s="1" t="s">
        <v>312</v>
      </c>
      <c r="C1592" s="1" t="s">
        <v>1022</v>
      </c>
      <c r="D1592" s="1" t="s">
        <v>1086</v>
      </c>
      <c r="H1592" s="1" t="s">
        <v>531</v>
      </c>
      <c r="I1592" s="1" t="s">
        <v>2961</v>
      </c>
      <c r="J1592" s="1" t="s">
        <v>608</v>
      </c>
      <c r="M1592" s="15" t="s">
        <v>2140</v>
      </c>
      <c r="N1592" s="15"/>
      <c r="O1592" s="15"/>
      <c r="P1592" s="15" t="str" cm="1">
        <f t="array" ref="P1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2" s="15" t="str" cm="1">
        <f t="array" ref="Q1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S1592" s="1"/>
      <c r="T1592" s="1"/>
      <c r="U1592" s="1"/>
      <c r="V1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data-nnew="Q12"&gt;&lt;a href="canciones/taize/behüte_mich_gott.html"&gt;Behüte mich Gott&lt;/a&gt;&lt;/li&gt;</v>
      </c>
      <c r="W1592" s="15" t="str">
        <f>_xlfn.TEXTBEFORE(_xlfn.TEXTAFTER(CantoralDB[[#This Row],[index.html]],"&gt;"),"&gt;")&amp;"&gt;"</f>
        <v>&lt;a href="canciones/taize/behüte_mich_gott.html"&gt;</v>
      </c>
    </row>
    <row r="1593" spans="1:23" x14ac:dyDescent="0.3">
      <c r="A1593" s="1">
        <f>ROW(CantoralDB[[#This Row],[Título]])-1</f>
        <v>1592</v>
      </c>
      <c r="B1593" s="1" t="s">
        <v>316</v>
      </c>
      <c r="C1593" s="1" t="s">
        <v>1022</v>
      </c>
      <c r="D1593" s="1" t="s">
        <v>1087</v>
      </c>
      <c r="H1593" s="1" t="s">
        <v>531</v>
      </c>
      <c r="I1593" s="1" t="s">
        <v>2962</v>
      </c>
      <c r="J1593" s="1" t="s">
        <v>608</v>
      </c>
      <c r="M1593" s="15" t="s">
        <v>2140</v>
      </c>
      <c r="N1593" s="15"/>
      <c r="O1593" s="15"/>
      <c r="P1593" s="15" t="str" cm="1">
        <f t="array" ref="P1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3" s="15" t="str" cm="1">
        <f t="array" ref="Q1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S1593" s="1"/>
      <c r="T1593" s="1"/>
      <c r="U1593" s="1"/>
      <c r="V1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data-nnew="Q15"&gt;&lt;a href="canciones/taize/benissez_le_seigneur.html"&gt;Bénissez le Seigneur&lt;/a&gt;&lt;/li&gt;</v>
      </c>
      <c r="W1593" s="15" t="str">
        <f>_xlfn.TEXTBEFORE(_xlfn.TEXTAFTER(CantoralDB[[#This Row],[index.html]],"&gt;"),"&gt;")&amp;"&gt;"</f>
        <v>&lt;a href="canciones/taize/benissez_le_seigneur.html"&gt;</v>
      </c>
    </row>
    <row r="1594" spans="1:23" x14ac:dyDescent="0.3">
      <c r="A1594" s="1">
        <f>ROW(CantoralDB[[#This Row],[Título]])-1</f>
        <v>1593</v>
      </c>
      <c r="B1594" s="1" t="s">
        <v>338</v>
      </c>
      <c r="C1594" s="1" t="s">
        <v>1022</v>
      </c>
      <c r="D1594" s="1" t="s">
        <v>1113</v>
      </c>
      <c r="H1594" s="1" t="s">
        <v>531</v>
      </c>
      <c r="I1594" s="1" t="s">
        <v>2962</v>
      </c>
      <c r="J1594" s="1" t="s">
        <v>608</v>
      </c>
      <c r="M1594" s="15" t="s">
        <v>2140</v>
      </c>
      <c r="N1594" s="15"/>
      <c r="O1594" s="15"/>
      <c r="P1594" s="15" t="str" cm="1">
        <f t="array" ref="P1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4" s="15" t="str" cm="1">
        <f t="array" ref="Q1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canciones/taize/despierta_tu_que_duermes.html</v>
      </c>
      <c r="S1594" s="1" t="s">
        <v>960</v>
      </c>
      <c r="T1594" s="1"/>
      <c r="U1594" s="1"/>
      <c r="V1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data-nnew="Q30"&gt;&lt;a href="canciones/taize/despierta_tu_que_duermes.html"&gt;Despierta tú que duermes&lt;/a&gt;&lt;/li&gt;</v>
      </c>
      <c r="W1594" s="15" t="str">
        <f>_xlfn.TEXTBEFORE(_xlfn.TEXTAFTER(CantoralDB[[#This Row],[index.html]],"&gt;"),"&gt;")&amp;"&gt;"</f>
        <v>&lt;a href="canciones/taize/despierta_tu_que_duermes.html"&gt;</v>
      </c>
    </row>
    <row r="1595" spans="1:23" x14ac:dyDescent="0.3">
      <c r="A1595" s="1">
        <f>ROW(CantoralDB[[#This Row],[Título]])-1</f>
        <v>1594</v>
      </c>
      <c r="B1595" s="1" t="s">
        <v>340</v>
      </c>
      <c r="C1595" s="1" t="s">
        <v>1022</v>
      </c>
      <c r="D1595" s="1" t="s">
        <v>1115</v>
      </c>
      <c r="H1595" s="1" t="s">
        <v>531</v>
      </c>
      <c r="I1595" s="1" t="s">
        <v>2962</v>
      </c>
      <c r="J1595" s="1" t="s">
        <v>608</v>
      </c>
      <c r="M1595" s="15" t="s">
        <v>2140</v>
      </c>
      <c r="N1595" s="15"/>
      <c r="O1595" s="15"/>
      <c r="P1595" s="15" t="str" cm="1">
        <f t="array" ref="P1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5" s="15" t="str" cm="1">
        <f t="array" ref="Q1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S1595" s="1"/>
      <c r="T1595" s="1"/>
      <c r="U1595" s="1"/>
      <c r="V1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data-nnew="Q32"&gt;&lt;a href="canciones/taize/dieu_ne_peut_que_donner.html"&gt;Dieu ne peut que donner&lt;/a&gt;&lt;/li&gt;</v>
      </c>
      <c r="W1595" s="15" t="str">
        <f>_xlfn.TEXTBEFORE(_xlfn.TEXTAFTER(CantoralDB[[#This Row],[index.html]],"&gt;"),"&gt;")&amp;"&gt;"</f>
        <v>&lt;a href="canciones/taize/dieu_ne_peut_que_donner.html"&gt;</v>
      </c>
    </row>
    <row r="1596" spans="1:23" x14ac:dyDescent="0.3">
      <c r="A1596" s="1">
        <f>ROW(CantoralDB[[#This Row],[Título]])-1</f>
        <v>1595</v>
      </c>
      <c r="B1596" s="1" t="s">
        <v>370</v>
      </c>
      <c r="C1596" s="1" t="s">
        <v>1022</v>
      </c>
      <c r="D1596" s="1" t="s">
        <v>1129</v>
      </c>
      <c r="H1596" s="1" t="s">
        <v>531</v>
      </c>
      <c r="I1596" s="1" t="s">
        <v>2962</v>
      </c>
      <c r="J1596" s="1" t="s">
        <v>608</v>
      </c>
      <c r="M1596" s="15" t="s">
        <v>2140</v>
      </c>
      <c r="N1596" s="15"/>
      <c r="O1596" s="15"/>
      <c r="P1596" s="15" t="str" cm="1">
        <f t="array" ref="P1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6" s="15" t="str" cm="1">
        <f t="array" ref="Q1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S1596" s="1"/>
      <c r="T1596" s="1"/>
      <c r="U1596" s="1"/>
      <c r="V1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data-nnew="Q45"&gt;&lt;a href="canciones/taize/in_manus_tuas.html"&gt;In manus tuas&lt;/a&gt;&lt;/li&gt;</v>
      </c>
      <c r="W1596" s="15" t="str">
        <f>_xlfn.TEXTBEFORE(_xlfn.TEXTAFTER(CantoralDB[[#This Row],[index.html]],"&gt;"),"&gt;")&amp;"&gt;"</f>
        <v>&lt;a href="canciones/taize/in_manus_tuas.html"&gt;</v>
      </c>
    </row>
    <row r="1597" spans="1:23" x14ac:dyDescent="0.3">
      <c r="A1597" s="1">
        <f>ROW(CantoralDB[[#This Row],[Título]])-1</f>
        <v>1596</v>
      </c>
      <c r="B1597" s="1" t="s">
        <v>371</v>
      </c>
      <c r="C1597" s="1" t="s">
        <v>1022</v>
      </c>
      <c r="D1597" s="1" t="s">
        <v>1077</v>
      </c>
      <c r="H1597" s="1" t="s">
        <v>531</v>
      </c>
      <c r="I1597" s="1" t="s">
        <v>2962</v>
      </c>
      <c r="J1597" s="1" t="s">
        <v>608</v>
      </c>
      <c r="M1597" s="15" t="s">
        <v>2140</v>
      </c>
      <c r="N1597" s="15"/>
      <c r="O1597" s="15"/>
      <c r="P1597" s="15" t="str" cm="1">
        <f t="array" ref="P1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7" s="15" t="str" cm="1">
        <f t="array" ref="Q1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S1597" s="1"/>
      <c r="T1597" s="1"/>
      <c r="U1597" s="1"/>
      <c r="V1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data-nnew="Q46"&gt;&lt;a href="canciones/taize/in_resurrectione_tua.html"&gt;In resurrectione tua&lt;/a&gt;&lt;/li&gt;</v>
      </c>
      <c r="W1597" s="15" t="str">
        <f>_xlfn.TEXTBEFORE(_xlfn.TEXTAFTER(CantoralDB[[#This Row],[index.html]],"&gt;"),"&gt;")&amp;"&gt;"</f>
        <v>&lt;a href="canciones/taize/in_resurrectione_tua.html"&gt;</v>
      </c>
    </row>
    <row r="1598" spans="1:23" x14ac:dyDescent="0.3">
      <c r="A1598" s="1">
        <f>ROW(CantoralDB[[#This Row],[Título]])-1</f>
        <v>1597</v>
      </c>
      <c r="B1598" s="1" t="s">
        <v>379</v>
      </c>
      <c r="C1598" s="1" t="s">
        <v>1022</v>
      </c>
      <c r="D1598" s="1" t="s">
        <v>1130</v>
      </c>
      <c r="H1598" s="1" t="s">
        <v>531</v>
      </c>
      <c r="I1598" s="1" t="s">
        <v>2961</v>
      </c>
      <c r="J1598" s="1" t="s">
        <v>608</v>
      </c>
      <c r="M1598" s="15" t="s">
        <v>2140</v>
      </c>
      <c r="N1598" s="15"/>
      <c r="O1598" s="15"/>
      <c r="P1598" s="15" t="str" cm="1">
        <f t="array" ref="P1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8" s="15" t="str" cm="1">
        <f t="array" ref="Q1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S1598" s="1"/>
      <c r="T1598" s="1"/>
      <c r="U1598" s="1"/>
      <c r="V1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data-nnew="Q49"&gt;&lt;a href="canciones/taize/jesus_remember_me.html"&gt;Jesus, remember me&lt;/a&gt;&lt;/li&gt;</v>
      </c>
      <c r="W1598" s="15" t="str">
        <f>_xlfn.TEXTBEFORE(_xlfn.TEXTAFTER(CantoralDB[[#This Row],[index.html]],"&gt;"),"&gt;")&amp;"&gt;"</f>
        <v>&lt;a href="canciones/taize/jesus_remember_me.html"&gt;</v>
      </c>
    </row>
    <row r="1599" spans="1:23" x14ac:dyDescent="0.3">
      <c r="A1599" s="1">
        <f>ROW(CantoralDB[[#This Row],[Título]])-1</f>
        <v>1598</v>
      </c>
      <c r="B1599" s="1" t="s">
        <v>382</v>
      </c>
      <c r="C1599" s="1" t="s">
        <v>1022</v>
      </c>
      <c r="D1599" s="1" t="s">
        <v>1132</v>
      </c>
      <c r="H1599" s="1" t="s">
        <v>531</v>
      </c>
      <c r="I1599" s="1" t="s">
        <v>2962</v>
      </c>
      <c r="J1599" s="1" t="s">
        <v>608</v>
      </c>
      <c r="M1599" s="15" t="s">
        <v>2140</v>
      </c>
      <c r="N1599" s="15"/>
      <c r="O1599" s="15"/>
      <c r="P1599" s="15" t="str" cm="1">
        <f t="array" ref="P1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599" s="15" t="str" cm="1">
        <f t="array" ref="Q1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S1599" s="1"/>
      <c r="T1599" s="1"/>
      <c r="U1599" s="1"/>
      <c r="V1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data-nnew="Q52"&gt;&lt;a href="canciones/taize/jubilate_coeli_(canon).html"&gt;Jubilate coeli (canon)&lt;/a&gt;&lt;/li&gt;</v>
      </c>
      <c r="W1599" s="15" t="str">
        <f>_xlfn.TEXTBEFORE(_xlfn.TEXTAFTER(CantoralDB[[#This Row],[index.html]],"&gt;"),"&gt;")&amp;"&gt;"</f>
        <v>&lt;a href="canciones/taize/jubilate_coeli_(canon).html"&gt;</v>
      </c>
    </row>
    <row r="1600" spans="1:23" x14ac:dyDescent="0.3">
      <c r="A1600" s="1">
        <f>ROW(CantoralDB[[#This Row],[Título]])-1</f>
        <v>1599</v>
      </c>
      <c r="B1600" s="1" t="s">
        <v>408</v>
      </c>
      <c r="C1600" s="1" t="s">
        <v>1022</v>
      </c>
      <c r="D1600" s="1" t="s">
        <v>1141</v>
      </c>
      <c r="H1600" s="1" t="s">
        <v>531</v>
      </c>
      <c r="I1600" s="1" t="s">
        <v>2962</v>
      </c>
      <c r="J1600" s="1" t="s">
        <v>608</v>
      </c>
      <c r="M1600" s="15" t="s">
        <v>2140</v>
      </c>
      <c r="N1600" s="15"/>
      <c r="O1600" s="15"/>
      <c r="P1600" s="15" t="str" cm="1">
        <f t="array" ref="P1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0" s="15" t="str" cm="1">
        <f t="array" ref="Q1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S1600" s="1"/>
      <c r="T1600" s="1"/>
      <c r="U1600" s="1"/>
      <c r="V1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data-nnew="Q60"&gt;&lt;a href="canciones/taize/let_all_who_are_thirsty_come.html"&gt;Let all who are thirsty come&lt;/a&gt;&lt;/li&gt;</v>
      </c>
      <c r="W1600" s="15" t="str">
        <f>_xlfn.TEXTBEFORE(_xlfn.TEXTAFTER(CantoralDB[[#This Row],[index.html]],"&gt;"),"&gt;")&amp;"&gt;"</f>
        <v>&lt;a href="canciones/taize/let_all_who_are_thirsty_come.html"&gt;</v>
      </c>
    </row>
    <row r="1601" spans="1:23" x14ac:dyDescent="0.3">
      <c r="A1601" s="1">
        <f>ROW(CantoralDB[[#This Row],[Título]])-1</f>
        <v>1600</v>
      </c>
      <c r="B1601" s="1" t="s">
        <v>425</v>
      </c>
      <c r="C1601" s="1" t="s">
        <v>1022</v>
      </c>
      <c r="D1601" s="1" t="s">
        <v>1144</v>
      </c>
      <c r="H1601" s="1" t="s">
        <v>531</v>
      </c>
      <c r="J1601" s="1" t="s">
        <v>608</v>
      </c>
      <c r="M1601" s="15" t="s">
        <v>2140</v>
      </c>
      <c r="N1601" s="15"/>
      <c r="O1601" s="15"/>
      <c r="P1601" s="15" t="str" cm="1">
        <f t="array" ref="P1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1" s="15" t="str" cm="1">
        <f t="array" ref="Q1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S1601" s="1"/>
      <c r="T1601" s="1"/>
      <c r="U1601" s="1"/>
      <c r="V1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data-nnew="Q65"&gt;&lt;a href="canciones/taize/para_mim_ser_feliz.html"&gt;Para mim, ser feliz&lt;/a&gt;&lt;/li&gt;</v>
      </c>
      <c r="W1601" s="15" t="str">
        <f>_xlfn.TEXTBEFORE(_xlfn.TEXTAFTER(CantoralDB[[#This Row],[index.html]],"&gt;"),"&gt;")&amp;"&gt;"</f>
        <v>&lt;a href="canciones/taize/para_mim_ser_feliz.html"&gt;</v>
      </c>
    </row>
    <row r="1602" spans="1:23" x14ac:dyDescent="0.3">
      <c r="A1602" s="1">
        <f>ROW(CantoralDB[[#This Row],[Título]])-1</f>
        <v>1601</v>
      </c>
      <c r="B1602" s="1" t="s">
        <v>444</v>
      </c>
      <c r="C1602" s="1" t="s">
        <v>1022</v>
      </c>
      <c r="D1602" s="1" t="s">
        <v>1101</v>
      </c>
      <c r="H1602" s="1" t="s">
        <v>531</v>
      </c>
      <c r="I1602" s="1" t="s">
        <v>2962</v>
      </c>
      <c r="J1602" s="1" t="s">
        <v>608</v>
      </c>
      <c r="M1602" s="15" t="s">
        <v>2140</v>
      </c>
      <c r="N1602" s="15"/>
      <c r="O1602" s="15"/>
      <c r="P1602" s="15" t="str" cm="1">
        <f t="array" ref="P1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2" s="15" t="str" cm="1">
        <f t="array" ref="Q1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S1602" s="1"/>
      <c r="T1602" s="1"/>
      <c r="U1602" s="1"/>
      <c r="V1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data-nnew="Q72"&gt;&lt;a href="canciones/taize/surrexit_christus.html"&gt;Surrexit Christus&lt;/a&gt;&lt;/li&gt;</v>
      </c>
      <c r="W1602" s="15" t="str">
        <f>_xlfn.TEXTBEFORE(_xlfn.TEXTAFTER(CantoralDB[[#This Row],[index.html]],"&gt;"),"&gt;")&amp;"&gt;"</f>
        <v>&lt;a href="canciones/taize/surrexit_christus.html"&gt;</v>
      </c>
    </row>
    <row r="1603" spans="1:23" x14ac:dyDescent="0.3">
      <c r="A1603" s="1">
        <f>ROW(CantoralDB[[#This Row],[Título]])-1</f>
        <v>1602</v>
      </c>
      <c r="B1603" s="1" t="s">
        <v>454</v>
      </c>
      <c r="C1603" s="1" t="s">
        <v>1022</v>
      </c>
      <c r="D1603" s="1" t="s">
        <v>1149</v>
      </c>
      <c r="H1603" s="1" t="s">
        <v>531</v>
      </c>
      <c r="I1603" s="1" t="s">
        <v>2961</v>
      </c>
      <c r="J1603" s="1" t="s">
        <v>608</v>
      </c>
      <c r="M1603" s="15" t="s">
        <v>2140</v>
      </c>
      <c r="N1603" s="15"/>
      <c r="O1603" s="15"/>
      <c r="P1603" s="15" t="str" cm="1">
        <f t="array" ref="P1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3" s="15" t="str" cm="1">
        <f t="array" ref="Q1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S1603" s="1"/>
      <c r="T1603" s="1"/>
      <c r="U1603" s="1"/>
      <c r="V1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data-nnew="Q76"&gt;&lt;a href="canciones/taize/tu_sei_sorgente_viva.html"&gt;Tu sei sorgente viva&lt;/a&gt;&lt;/li&gt;</v>
      </c>
      <c r="W1603" s="15" t="str">
        <f>_xlfn.TEXTBEFORE(_xlfn.TEXTAFTER(CantoralDB[[#This Row],[index.html]],"&gt;"),"&gt;")&amp;"&gt;"</f>
        <v>&lt;a href="canciones/taize/tu_sei_sorgente_viva.html"&gt;</v>
      </c>
    </row>
    <row r="1604" spans="1:23" x14ac:dyDescent="0.3">
      <c r="A1604" s="1">
        <f>ROW(CantoralDB[[#This Row],[Título]])-1</f>
        <v>1603</v>
      </c>
      <c r="B1604" s="1" t="s">
        <v>281</v>
      </c>
      <c r="C1604" s="1" t="s">
        <v>1022</v>
      </c>
      <c r="D1604" s="1" t="s">
        <v>1073</v>
      </c>
      <c r="H1604" s="1" t="s">
        <v>1028</v>
      </c>
      <c r="I1604" s="1" t="s">
        <v>2962</v>
      </c>
      <c r="J1604" s="1" t="s">
        <v>608</v>
      </c>
      <c r="M1604" s="15" t="s">
        <v>2140</v>
      </c>
      <c r="N1604" s="15"/>
      <c r="O1604" s="15"/>
      <c r="P1604" s="15" t="str" cm="1">
        <f t="array" ref="P1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4" s="15" t="str" cm="1">
        <f t="array" ref="Q1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S1604" s="1"/>
      <c r="T1604" s="1"/>
      <c r="U1604" s="1"/>
      <c r="V1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data-nnew="Q02"&gt;&lt;a href="canciones/taize/adoramus_te_o_christe.html"&gt;Adoramus te O Christe&lt;/a&gt;&lt;/li&gt;</v>
      </c>
      <c r="W1604" s="15" t="str">
        <f>_xlfn.TEXTBEFORE(_xlfn.TEXTAFTER(CantoralDB[[#This Row],[index.html]],"&gt;"),"&gt;")&amp;"&gt;"</f>
        <v>&lt;a href="canciones/taize/adoramus_te_o_christe.html"&gt;</v>
      </c>
    </row>
    <row r="1605" spans="1:23" x14ac:dyDescent="0.3">
      <c r="A1605" s="1">
        <f>ROW(CantoralDB[[#This Row],[Título]])-1</f>
        <v>1604</v>
      </c>
      <c r="B1605" s="1" t="s">
        <v>345</v>
      </c>
      <c r="C1605" s="1" t="s">
        <v>1022</v>
      </c>
      <c r="D1605" s="1" t="s">
        <v>1098</v>
      </c>
      <c r="H1605" s="1" t="s">
        <v>1028</v>
      </c>
      <c r="I1605" s="1" t="s">
        <v>2962</v>
      </c>
      <c r="J1605" s="1" t="s">
        <v>608</v>
      </c>
      <c r="M1605" s="15" t="s">
        <v>2140</v>
      </c>
      <c r="N1605" s="15"/>
      <c r="O1605" s="15"/>
      <c r="P1605" s="15" t="str" cm="1">
        <f t="array" ref="P1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5" s="15" t="str" cm="1">
        <f t="array" ref="Q1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S1605" s="1"/>
      <c r="T1605" s="1"/>
      <c r="U1605" s="1"/>
      <c r="V1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data-nnew="Q36"&gt;&lt;a href="canciones/taize/eat_this_bread.html"&gt;Eat this bread&lt;/a&gt;&lt;/li&gt;</v>
      </c>
      <c r="W1605" s="15" t="str">
        <f>_xlfn.TEXTBEFORE(_xlfn.TEXTAFTER(CantoralDB[[#This Row],[index.html]],"&gt;"),"&gt;")&amp;"&gt;"</f>
        <v>&lt;a href="canciones/taize/eat_this_bread.html"&gt;</v>
      </c>
    </row>
    <row r="1606" spans="1:23" x14ac:dyDescent="0.3">
      <c r="A1606" s="1">
        <f>ROW(CantoralDB[[#This Row],[Título]])-1</f>
        <v>1605</v>
      </c>
      <c r="B1606" s="1" t="s">
        <v>1023</v>
      </c>
      <c r="C1606" s="1" t="s">
        <v>1022</v>
      </c>
      <c r="D1606" s="1" t="s">
        <v>1098</v>
      </c>
      <c r="H1606" s="1" t="s">
        <v>1028</v>
      </c>
      <c r="I1606" s="1" t="s">
        <v>2962</v>
      </c>
      <c r="J1606" s="1" t="s">
        <v>608</v>
      </c>
      <c r="M1606" s="15" t="s">
        <v>2140</v>
      </c>
      <c r="N1606" s="15"/>
      <c r="O1606" s="15"/>
      <c r="P1606" s="15" t="str" cm="1">
        <f t="array" ref="P1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6" s="15" t="str" cm="1">
        <f t="array" ref="Q1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canciones/taize/jesus_christ_bread_of_life.html</v>
      </c>
      <c r="S1606" s="1"/>
      <c r="T1606" s="1"/>
      <c r="U1606" s="1"/>
      <c r="V1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data-nnew="Q36"&gt;&lt;a href="canciones/taize/jesus_christ_bread_of_life.html"&gt;Jesus Christ, bread of life&lt;/a&gt;&lt;/li&gt;</v>
      </c>
      <c r="W1606" s="15" t="str">
        <f>_xlfn.TEXTBEFORE(_xlfn.TEXTAFTER(CantoralDB[[#This Row],[index.html]],"&gt;"),"&gt;")&amp;"&gt;"</f>
        <v>&lt;a href="canciones/taize/jesus_christ_bread_of_life.html"&gt;</v>
      </c>
    </row>
    <row r="1607" spans="1:23" x14ac:dyDescent="0.3">
      <c r="A1607" s="1">
        <f>ROW(CantoralDB[[#This Row],[Título]])-1</f>
        <v>1606</v>
      </c>
      <c r="B1607" s="1" t="s">
        <v>442</v>
      </c>
      <c r="C1607" s="1" t="s">
        <v>1022</v>
      </c>
      <c r="D1607" s="1" t="s">
        <v>1123</v>
      </c>
      <c r="H1607" s="1" t="s">
        <v>1028</v>
      </c>
      <c r="I1607" s="1" t="s">
        <v>2960</v>
      </c>
      <c r="J1607" s="1" t="s">
        <v>608</v>
      </c>
      <c r="M1607" s="15" t="s">
        <v>2140</v>
      </c>
      <c r="N1607" s="15"/>
      <c r="O1607" s="15"/>
      <c r="P1607" s="15" t="str" cm="1">
        <f t="array" ref="P1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7" s="15" t="str" cm="1">
        <f t="array" ref="Q1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S1607" s="1"/>
      <c r="T1607" s="1"/>
      <c r="U1607" s="1"/>
      <c r="V1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data-nnew="Q70"&gt;&lt;a href="canciones/taize/spiritus_jesu_christi.html"&gt;Spiritus Jesu Christi&lt;/a&gt;&lt;/li&gt;</v>
      </c>
      <c r="W1607" s="15" t="str">
        <f>_xlfn.TEXTBEFORE(_xlfn.TEXTAFTER(CantoralDB[[#This Row],[index.html]],"&gt;"),"&gt;")&amp;"&gt;"</f>
        <v>&lt;a href="canciones/taize/spiritus_jesu_christi.html"&gt;</v>
      </c>
    </row>
    <row r="1608" spans="1:23" x14ac:dyDescent="0.3">
      <c r="A1608" s="1">
        <f>ROW(CantoralDB[[#This Row],[Título]])-1</f>
        <v>1607</v>
      </c>
      <c r="B1608" s="1" t="s">
        <v>453</v>
      </c>
      <c r="C1608" s="1" t="s">
        <v>1022</v>
      </c>
      <c r="D1608" s="1" t="s">
        <v>1150</v>
      </c>
      <c r="H1608" s="1" t="s">
        <v>1028</v>
      </c>
      <c r="J1608" s="1" t="s">
        <v>608</v>
      </c>
      <c r="M1608" s="15" t="s">
        <v>2140</v>
      </c>
      <c r="N1608" s="15"/>
      <c r="O1608" s="15"/>
      <c r="P1608" s="15" t="str" cm="1">
        <f t="array" ref="P1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8" s="15" t="str" cm="1">
        <f t="array" ref="Q1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canciones/taize/tu_palabra_señor.html</v>
      </c>
      <c r="S1608" s="1" t="s">
        <v>985</v>
      </c>
      <c r="T1608" s="1"/>
      <c r="U1608" s="1"/>
      <c r="V1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data-nnew="Q75"&gt;&lt;a href="canciones/taize/tu_palabra_señor.html"&gt;Tu palabra, Señor&lt;/a&gt;&lt;/li&gt;</v>
      </c>
      <c r="W1608" s="15" t="str">
        <f>_xlfn.TEXTBEFORE(_xlfn.TEXTAFTER(CantoralDB[[#This Row],[index.html]],"&gt;"),"&gt;")&amp;"&gt;"</f>
        <v>&lt;a href="canciones/taize/tu_palabra_señor.html"&gt;</v>
      </c>
    </row>
    <row r="1609" spans="1:23" x14ac:dyDescent="0.3">
      <c r="A1609" s="1">
        <f>ROW(CantoralDB[[#This Row],[Título]])-1</f>
        <v>1608</v>
      </c>
      <c r="B1609" s="1" t="s">
        <v>303</v>
      </c>
      <c r="C1609" s="1" t="s">
        <v>1022</v>
      </c>
      <c r="D1609" s="1" t="s">
        <v>1080</v>
      </c>
      <c r="H1609" s="1" t="s">
        <v>473</v>
      </c>
      <c r="I1609" s="1" t="s">
        <v>2961</v>
      </c>
      <c r="J1609" s="1" t="s">
        <v>608</v>
      </c>
      <c r="M1609" s="15" t="s">
        <v>2140</v>
      </c>
      <c r="N1609" s="15"/>
      <c r="O1609" s="15"/>
      <c r="P1609" s="15" t="str" cm="1">
        <f t="array" ref="P1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09" s="15" t="str" cm="1">
        <f t="array" ref="Q1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S1609" s="1"/>
      <c r="T1609" s="1"/>
      <c r="U1609" s="1"/>
      <c r="V1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data-nnew="Q07"&gt;&lt;a href="canciones/taize/alleluia_22.html"&gt;Alleluia 22&lt;/a&gt;&lt;/li&gt;</v>
      </c>
      <c r="W1609" s="15" t="str">
        <f>_xlfn.TEXTBEFORE(_xlfn.TEXTAFTER(CantoralDB[[#This Row],[index.html]],"&gt;"),"&gt;")&amp;"&gt;"</f>
        <v>&lt;a href="canciones/taize/alleluia_22.html"&gt;</v>
      </c>
    </row>
    <row r="1610" spans="1:23" x14ac:dyDescent="0.3">
      <c r="A1610" s="1">
        <f>ROW(CantoralDB[[#This Row],[Título]])-1</f>
        <v>1609</v>
      </c>
      <c r="B1610" s="1" t="s">
        <v>786</v>
      </c>
      <c r="C1610" s="1" t="s">
        <v>1022</v>
      </c>
      <c r="D1610" s="1" t="s">
        <v>1082</v>
      </c>
      <c r="H1610" s="1" t="s">
        <v>473</v>
      </c>
      <c r="I1610" s="1" t="s">
        <v>2959</v>
      </c>
      <c r="J1610" s="1" t="s">
        <v>608</v>
      </c>
      <c r="M1610" s="15" t="s">
        <v>2140</v>
      </c>
      <c r="N1610" s="15"/>
      <c r="O1610" s="15"/>
      <c r="P1610" s="15" t="str" cm="1">
        <f t="array" ref="P1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0" s="15" t="str" cm="1">
        <f t="array" ref="Q1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S1610" s="1"/>
      <c r="T1610" s="1"/>
      <c r="U1610" s="1"/>
      <c r="V1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data-nnew="Q08"&gt;&lt;a href="canciones/taize/alleluia_94.html"&gt;Alleluia 94&lt;/a&gt;&lt;/li&gt;</v>
      </c>
      <c r="W1610" s="15" t="str">
        <f>_xlfn.TEXTBEFORE(_xlfn.TEXTAFTER(CantoralDB[[#This Row],[index.html]],"&gt;"),"&gt;")&amp;"&gt;"</f>
        <v>&lt;a href="canciones/taize/alleluia_94.html"&gt;</v>
      </c>
    </row>
    <row r="1611" spans="1:23" x14ac:dyDescent="0.3">
      <c r="A1611" s="1">
        <f>ROW(CantoralDB[[#This Row],[Título]])-1</f>
        <v>1610</v>
      </c>
      <c r="B1611" s="1" t="s">
        <v>310</v>
      </c>
      <c r="C1611" s="1" t="s">
        <v>1022</v>
      </c>
      <c r="D1611" s="1" t="s">
        <v>1085</v>
      </c>
      <c r="H1611" s="1" t="s">
        <v>473</v>
      </c>
      <c r="I1611" s="1" t="s">
        <v>2961</v>
      </c>
      <c r="J1611" s="1" t="s">
        <v>608</v>
      </c>
      <c r="M1611" s="15" t="s">
        <v>2140</v>
      </c>
      <c r="N1611" s="15"/>
      <c r="O1611" s="15"/>
      <c r="P1611" s="15" t="str" cm="1">
        <f t="array" ref="P1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1" s="15" t="str" cm="1">
        <f t="array" ref="Q1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S1611" s="1"/>
      <c r="T1611" s="1"/>
      <c r="U1611" s="1"/>
      <c r="V1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data-nnew="Q11"&gt;&lt;a href="canciones/taize/beati_voi_poveri.html"&gt;Beati voi poveri&lt;/a&gt;&lt;/li&gt;</v>
      </c>
      <c r="W1611" s="15" t="str">
        <f>_xlfn.TEXTBEFORE(_xlfn.TEXTAFTER(CantoralDB[[#This Row],[index.html]],"&gt;"),"&gt;")&amp;"&gt;"</f>
        <v>&lt;a href="canciones/taize/beati_voi_poveri.html"&gt;</v>
      </c>
    </row>
    <row r="1612" spans="1:23" x14ac:dyDescent="0.3">
      <c r="A1612" s="1">
        <f>ROW(CantoralDB[[#This Row],[Título]])-1</f>
        <v>1611</v>
      </c>
      <c r="B1612" s="1" t="s">
        <v>336</v>
      </c>
      <c r="C1612" s="1" t="s">
        <v>1022</v>
      </c>
      <c r="D1612" s="1" t="s">
        <v>1109</v>
      </c>
      <c r="H1612" s="1" t="s">
        <v>473</v>
      </c>
      <c r="I1612" s="1" t="s">
        <v>2962</v>
      </c>
      <c r="J1612" s="1" t="s">
        <v>608</v>
      </c>
      <c r="M1612" s="15" t="s">
        <v>2140</v>
      </c>
      <c r="N1612" s="15"/>
      <c r="O1612" s="15"/>
      <c r="P1612" s="15" t="str" cm="1">
        <f t="array" ref="P1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2" s="15" t="str" cm="1">
        <f t="array" ref="Q1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S1612" s="1"/>
      <c r="T1612" s="1"/>
      <c r="U1612" s="1"/>
      <c r="V1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data-nnew="Q28"&gt;&lt;a href="canciones/taize/dans_nos_obscurites.html"&gt;Dans nos obscurités&lt;/a&gt;&lt;/li&gt;</v>
      </c>
      <c r="W1612" s="15" t="str">
        <f>_xlfn.TEXTBEFORE(_xlfn.TEXTAFTER(CantoralDB[[#This Row],[index.html]],"&gt;"),"&gt;")&amp;"&gt;"</f>
        <v>&lt;a href="canciones/taize/dans_nos_obscurites.html"&gt;</v>
      </c>
    </row>
    <row r="1613" spans="1:23" x14ac:dyDescent="0.3">
      <c r="A1613" s="1">
        <f>ROW(CantoralDB[[#This Row],[Título]])-1</f>
        <v>1612</v>
      </c>
      <c r="B1613" s="1" t="s">
        <v>380</v>
      </c>
      <c r="C1613" s="1" t="s">
        <v>1022</v>
      </c>
      <c r="D1613" s="1" t="s">
        <v>1076</v>
      </c>
      <c r="H1613" s="1" t="s">
        <v>473</v>
      </c>
      <c r="J1613" s="1" t="s">
        <v>608</v>
      </c>
      <c r="M1613" s="15" t="s">
        <v>2140</v>
      </c>
      <c r="N1613" s="15"/>
      <c r="O1613" s="15"/>
      <c r="P1613" s="15" t="str" cm="1">
        <f t="array" ref="P1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3" s="15" t="str" cm="1">
        <f t="array" ref="Q1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S1613" s="1"/>
      <c r="T1613" s="1"/>
      <c r="U1613" s="1"/>
      <c r="V1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data-nnew="Q50"&gt;&lt;a href="canciones/taize/jubelt_und_freut_euch.html"&gt;Jubelt und freut euch&lt;/a&gt;&lt;/li&gt;</v>
      </c>
      <c r="W1613" s="15" t="str">
        <f>_xlfn.TEXTBEFORE(_xlfn.TEXTAFTER(CantoralDB[[#This Row],[index.html]],"&gt;"),"&gt;")&amp;"&gt;"</f>
        <v>&lt;a href="canciones/taize/jubelt_und_freut_euch.html"&gt;</v>
      </c>
    </row>
    <row r="1614" spans="1:23" x14ac:dyDescent="0.3">
      <c r="A1614" s="1">
        <f>ROW(CantoralDB[[#This Row],[Título]])-1</f>
        <v>1613</v>
      </c>
      <c r="B1614" s="1" t="s">
        <v>443</v>
      </c>
      <c r="C1614" s="1" t="s">
        <v>1022</v>
      </c>
      <c r="D1614" s="1" t="s">
        <v>1147</v>
      </c>
      <c r="H1614" s="1" t="s">
        <v>473</v>
      </c>
      <c r="I1614" s="1" t="s">
        <v>2960</v>
      </c>
      <c r="J1614" s="1" t="s">
        <v>608</v>
      </c>
      <c r="M1614" s="15" t="s">
        <v>2140</v>
      </c>
      <c r="N1614" s="15"/>
      <c r="O1614" s="15"/>
      <c r="P1614" s="15" t="str" cm="1">
        <f t="array" ref="P1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4" s="15" t="str" cm="1">
        <f t="array" ref="Q1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S1614" s="1"/>
      <c r="T1614" s="1"/>
      <c r="U1614" s="1"/>
      <c r="V1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data-nnew="Q71"&gt;&lt;a href="canciones/taize/staňte_se_soli.html"&gt;Staňte se solí&lt;/a&gt;&lt;/li&gt;</v>
      </c>
      <c r="W1614" s="15" t="str">
        <f>_xlfn.TEXTBEFORE(_xlfn.TEXTAFTER(CantoralDB[[#This Row],[index.html]],"&gt;"),"&gt;")&amp;"&gt;"</f>
        <v>&lt;a href="canciones/taize/staňte_se_soli.html"&gt;</v>
      </c>
    </row>
    <row r="1615" spans="1:23" x14ac:dyDescent="0.3">
      <c r="A1615" s="1">
        <f>ROW(CantoralDB[[#This Row],[Título]])-1</f>
        <v>1614</v>
      </c>
      <c r="B1615" s="1" t="s">
        <v>445</v>
      </c>
      <c r="C1615" s="1" t="s">
        <v>1022</v>
      </c>
      <c r="D1615" s="1" t="s">
        <v>1102</v>
      </c>
      <c r="H1615" s="1" t="s">
        <v>473</v>
      </c>
      <c r="I1615" s="1" t="s">
        <v>2961</v>
      </c>
      <c r="J1615" s="1" t="s">
        <v>608</v>
      </c>
      <c r="M1615" s="15" t="s">
        <v>2140</v>
      </c>
      <c r="N1615" s="15"/>
      <c r="O1615" s="15"/>
      <c r="P1615" s="15" t="str" cm="1">
        <f t="array" ref="P1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5" s="15" t="str" cm="1">
        <f t="array" ref="Q1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S1615" s="1"/>
      <c r="T1615" s="1"/>
      <c r="U1615" s="1"/>
      <c r="V1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data-nnew="Q73"&gt;&lt;a href="canciones/taize/surrexit_dominus_vere_(canon).html"&gt;Surrexit Dominus vere (canon)&lt;/a&gt;&lt;/li&gt;</v>
      </c>
      <c r="W1615" s="15" t="str">
        <f>_xlfn.TEXTBEFORE(_xlfn.TEXTAFTER(CantoralDB[[#This Row],[index.html]],"&gt;"),"&gt;")&amp;"&gt;"</f>
        <v>&lt;a href="canciones/taize/surrexit_dominus_vere_(canon).html"&gt;</v>
      </c>
    </row>
    <row r="1616" spans="1:23" x14ac:dyDescent="0.3">
      <c r="A1616" s="1">
        <f>ROW(CantoralDB[[#This Row],[Título]])-1</f>
        <v>1615</v>
      </c>
      <c r="B1616" s="1" t="s">
        <v>318</v>
      </c>
      <c r="C1616" s="1" t="s">
        <v>1022</v>
      </c>
      <c r="D1616" s="1" t="s">
        <v>1089</v>
      </c>
      <c r="H1616" s="1" t="s">
        <v>531</v>
      </c>
      <c r="I1616" s="1" t="s">
        <v>2960</v>
      </c>
      <c r="J1616" s="1" t="s">
        <v>608</v>
      </c>
      <c r="M1616" s="15" t="s">
        <v>2140</v>
      </c>
      <c r="N1616" s="15"/>
      <c r="O1616" s="15"/>
      <c r="P1616" s="15" t="str" cm="1">
        <f t="array" ref="P1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6" s="15" t="str" cm="1">
        <f t="array" ref="Q1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S1616" s="1"/>
      <c r="T1616" s="1"/>
      <c r="U1616" s="1"/>
      <c r="V1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data-nnew="Q14"&gt;&lt;a href="canciones/taize/bleibet_hier.html"&gt;Bleibet hier&lt;/a&gt;&lt;/li&gt;</v>
      </c>
      <c r="W1616" s="15" t="str">
        <f>_xlfn.TEXTBEFORE(_xlfn.TEXTAFTER(CantoralDB[[#This Row],[index.html]],"&gt;"),"&gt;")&amp;"&gt;"</f>
        <v>&lt;a href="canciones/taize/bleibet_hier.html"&gt;</v>
      </c>
    </row>
    <row r="1617" spans="1:23" x14ac:dyDescent="0.3">
      <c r="A1617" s="1">
        <f>ROW(CantoralDB[[#This Row],[Título]])-1</f>
        <v>1616</v>
      </c>
      <c r="B1617" s="1" t="s">
        <v>319</v>
      </c>
      <c r="C1617" s="1" t="s">
        <v>1022</v>
      </c>
      <c r="D1617" s="1" t="s">
        <v>1090</v>
      </c>
      <c r="H1617" s="1" t="s">
        <v>531</v>
      </c>
      <c r="I1617" s="1" t="s">
        <v>2960</v>
      </c>
      <c r="J1617" s="1" t="s">
        <v>608</v>
      </c>
      <c r="M1617" s="15" t="s">
        <v>2140</v>
      </c>
      <c r="N1617" s="15"/>
      <c r="O1617" s="15"/>
      <c r="P1617" s="15" t="str" cm="1">
        <f t="array" ref="P1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7" s="15" t="str" cm="1">
        <f t="array" ref="Q1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S1617" s="1"/>
      <c r="T1617" s="1"/>
      <c r="U1617" s="1"/>
      <c r="V1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data-nnew="Q17"&gt;&lt;a href="canciones/taize/bless_the_lord.html"&gt;Bless the Lord&lt;/a&gt;&lt;/li&gt;</v>
      </c>
      <c r="W1617" s="15" t="str">
        <f>_xlfn.TEXTBEFORE(_xlfn.TEXTAFTER(CantoralDB[[#This Row],[index.html]],"&gt;"),"&gt;")&amp;"&gt;"</f>
        <v>&lt;a href="canciones/taize/bless_the_lord.html"&gt;</v>
      </c>
    </row>
    <row r="1618" spans="1:23" x14ac:dyDescent="0.3">
      <c r="A1618" s="1">
        <f>ROW(CantoralDB[[#This Row],[Título]])-1</f>
        <v>1617</v>
      </c>
      <c r="B1618" s="1" t="s">
        <v>323</v>
      </c>
      <c r="C1618" s="1" t="s">
        <v>1022</v>
      </c>
      <c r="D1618" s="1" t="s">
        <v>1093</v>
      </c>
      <c r="H1618" s="1" t="s">
        <v>531</v>
      </c>
      <c r="I1618" s="1" t="s">
        <v>2960</v>
      </c>
      <c r="J1618" s="1" t="s">
        <v>608</v>
      </c>
      <c r="M1618" s="15" t="s">
        <v>2140</v>
      </c>
      <c r="N1618" s="15"/>
      <c r="O1618" s="15"/>
      <c r="P1618" s="15" t="str" cm="1">
        <f t="array" ref="P1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8" s="15" t="str" cm="1">
        <f t="array" ref="Q1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S1618" s="1"/>
      <c r="T1618" s="1"/>
      <c r="U1618" s="1"/>
      <c r="V1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data-nnew="Q19"&gt;&lt;a href="canciones/taize/bonum_est_confidere.html"&gt;Bonum est confidere&lt;/a&gt;&lt;/li&gt;</v>
      </c>
      <c r="W1618" s="15" t="str">
        <f>_xlfn.TEXTBEFORE(_xlfn.TEXTAFTER(CantoralDB[[#This Row],[index.html]],"&gt;"),"&gt;")&amp;"&gt;"</f>
        <v>&lt;a href="canciones/taize/bonum_est_confidere.html"&gt;</v>
      </c>
    </row>
    <row r="1619" spans="1:23" x14ac:dyDescent="0.3">
      <c r="A1619" s="1">
        <f>ROW(CantoralDB[[#This Row],[Título]])-1</f>
        <v>1618</v>
      </c>
      <c r="B1619" s="1" t="s">
        <v>330</v>
      </c>
      <c r="C1619" s="1" t="s">
        <v>1022</v>
      </c>
      <c r="D1619" s="1" t="s">
        <v>1096</v>
      </c>
      <c r="H1619" s="1" t="s">
        <v>531</v>
      </c>
      <c r="I1619" s="1" t="s">
        <v>2961</v>
      </c>
      <c r="J1619" s="1" t="s">
        <v>608</v>
      </c>
      <c r="M1619" s="15" t="s">
        <v>2140</v>
      </c>
      <c r="N1619" s="15"/>
      <c r="O1619" s="15"/>
      <c r="P1619" s="15" t="str" cm="1">
        <f t="array" ref="P1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19" s="15" t="str" cm="1">
        <f t="array" ref="Q1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S1619" s="1"/>
      <c r="T1619" s="1"/>
      <c r="U1619" s="1"/>
      <c r="V1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data-nnew="Q23"&gt;&lt;a href="canciones/taize/christe_salvator.html"&gt;Christe Salvator&lt;/a&gt;&lt;/li&gt;</v>
      </c>
      <c r="W1619" s="15" t="str">
        <f>_xlfn.TEXTBEFORE(_xlfn.TEXTAFTER(CantoralDB[[#This Row],[index.html]],"&gt;"),"&gt;")&amp;"&gt;"</f>
        <v>&lt;a href="canciones/taize/christe_salvator.html"&gt;</v>
      </c>
    </row>
    <row r="1620" spans="1:23" x14ac:dyDescent="0.3">
      <c r="A1620" s="1">
        <f>ROW(CantoralDB[[#This Row],[Título]])-1</f>
        <v>1619</v>
      </c>
      <c r="B1620" s="1" t="s">
        <v>334</v>
      </c>
      <c r="C1620" s="1" t="s">
        <v>1022</v>
      </c>
      <c r="D1620" s="1" t="s">
        <v>1105</v>
      </c>
      <c r="H1620" s="1" t="s">
        <v>531</v>
      </c>
      <c r="I1620" s="1" t="s">
        <v>2961</v>
      </c>
      <c r="J1620" s="1" t="s">
        <v>608</v>
      </c>
      <c r="M1620" s="15" t="s">
        <v>2140</v>
      </c>
      <c r="N1620" s="15"/>
      <c r="O1620" s="15"/>
      <c r="P1620" s="15" t="str" cm="1">
        <f t="array" ref="P1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0" s="15" t="str" cm="1">
        <f t="array" ref="Q1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S1620" s="1"/>
      <c r="T1620" s="1"/>
      <c r="U1620" s="1"/>
      <c r="V1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data-nnew="Q26"&gt;&lt;a href="canciones/taize/da_pacem_cordium_(canon).html"&gt;Da pacem cordium (canon)&lt;/a&gt;&lt;/li&gt;</v>
      </c>
      <c r="W1620" s="15" t="str">
        <f>_xlfn.TEXTBEFORE(_xlfn.TEXTAFTER(CantoralDB[[#This Row],[index.html]],"&gt;"),"&gt;")&amp;"&gt;"</f>
        <v>&lt;a href="canciones/taize/da_pacem_cordium_(canon).html"&gt;</v>
      </c>
    </row>
    <row r="1621" spans="1:23" x14ac:dyDescent="0.3">
      <c r="A1621" s="1">
        <f>ROW(CantoralDB[[#This Row],[Título]])-1</f>
        <v>1620</v>
      </c>
      <c r="B1621" s="1" t="s">
        <v>342</v>
      </c>
      <c r="C1621" s="1" t="s">
        <v>1022</v>
      </c>
      <c r="D1621" s="1" t="s">
        <v>1100</v>
      </c>
      <c r="H1621" s="1" t="s">
        <v>531</v>
      </c>
      <c r="J1621" s="1" t="s">
        <v>608</v>
      </c>
      <c r="M1621" s="15" t="s">
        <v>2140</v>
      </c>
      <c r="N1621" s="15"/>
      <c r="O1621" s="15"/>
      <c r="P1621" s="15" t="str" cm="1">
        <f t="array" ref="P1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1" s="15" t="str" cm="1">
        <f t="array" ref="Q1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S1621" s="1"/>
      <c r="T1621" s="1"/>
      <c r="U1621" s="1"/>
      <c r="V1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data-nnew="Q33"&gt;&lt;a href="canciones/taize/dominus_spiritus_est.html"&gt;Dominus spiritus est&lt;/a&gt;&lt;/li&gt;</v>
      </c>
      <c r="W1621" s="15" t="str">
        <f>_xlfn.TEXTBEFORE(_xlfn.TEXTAFTER(CantoralDB[[#This Row],[index.html]],"&gt;"),"&gt;")&amp;"&gt;"</f>
        <v>&lt;a href="canciones/taize/dominus_spiritus_est.html"&gt;</v>
      </c>
    </row>
    <row r="1622" spans="1:23" x14ac:dyDescent="0.3">
      <c r="A1622" s="1">
        <f>ROW(CantoralDB[[#This Row],[Título]])-1</f>
        <v>1621</v>
      </c>
      <c r="B1622" s="1" t="s">
        <v>347</v>
      </c>
      <c r="C1622" s="1" t="s">
        <v>1022</v>
      </c>
      <c r="D1622" s="1" t="s">
        <v>1120</v>
      </c>
      <c r="H1622" s="1" t="s">
        <v>531</v>
      </c>
      <c r="I1622" s="1" t="s">
        <v>2960</v>
      </c>
      <c r="J1622" s="1" t="s">
        <v>608</v>
      </c>
      <c r="M1622" s="15" t="s">
        <v>2140</v>
      </c>
      <c r="N1622" s="15"/>
      <c r="O1622" s="15"/>
      <c r="P1622" s="15" t="str" cm="1">
        <f t="array" ref="P1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2" s="15" t="str" cm="1">
        <f t="array" ref="Q1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S1622" s="1"/>
      <c r="T1622" s="1"/>
      <c r="U1622" s="1"/>
      <c r="V1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data-nnew="Q38"&gt;&lt;a href="canciones/taize/el_senyor.html"&gt;El Senyor&lt;/a&gt;&lt;/li&gt;</v>
      </c>
      <c r="W1622" s="15" t="str">
        <f>_xlfn.TEXTBEFORE(_xlfn.TEXTAFTER(CantoralDB[[#This Row],[index.html]],"&gt;"),"&gt;")&amp;"&gt;"</f>
        <v>&lt;a href="canciones/taize/el_senyor.html"&gt;</v>
      </c>
    </row>
    <row r="1623" spans="1:23" x14ac:dyDescent="0.3">
      <c r="A1623" s="1">
        <f>ROW(CantoralDB[[#This Row],[Título]])-1</f>
        <v>1622</v>
      </c>
      <c r="B1623" s="1" t="s">
        <v>377</v>
      </c>
      <c r="C1623" s="1" t="s">
        <v>1022</v>
      </c>
      <c r="D1623" s="1" t="s">
        <v>1103</v>
      </c>
      <c r="H1623" s="1" t="s">
        <v>531</v>
      </c>
      <c r="I1623" s="1" t="s">
        <v>2962</v>
      </c>
      <c r="J1623" s="1" t="s">
        <v>608</v>
      </c>
      <c r="M1623" s="15" t="s">
        <v>2140</v>
      </c>
      <c r="N1623" s="15"/>
      <c r="O1623" s="15"/>
      <c r="P1623" s="15" t="str" cm="1">
        <f t="array" ref="P1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3" s="15" t="str" cm="1">
        <f t="array" ref="Q1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S1623" s="1"/>
      <c r="T1623" s="1"/>
      <c r="U1623" s="1"/>
      <c r="V1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data-nnew="Q47"&gt;&lt;a href="canciones/taize/jesus_le_christ.html"&gt;Jésus le Christ&lt;/a&gt;&lt;/li&gt;</v>
      </c>
      <c r="W1623" s="15" t="str">
        <f>_xlfn.TEXTBEFORE(_xlfn.TEXTAFTER(CantoralDB[[#This Row],[index.html]],"&gt;"),"&gt;")&amp;"&gt;"</f>
        <v>&lt;a href="canciones/taize/jesus_le_christ.html"&gt;</v>
      </c>
    </row>
    <row r="1624" spans="1:23" x14ac:dyDescent="0.3">
      <c r="A1624" s="1">
        <f>ROW(CantoralDB[[#This Row],[Título]])-1</f>
        <v>1623</v>
      </c>
      <c r="B1624" s="1" t="s">
        <v>399</v>
      </c>
      <c r="C1624" s="1" t="s">
        <v>1022</v>
      </c>
      <c r="D1624" s="1" t="s">
        <v>1134</v>
      </c>
      <c r="H1624" s="1" t="s">
        <v>531</v>
      </c>
      <c r="I1624" s="1" t="s">
        <v>2961</v>
      </c>
      <c r="J1624" s="1" t="s">
        <v>608</v>
      </c>
      <c r="M1624" s="15" t="s">
        <v>2140</v>
      </c>
      <c r="N1624" s="15"/>
      <c r="O1624" s="15"/>
      <c r="P1624" s="15" t="str" cm="1">
        <f t="array" ref="P1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4" s="15" t="str" cm="1">
        <f t="array" ref="Q1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S1624" s="1"/>
      <c r="T1624" s="1"/>
      <c r="U1624" s="1"/>
      <c r="V1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data-nnew="Q56"&gt;&lt;a href="canciones/taize/kyrie_20.html"&gt;Kyrie 20&lt;/a&gt;&lt;/li&gt;</v>
      </c>
      <c r="W1624" s="15" t="str">
        <f>_xlfn.TEXTBEFORE(_xlfn.TEXTAFTER(CantoralDB[[#This Row],[index.html]],"&gt;"),"&gt;")&amp;"&gt;"</f>
        <v>&lt;a href="canciones/taize/kyrie_20.html"&gt;</v>
      </c>
    </row>
    <row r="1625" spans="1:23" x14ac:dyDescent="0.3">
      <c r="A1625" s="1">
        <f>ROW(CantoralDB[[#This Row],[Título]])-1</f>
        <v>1624</v>
      </c>
      <c r="B1625" s="1" t="s">
        <v>390</v>
      </c>
      <c r="C1625" s="1" t="s">
        <v>1022</v>
      </c>
      <c r="D1625" s="1" t="s">
        <v>1136</v>
      </c>
      <c r="H1625" s="1" t="s">
        <v>531</v>
      </c>
      <c r="I1625" s="1" t="s">
        <v>2962</v>
      </c>
      <c r="J1625" s="1" t="s">
        <v>608</v>
      </c>
      <c r="M1625" s="15" t="s">
        <v>2140</v>
      </c>
      <c r="N1625" s="15"/>
      <c r="O1625" s="15"/>
      <c r="P1625" s="15" t="str" cm="1">
        <f t="array" ref="P1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5" s="15" t="str" cm="1">
        <f t="array" ref="Q1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S1625" s="1"/>
      <c r="T1625" s="1"/>
      <c r="U1625" s="1"/>
      <c r="V1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data-nnew="Q55"&gt;&lt;a href="canciones/taize/kyrie_8.html"&gt;Kyrie 8&lt;/a&gt;&lt;/li&gt;</v>
      </c>
      <c r="W1625" s="15" t="str">
        <f>_xlfn.TEXTBEFORE(_xlfn.TEXTAFTER(CantoralDB[[#This Row],[index.html]],"&gt;"),"&gt;")&amp;"&gt;"</f>
        <v>&lt;a href="canciones/taize/kyrie_8.html"&gt;</v>
      </c>
    </row>
    <row r="1626" spans="1:23" x14ac:dyDescent="0.3">
      <c r="A1626" s="1">
        <f>ROW(CantoralDB[[#This Row],[Título]])-1</f>
        <v>1625</v>
      </c>
      <c r="B1626" s="1" t="s">
        <v>426</v>
      </c>
      <c r="C1626" s="1" t="s">
        <v>1022</v>
      </c>
      <c r="D1626" s="1" t="s">
        <v>1145</v>
      </c>
      <c r="H1626" s="1" t="s">
        <v>531</v>
      </c>
      <c r="I1626" s="1" t="s">
        <v>2960</v>
      </c>
      <c r="J1626" s="1" t="s">
        <v>608</v>
      </c>
      <c r="M1626" s="15" t="s">
        <v>2140</v>
      </c>
      <c r="N1626" s="15"/>
      <c r="O1626" s="15"/>
      <c r="P1626" s="15" t="str" cm="1">
        <f t="array" ref="P1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6" s="15" t="str" cm="1">
        <f t="array" ref="Q1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S1626" s="1"/>
      <c r="T1626" s="1"/>
      <c r="U1626" s="1"/>
      <c r="V1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data-nnew="Q66"&gt;&lt;a href="canciones/taize/per_crucem.html"&gt;Per crucem&lt;/a&gt;&lt;/li&gt;</v>
      </c>
      <c r="W1626" s="15" t="str">
        <f>_xlfn.TEXTBEFORE(_xlfn.TEXTAFTER(CantoralDB[[#This Row],[index.html]],"&gt;"),"&gt;")&amp;"&gt;"</f>
        <v>&lt;a href="canciones/taize/per_crucem.html"&gt;</v>
      </c>
    </row>
    <row r="1627" spans="1:23" x14ac:dyDescent="0.3">
      <c r="A1627" s="1">
        <f>ROW(CantoralDB[[#This Row],[Título]])-1</f>
        <v>1626</v>
      </c>
      <c r="B1627" s="1" t="s">
        <v>433</v>
      </c>
      <c r="C1627" s="1" t="s">
        <v>1022</v>
      </c>
      <c r="D1627" s="1" t="s">
        <v>1146</v>
      </c>
      <c r="H1627" s="1" t="s">
        <v>531</v>
      </c>
      <c r="I1627" s="1" t="s">
        <v>2960</v>
      </c>
      <c r="J1627" s="1" t="s">
        <v>608</v>
      </c>
      <c r="M1627" s="15" t="s">
        <v>2140</v>
      </c>
      <c r="N1627" s="15"/>
      <c r="O1627" s="15"/>
      <c r="P1627" s="15" t="str" cm="1">
        <f t="array" ref="P1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7" s="15" t="str" cm="1">
        <f t="array" ref="Q1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S1627" s="1"/>
      <c r="T1627" s="1"/>
      <c r="U1627" s="1"/>
      <c r="V1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data-nnew="Q68"&gt;&lt;a href="canciones/taize/sanasi_on_lamppu.html"&gt;Sanasi on lamppu&lt;/a&gt;&lt;/li&gt;</v>
      </c>
      <c r="W1627" s="15" t="str">
        <f>_xlfn.TEXTBEFORE(_xlfn.TEXTAFTER(CantoralDB[[#This Row],[index.html]],"&gt;"),"&gt;")&amp;"&gt;"</f>
        <v>&lt;a href="canciones/taize/sanasi_on_lamppu.html"&gt;</v>
      </c>
    </row>
    <row r="1628" spans="1:23" x14ac:dyDescent="0.3">
      <c r="A1628" s="1">
        <f>ROW(CantoralDB[[#This Row],[Título]])-1</f>
        <v>1627</v>
      </c>
      <c r="B1628" s="1" t="s">
        <v>468</v>
      </c>
      <c r="C1628" s="1" t="s">
        <v>1022</v>
      </c>
      <c r="D1628" s="1" t="s">
        <v>1122</v>
      </c>
      <c r="H1628" s="1" t="s">
        <v>531</v>
      </c>
      <c r="I1628" s="1" t="s">
        <v>2961</v>
      </c>
      <c r="J1628" s="1" t="s">
        <v>608</v>
      </c>
      <c r="M1628" s="15" t="s">
        <v>2140</v>
      </c>
      <c r="N1628" s="15"/>
      <c r="O1628" s="15"/>
      <c r="P1628" s="15" t="str" cm="1">
        <f t="array" ref="P1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8" s="15" t="str" cm="1">
        <f t="array" ref="Q1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S1628" s="1"/>
      <c r="T1628" s="1"/>
      <c r="U1628" s="1"/>
      <c r="V1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data-nnew="Q81"&gt;&lt;a href="canciones/taize/voici_dieu_qui_vient_à_mon_secours.html"&gt;Voici Dieu qui vient à mon secours&lt;/a&gt;&lt;/li&gt;</v>
      </c>
      <c r="W1628" s="15" t="str">
        <f>_xlfn.TEXTBEFORE(_xlfn.TEXTAFTER(CantoralDB[[#This Row],[index.html]],"&gt;"),"&gt;")&amp;"&gt;"</f>
        <v>&lt;a href="canciones/taize/voici_dieu_qui_vient_à_mon_secours.html"&gt;</v>
      </c>
    </row>
    <row r="1629" spans="1:23" x14ac:dyDescent="0.3">
      <c r="A1629" s="1">
        <f>ROW(CantoralDB[[#This Row],[Título]])-1</f>
        <v>1628</v>
      </c>
      <c r="B1629" s="1" t="s">
        <v>472</v>
      </c>
      <c r="C1629" s="1" t="s">
        <v>1022</v>
      </c>
      <c r="D1629" s="1" t="s">
        <v>1070</v>
      </c>
      <c r="H1629" s="1" t="s">
        <v>531</v>
      </c>
      <c r="I1629" s="1" t="s">
        <v>2962</v>
      </c>
      <c r="J1629" s="1" t="s">
        <v>608</v>
      </c>
      <c r="M1629" s="15" t="s">
        <v>2140</v>
      </c>
      <c r="N1629" s="15"/>
      <c r="O1629" s="15"/>
      <c r="P1629" s="15" t="str" cm="1">
        <f t="array" ref="P1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29" s="15" t="str" cm="1">
        <f t="array" ref="Q1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S1629" s="1"/>
      <c r="T1629" s="1"/>
      <c r="U1629" s="1"/>
      <c r="V1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data-nnew="Q83"&gt;&lt;a href="canciones/taize/zu_wem_sollen_wir_gehen.html"&gt;Zu wem sollen wir gehen&lt;/a&gt;&lt;/li&gt;</v>
      </c>
      <c r="W1629" s="15" t="str">
        <f>_xlfn.TEXTBEFORE(_xlfn.TEXTAFTER(CantoralDB[[#This Row],[index.html]],"&gt;"),"&gt;")&amp;"&gt;"</f>
        <v>&lt;a href="canciones/taize/zu_wem_sollen_wir_gehen.html"&gt;</v>
      </c>
    </row>
    <row r="1630" spans="1:23" x14ac:dyDescent="0.3">
      <c r="A1630" s="1">
        <f>ROW(CantoralDB[[#This Row],[Título]])-1</f>
        <v>1629</v>
      </c>
      <c r="B1630" s="1" t="s">
        <v>335</v>
      </c>
      <c r="C1630" s="1" t="s">
        <v>1022</v>
      </c>
      <c r="D1630" s="1" t="s">
        <v>1106</v>
      </c>
      <c r="H1630" s="1" t="s">
        <v>1029</v>
      </c>
      <c r="I1630" s="1" t="s">
        <v>2961</v>
      </c>
      <c r="J1630" s="1" t="s">
        <v>608</v>
      </c>
      <c r="M1630" s="15" t="s">
        <v>2140</v>
      </c>
      <c r="N1630" s="15"/>
      <c r="O1630" s="15"/>
      <c r="P1630" s="15" t="str" cm="1">
        <f t="array" ref="P1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0" s="15" t="str" cm="1">
        <f t="array" ref="Q1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S1630" s="1"/>
      <c r="T1630" s="1"/>
      <c r="U1630" s="1"/>
      <c r="V1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data-nnew="Q27"&gt;&lt;a href="canciones/taize/da_pacem..._in_diebus.html"&gt;Da pacem... in diebus&lt;/a&gt;&lt;/li&gt;</v>
      </c>
      <c r="W1630" s="15" t="str">
        <f>_xlfn.TEXTBEFORE(_xlfn.TEXTAFTER(CantoralDB[[#This Row],[index.html]],"&gt;"),"&gt;")&amp;"&gt;"</f>
        <v>&lt;a href="canciones/taize/da_pacem..._in_diebus.html"&gt;</v>
      </c>
    </row>
    <row r="1631" spans="1:23" x14ac:dyDescent="0.3">
      <c r="A1631" s="1">
        <f>ROW(CantoralDB[[#This Row],[Título]])-1</f>
        <v>1630</v>
      </c>
      <c r="B1631" s="1" t="s">
        <v>401</v>
      </c>
      <c r="C1631" s="1" t="s">
        <v>1022</v>
      </c>
      <c r="D1631" s="1" t="s">
        <v>1137</v>
      </c>
      <c r="H1631" s="1" t="s">
        <v>1029</v>
      </c>
      <c r="I1631" s="1" t="s">
        <v>2961</v>
      </c>
      <c r="J1631" s="1" t="s">
        <v>608</v>
      </c>
      <c r="M1631" s="15" t="s">
        <v>2140</v>
      </c>
      <c r="N1631" s="15"/>
      <c r="O1631" s="15"/>
      <c r="P1631" s="15" t="str" cm="1">
        <f t="array" ref="P1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1" s="15" t="str" cm="1">
        <f t="array" ref="Q1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S1631" s="1"/>
      <c r="T1631" s="1"/>
      <c r="U1631" s="1"/>
      <c r="V1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data-nnew="Q57"&gt;&lt;a href="canciones/taize/l’ajuda_em_vindrà.html"&gt;L’ajuda em vindrà&lt;/a&gt;&lt;/li&gt;</v>
      </c>
      <c r="W1631" s="15" t="str">
        <f>_xlfn.TEXTBEFORE(_xlfn.TEXTAFTER(CantoralDB[[#This Row],[index.html]],"&gt;"),"&gt;")&amp;"&gt;"</f>
        <v>&lt;a href="canciones/taize/l’ajuda_em_vindrà.html"&gt;</v>
      </c>
    </row>
    <row r="1632" spans="1:23" x14ac:dyDescent="0.3">
      <c r="A1632" s="1">
        <f>ROW(CantoralDB[[#This Row],[Título]])-1</f>
        <v>1631</v>
      </c>
      <c r="B1632" s="1" t="s">
        <v>299</v>
      </c>
      <c r="C1632" s="1" t="s">
        <v>1022</v>
      </c>
      <c r="D1632" s="1" t="s">
        <v>1079</v>
      </c>
      <c r="H1632" s="1" t="s">
        <v>1030</v>
      </c>
      <c r="I1632" s="1" t="s">
        <v>2962</v>
      </c>
      <c r="J1632" s="1" t="s">
        <v>608</v>
      </c>
      <c r="M1632" s="15" t="s">
        <v>2140</v>
      </c>
      <c r="N1632" s="15"/>
      <c r="O1632" s="15"/>
      <c r="P1632" s="15" t="str" cm="1">
        <f t="array" ref="P1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2" s="15" t="str" cm="1">
        <f t="array" ref="Q1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S1632" s="1"/>
      <c r="T1632" s="1"/>
      <c r="U1632" s="1"/>
      <c r="V1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data-nnew="Q06"&gt;&lt;a href="canciones/taize/alleluia_17.html"&gt;Alleluia 17&lt;/a&gt;&lt;/li&gt;</v>
      </c>
      <c r="W1632" s="15" t="str">
        <f>_xlfn.TEXTBEFORE(_xlfn.TEXTAFTER(CantoralDB[[#This Row],[index.html]],"&gt;"),"&gt;")&amp;"&gt;"</f>
        <v>&lt;a href="canciones/taize/alleluia_17.html"&gt;</v>
      </c>
    </row>
    <row r="1633" spans="1:23" x14ac:dyDescent="0.3">
      <c r="A1633" s="1">
        <f>ROW(CantoralDB[[#This Row],[Título]])-1</f>
        <v>1632</v>
      </c>
      <c r="B1633" s="1" t="s">
        <v>787</v>
      </c>
      <c r="C1633" s="1" t="s">
        <v>1022</v>
      </c>
      <c r="D1633" s="1" t="s">
        <v>1083</v>
      </c>
      <c r="H1633" s="1" t="s">
        <v>1030</v>
      </c>
      <c r="J1633" s="1" t="s">
        <v>608</v>
      </c>
      <c r="M1633" s="15" t="s">
        <v>2140</v>
      </c>
      <c r="N1633" s="15"/>
      <c r="O1633" s="15"/>
      <c r="P1633" s="15" t="str" cm="1">
        <f t="array" ref="P1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3" s="15" t="str" cm="1">
        <f t="array" ref="Q1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S1633" s="1"/>
      <c r="T1633" s="1"/>
      <c r="U1633" s="1"/>
      <c r="V1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data-nnew="Q09"&gt;&lt;a href="canciones/taize/alleluia_96.html"&gt;Alleluia 96&lt;/a&gt;&lt;/li&gt;</v>
      </c>
      <c r="W1633" s="15" t="str">
        <f>_xlfn.TEXTBEFORE(_xlfn.TEXTAFTER(CantoralDB[[#This Row],[index.html]],"&gt;"),"&gt;")&amp;"&gt;"</f>
        <v>&lt;a href="canciones/taize/alleluia_96.html"&gt;</v>
      </c>
    </row>
    <row r="1634" spans="1:23" x14ac:dyDescent="0.3">
      <c r="A1634" s="1">
        <f>ROW(CantoralDB[[#This Row],[Título]])-1</f>
        <v>1633</v>
      </c>
      <c r="B1634" s="1" t="s">
        <v>788</v>
      </c>
      <c r="C1634" s="1" t="s">
        <v>1022</v>
      </c>
      <c r="D1634" s="1" t="s">
        <v>1084</v>
      </c>
      <c r="H1634" s="1" t="s">
        <v>1030</v>
      </c>
      <c r="I1634" s="1" t="s">
        <v>2961</v>
      </c>
      <c r="J1634" s="1" t="s">
        <v>608</v>
      </c>
      <c r="M1634" s="15" t="s">
        <v>2140</v>
      </c>
      <c r="N1634" s="15"/>
      <c r="O1634" s="15"/>
      <c r="P1634" s="15" t="str" cm="1">
        <f t="array" ref="P1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4" s="15" t="str" cm="1">
        <f t="array" ref="Q1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S1634" s="1"/>
      <c r="T1634" s="1"/>
      <c r="U1634" s="1"/>
      <c r="V1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data-nnew="Q10"&gt;&lt;a href="canciones/taize/alleluia_97.html"&gt;Alleluia 97&lt;/a&gt;&lt;/li&gt;</v>
      </c>
      <c r="W1634" s="15" t="str">
        <f>_xlfn.TEXTBEFORE(_xlfn.TEXTAFTER(CantoralDB[[#This Row],[index.html]],"&gt;"),"&gt;")&amp;"&gt;"</f>
        <v>&lt;a href="canciones/taize/alleluia_97.html"&gt;</v>
      </c>
    </row>
    <row r="1635" spans="1:23" x14ac:dyDescent="0.3">
      <c r="A1635" s="1">
        <f>ROW(CantoralDB[[#This Row],[Título]])-1</f>
        <v>1634</v>
      </c>
      <c r="B1635" s="1" t="s">
        <v>325</v>
      </c>
      <c r="C1635" s="1" t="s">
        <v>1022</v>
      </c>
      <c r="D1635" s="1" t="s">
        <v>1094</v>
      </c>
      <c r="H1635" s="1" t="s">
        <v>1030</v>
      </c>
      <c r="J1635" s="1" t="s">
        <v>608</v>
      </c>
      <c r="M1635" s="15" t="s">
        <v>2140</v>
      </c>
      <c r="N1635" s="15"/>
      <c r="O1635" s="15"/>
      <c r="P1635" s="15" t="str" cm="1">
        <f t="array" ref="P1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5" s="15" t="str" cm="1">
        <f t="array" ref="Q1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S1635" s="1"/>
      <c r="T1635" s="1"/>
      <c r="U1635" s="1"/>
      <c r="V1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data-nnew="Q20"&gt;&lt;a href="canciones/taize/cantarei_ao_senhor.html"&gt;Cantarei ao Senhor&lt;/a&gt;&lt;/li&gt;</v>
      </c>
      <c r="W1635" s="15" t="str">
        <f>_xlfn.TEXTBEFORE(_xlfn.TEXTAFTER(CantoralDB[[#This Row],[index.html]],"&gt;"),"&gt;")&amp;"&gt;"</f>
        <v>&lt;a href="canciones/taize/cantarei_ao_senhor.html"&gt;</v>
      </c>
    </row>
    <row r="1636" spans="1:23" x14ac:dyDescent="0.3">
      <c r="A1636" s="1">
        <f>ROW(CantoralDB[[#This Row],[Título]])-1</f>
        <v>1635</v>
      </c>
      <c r="B1636" s="1" t="s">
        <v>339</v>
      </c>
      <c r="C1636" s="1" t="s">
        <v>1022</v>
      </c>
      <c r="D1636" s="1" t="s">
        <v>1114</v>
      </c>
      <c r="H1636" s="1" t="s">
        <v>1030</v>
      </c>
      <c r="I1636" s="1" t="s">
        <v>2959</v>
      </c>
      <c r="J1636" s="1" t="s">
        <v>608</v>
      </c>
      <c r="M1636" s="15" t="s">
        <v>2140</v>
      </c>
      <c r="N1636" s="15"/>
      <c r="O1636" s="15"/>
      <c r="P1636" s="15" t="str" cm="1">
        <f t="array" ref="P1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6" s="15" t="str" cm="1">
        <f t="array" ref="Q1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S1636" s="1"/>
      <c r="T1636" s="1"/>
      <c r="U1636" s="1"/>
      <c r="V1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data-nnew="Q31"&gt;&lt;a href="canciones/taize/deus_deus_meus_(canon).html"&gt;Deus, Deus meus (canon)&lt;/a&gt;&lt;/li&gt;</v>
      </c>
      <c r="W1636" s="15" t="str">
        <f>_xlfn.TEXTBEFORE(_xlfn.TEXTAFTER(CantoralDB[[#This Row],[index.html]],"&gt;"),"&gt;")&amp;"&gt;"</f>
        <v>&lt;a href="canciones/taize/deus_deus_meus_(canon).html"&gt;</v>
      </c>
    </row>
    <row r="1637" spans="1:23" x14ac:dyDescent="0.3">
      <c r="A1637" s="1">
        <f>ROW(CantoralDB[[#This Row],[Título]])-1</f>
        <v>1636</v>
      </c>
      <c r="B1637" s="1" t="s">
        <v>343</v>
      </c>
      <c r="C1637" s="1" t="s">
        <v>1022</v>
      </c>
      <c r="D1637" s="1" t="s">
        <v>1108</v>
      </c>
      <c r="H1637" s="1" t="s">
        <v>1030</v>
      </c>
      <c r="I1637" s="1" t="s">
        <v>2960</v>
      </c>
      <c r="J1637" s="1" t="s">
        <v>608</v>
      </c>
      <c r="M1637" s="15" t="s">
        <v>2140</v>
      </c>
      <c r="N1637" s="15"/>
      <c r="O1637" s="15"/>
      <c r="P1637" s="15" t="str" cm="1">
        <f t="array" ref="P1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7" s="15" t="str" cm="1">
        <f t="array" ref="Q1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S1637" s="1"/>
      <c r="T1637" s="1"/>
      <c r="U1637" s="1"/>
      <c r="V1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data-nnew="Q34"&gt;&lt;a href="canciones/taize/dona_la_pace.html"&gt;Dona la pace&lt;/a&gt;&lt;/li&gt;</v>
      </c>
      <c r="W1637" s="15" t="str">
        <f>_xlfn.TEXTBEFORE(_xlfn.TEXTAFTER(CantoralDB[[#This Row],[index.html]],"&gt;"),"&gt;")&amp;"&gt;"</f>
        <v>&lt;a href="canciones/taize/dona_la_pace.html"&gt;</v>
      </c>
    </row>
    <row r="1638" spans="1:23" x14ac:dyDescent="0.3">
      <c r="A1638" s="1">
        <f>ROW(CantoralDB[[#This Row],[Título]])-1</f>
        <v>1637</v>
      </c>
      <c r="B1638" s="1" t="s">
        <v>344</v>
      </c>
      <c r="C1638" s="1" t="s">
        <v>1022</v>
      </c>
      <c r="D1638" s="1" t="s">
        <v>1107</v>
      </c>
      <c r="H1638" s="1" t="s">
        <v>1030</v>
      </c>
      <c r="I1638" s="1" t="s">
        <v>2960</v>
      </c>
      <c r="J1638" s="1" t="s">
        <v>608</v>
      </c>
      <c r="M1638" s="15" t="s">
        <v>2140</v>
      </c>
      <c r="N1638" s="15"/>
      <c r="O1638" s="15"/>
      <c r="P1638" s="15" t="str" cm="1">
        <f t="array" ref="P1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8" s="15" t="str" cm="1">
        <f t="array" ref="Q1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S1638" s="1"/>
      <c r="T1638" s="1"/>
      <c r="U1638" s="1"/>
      <c r="V1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data-nnew="Q35"&gt;&lt;a href="canciones/taize/dona_nobis_pacem.html"&gt;Dona nobis pacem&lt;/a&gt;&lt;/li&gt;</v>
      </c>
      <c r="W1638" s="15" t="str">
        <f>_xlfn.TEXTBEFORE(_xlfn.TEXTAFTER(CantoralDB[[#This Row],[index.html]],"&gt;"),"&gt;")&amp;"&gt;"</f>
        <v>&lt;a href="canciones/taize/dona_nobis_pacem.html"&gt;</v>
      </c>
    </row>
    <row r="1639" spans="1:23" x14ac:dyDescent="0.3">
      <c r="A1639" s="1">
        <f>ROW(CantoralDB[[#This Row],[Título]])-1</f>
        <v>1638</v>
      </c>
      <c r="B1639" s="1" t="s">
        <v>346</v>
      </c>
      <c r="C1639" s="1" t="s">
        <v>1022</v>
      </c>
      <c r="D1639" s="1" t="s">
        <v>1118</v>
      </c>
      <c r="H1639" s="1" t="s">
        <v>1030</v>
      </c>
      <c r="I1639" s="1" t="s">
        <v>2962</v>
      </c>
      <c r="J1639" s="1" t="s">
        <v>608</v>
      </c>
      <c r="M1639" s="15" t="s">
        <v>2140</v>
      </c>
      <c r="N1639" s="15"/>
      <c r="O1639" s="15"/>
      <c r="P1639" s="15" t="str" cm="1">
        <f t="array" ref="P1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39" s="15" t="str" cm="1">
        <f t="array" ref="Q1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canciones/taize/el_alma_que_anda_en_amor.html</v>
      </c>
      <c r="S1639" s="1" t="s">
        <v>798</v>
      </c>
      <c r="T1639" s="1"/>
      <c r="U1639" s="1"/>
      <c r="V1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data-nnew="Q37"&gt;&lt;a href="canciones/taize/el_alma_que_anda_en_amor.html"&gt;El alma que anda en amor&lt;/a&gt;&lt;/li&gt;</v>
      </c>
      <c r="W1639" s="15" t="str">
        <f>_xlfn.TEXTBEFORE(_xlfn.TEXTAFTER(CantoralDB[[#This Row],[index.html]],"&gt;"),"&gt;")&amp;"&gt;"</f>
        <v>&lt;a href="canciones/taize/el_alma_que_anda_en_amor.html"&gt;</v>
      </c>
    </row>
    <row r="1640" spans="1:23" x14ac:dyDescent="0.3">
      <c r="A1640" s="1">
        <f>ROW(CantoralDB[[#This Row],[Título]])-1</f>
        <v>1639</v>
      </c>
      <c r="B1640" s="1" t="s">
        <v>349</v>
      </c>
      <c r="C1640" s="1" t="s">
        <v>1022</v>
      </c>
      <c r="D1640" s="1" t="s">
        <v>1124</v>
      </c>
      <c r="H1640" s="1" t="s">
        <v>1030</v>
      </c>
      <c r="J1640" s="1" t="s">
        <v>608</v>
      </c>
      <c r="M1640" s="15" t="s">
        <v>2140</v>
      </c>
      <c r="N1640" s="15"/>
      <c r="O1640" s="15"/>
      <c r="P1640" s="15" t="str" cm="1">
        <f t="array" ref="P1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0" s="15" t="str" cm="1">
        <f t="array" ref="Q1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S1640" s="1"/>
      <c r="T1640" s="1"/>
      <c r="U1640" s="1"/>
      <c r="V1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data-nnew="Q39"&gt;&lt;a href="canciones/taize/esprit_consolateur.html"&gt;Esprit consolateur&lt;/a&gt;&lt;/li&gt;</v>
      </c>
      <c r="W1640" s="15" t="str">
        <f>_xlfn.TEXTBEFORE(_xlfn.TEXTAFTER(CantoralDB[[#This Row],[index.html]],"&gt;"),"&gt;")&amp;"&gt;"</f>
        <v>&lt;a href="canciones/taize/esprit_consolateur.html"&gt;</v>
      </c>
    </row>
    <row r="1641" spans="1:23" x14ac:dyDescent="0.3">
      <c r="A1641" s="1">
        <f>ROW(CantoralDB[[#This Row],[Título]])-1</f>
        <v>1640</v>
      </c>
      <c r="B1641" s="1" t="s">
        <v>378</v>
      </c>
      <c r="C1641" s="1" t="s">
        <v>1022</v>
      </c>
      <c r="D1641" s="1" t="s">
        <v>1131</v>
      </c>
      <c r="H1641" s="1" t="s">
        <v>1030</v>
      </c>
      <c r="J1641" s="1" t="s">
        <v>608</v>
      </c>
      <c r="M1641" s="15" t="s">
        <v>2140</v>
      </c>
      <c r="N1641" s="15"/>
      <c r="O1641" s="15"/>
      <c r="P1641" s="15" t="str" cm="1">
        <f t="array" ref="P1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1" s="15" t="str" cm="1">
        <f t="array" ref="Q1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S1641" s="1"/>
      <c r="T1641" s="1"/>
      <c r="U1641" s="1"/>
      <c r="V1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data-nnew="Q48"&gt;&lt;a href="canciones/taize/jesus_ma_joie.html"&gt;Jésus, ma joie&lt;/a&gt;&lt;/li&gt;</v>
      </c>
      <c r="W1641" s="15" t="str">
        <f>_xlfn.TEXTBEFORE(_xlfn.TEXTAFTER(CantoralDB[[#This Row],[index.html]],"&gt;"),"&gt;")&amp;"&gt;"</f>
        <v>&lt;a href="canciones/taize/jesus_ma_joie.html"&gt;</v>
      </c>
    </row>
    <row r="1642" spans="1:23" x14ac:dyDescent="0.3">
      <c r="A1642" s="1">
        <f>ROW(CantoralDB[[#This Row],[Título]])-1</f>
        <v>1641</v>
      </c>
      <c r="B1642" s="1" t="s">
        <v>388</v>
      </c>
      <c r="C1642" s="1" t="s">
        <v>1022</v>
      </c>
      <c r="D1642" s="1" t="s">
        <v>1135</v>
      </c>
      <c r="H1642" s="1" t="s">
        <v>1030</v>
      </c>
      <c r="I1642" s="1" t="s">
        <v>2959</v>
      </c>
      <c r="J1642" s="1" t="s">
        <v>608</v>
      </c>
      <c r="M1642" s="15" t="s">
        <v>2140</v>
      </c>
      <c r="N1642" s="15"/>
      <c r="O1642" s="15"/>
      <c r="P1642" s="15" t="str" cm="1">
        <f t="array" ref="P1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2" s="15" t="str" cm="1">
        <f t="array" ref="Q1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S1642" s="1"/>
      <c r="T1642" s="1"/>
      <c r="U1642" s="1"/>
      <c r="V1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data-nnew="Q54"&gt;&lt;a href="canciones/taize/kyrie_6.html"&gt;Kyrie 6&lt;/a&gt;&lt;/li&gt;</v>
      </c>
      <c r="W1642" s="15" t="str">
        <f>_xlfn.TEXTBEFORE(_xlfn.TEXTAFTER(CantoralDB[[#This Row],[index.html]],"&gt;"),"&gt;")&amp;"&gt;"</f>
        <v>&lt;a href="canciones/taize/kyrie_6.html"&gt;</v>
      </c>
    </row>
    <row r="1643" spans="1:23" x14ac:dyDescent="0.3">
      <c r="A1643" s="1">
        <f>ROW(CantoralDB[[#This Row],[Título]])-1</f>
        <v>1642</v>
      </c>
      <c r="B1643" s="1" t="s">
        <v>784</v>
      </c>
      <c r="C1643" s="1" t="s">
        <v>1022</v>
      </c>
      <c r="D1643" s="1" t="s">
        <v>1139</v>
      </c>
      <c r="H1643" s="1" t="s">
        <v>1030</v>
      </c>
      <c r="I1643" s="1" t="s">
        <v>2961</v>
      </c>
      <c r="J1643" s="1" t="s">
        <v>608</v>
      </c>
      <c r="M1643" s="15" t="s">
        <v>2140</v>
      </c>
      <c r="N1643" s="15"/>
      <c r="O1643" s="15"/>
      <c r="P1643" s="15" t="str" cm="1">
        <f t="array" ref="P1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3" s="15" t="str" cm="1">
        <f t="array" ref="Q1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S1643" s="1"/>
      <c r="T1643" s="1"/>
      <c r="U1643" s="1"/>
      <c r="V1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data-nnew="Q58"&gt;&lt;a href="canciones/taize/laudate_dominum.html"&gt;Laudate Dominum&lt;/a&gt;&lt;/li&gt;</v>
      </c>
      <c r="W1643" s="15" t="str">
        <f>_xlfn.TEXTBEFORE(_xlfn.TEXTAFTER(CantoralDB[[#This Row],[index.html]],"&gt;"),"&gt;")&amp;"&gt;"</f>
        <v>&lt;a href="canciones/taize/laudate_dominum.html"&gt;</v>
      </c>
    </row>
    <row r="1644" spans="1:23" x14ac:dyDescent="0.3">
      <c r="A1644" s="1">
        <f>ROW(CantoralDB[[#This Row],[Título]])-1</f>
        <v>1643</v>
      </c>
      <c r="B1644" s="1" t="s">
        <v>428</v>
      </c>
      <c r="C1644" s="1" t="s">
        <v>1022</v>
      </c>
      <c r="D1644" s="1" t="s">
        <v>1125</v>
      </c>
      <c r="H1644" s="1" t="s">
        <v>1030</v>
      </c>
      <c r="I1644" s="1" t="s">
        <v>2961</v>
      </c>
      <c r="J1644" s="1" t="s">
        <v>608</v>
      </c>
      <c r="M1644" s="15" t="s">
        <v>2140</v>
      </c>
      <c r="N1644" s="15"/>
      <c r="O1644" s="15"/>
      <c r="P1644" s="15" t="str" cm="1">
        <f t="array" ref="P1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4" s="15" t="str" cm="1">
        <f t="array" ref="Q1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S1644" s="1"/>
      <c r="T1644" s="1"/>
      <c r="U1644" s="1"/>
      <c r="V1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data-nnew="Q67"&gt;&lt;a href="canciones/taize/psallite_deo.html"&gt;Psallite Deo&lt;/a&gt;&lt;/li&gt;</v>
      </c>
      <c r="W1644" s="15" t="str">
        <f>_xlfn.TEXTBEFORE(_xlfn.TEXTAFTER(CantoralDB[[#This Row],[index.html]],"&gt;"),"&gt;")&amp;"&gt;"</f>
        <v>&lt;a href="canciones/taize/psallite_deo.html"&gt;</v>
      </c>
    </row>
    <row r="1645" spans="1:23" x14ac:dyDescent="0.3">
      <c r="A1645" s="1">
        <f>ROW(CantoralDB[[#This Row],[Título]])-1</f>
        <v>1644</v>
      </c>
      <c r="B1645" s="1" t="s">
        <v>367</v>
      </c>
      <c r="C1645" s="1" t="s">
        <v>1022</v>
      </c>
      <c r="D1645" s="1" t="s">
        <v>1127</v>
      </c>
      <c r="H1645" s="1" t="s">
        <v>1027</v>
      </c>
      <c r="I1645" s="1" t="s">
        <v>2962</v>
      </c>
      <c r="J1645" s="1" t="s">
        <v>608</v>
      </c>
      <c r="M1645" s="15" t="s">
        <v>2140</v>
      </c>
      <c r="N1645" s="15"/>
      <c r="O1645" s="15"/>
      <c r="P1645" s="15" t="str" cm="1">
        <f t="array" ref="P1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5" s="15" t="str" cm="1">
        <f t="array" ref="Q1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S1645" s="1"/>
      <c r="T1645" s="1"/>
      <c r="U1645" s="1"/>
      <c r="V1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data-nnew="Q42"&gt;&lt;a href="canciones/taize/i_am_sure_i_shall_see.html"&gt;I am sure I shall see&lt;/a&gt;&lt;/li&gt;</v>
      </c>
      <c r="W1645" s="15" t="str">
        <f>_xlfn.TEXTBEFORE(_xlfn.TEXTAFTER(CantoralDB[[#This Row],[index.html]],"&gt;"),"&gt;")&amp;"&gt;"</f>
        <v>&lt;a href="canciones/taize/i_am_sure_i_shall_see.html"&gt;</v>
      </c>
    </row>
    <row r="1646" spans="1:23" x14ac:dyDescent="0.3">
      <c r="A1646" s="1">
        <f>ROW(CantoralDB[[#This Row],[Título]])-1</f>
        <v>1645</v>
      </c>
      <c r="B1646" s="1" t="s">
        <v>383</v>
      </c>
      <c r="C1646" s="1" t="s">
        <v>1022</v>
      </c>
      <c r="D1646" s="1" t="s">
        <v>1074</v>
      </c>
      <c r="H1646" s="1" t="s">
        <v>1027</v>
      </c>
      <c r="I1646" s="1" t="s">
        <v>2961</v>
      </c>
      <c r="J1646" s="1" t="s">
        <v>608</v>
      </c>
      <c r="M1646" s="15" t="s">
        <v>2140</v>
      </c>
      <c r="N1646" s="15"/>
      <c r="O1646" s="15"/>
      <c r="P1646" s="15" t="str" cm="1">
        <f t="array" ref="P1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6" s="15" t="str" cm="1">
        <f t="array" ref="Q1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canciones/taize/jubilate_deo.html</v>
      </c>
      <c r="S1646" s="1"/>
      <c r="T1646" s="1"/>
      <c r="U1646" s="1"/>
      <c r="V1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data-nnew="Q51"&gt;&lt;a href="canciones/taize/jubilate_deo.html"&gt;Jubilate Deo&lt;/a&gt;&lt;/li&gt;</v>
      </c>
      <c r="W1646" s="15" t="str">
        <f>_xlfn.TEXTBEFORE(_xlfn.TEXTAFTER(CantoralDB[[#This Row],[index.html]],"&gt;"),"&gt;")&amp;"&gt;"</f>
        <v>&lt;a href="canciones/taize/jubilate_deo.html"&gt;</v>
      </c>
    </row>
    <row r="1647" spans="1:23" x14ac:dyDescent="0.3">
      <c r="A1647" s="1">
        <f>ROW(CantoralDB[[#This Row],[Título]])-1</f>
        <v>1646</v>
      </c>
      <c r="B1647" s="1" t="s">
        <v>1026</v>
      </c>
      <c r="C1647" s="1" t="s">
        <v>1022</v>
      </c>
      <c r="D1647" s="1" t="s">
        <v>1112</v>
      </c>
      <c r="H1647" s="1" t="s">
        <v>1027</v>
      </c>
      <c r="I1647" s="1" t="s">
        <v>2962</v>
      </c>
      <c r="J1647" s="1" t="s">
        <v>608</v>
      </c>
      <c r="M1647" s="15" t="s">
        <v>2140</v>
      </c>
      <c r="N1647" s="15"/>
      <c r="O1647" s="15"/>
      <c r="P1647" s="15" t="str" cm="1">
        <f t="array" ref="P1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7" s="15" t="str" cm="1">
        <f t="array" ref="Q1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S1647" s="1"/>
      <c r="T1647" s="1"/>
      <c r="U1647" s="1"/>
      <c r="V1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data-nnew="Q79"&gt;&lt;a href="canciones/taize/v_tebi_je_izvir_življenja.html"&gt;V tebi je izvir življenja&lt;/a&gt;&lt;/li&gt;</v>
      </c>
      <c r="W1647" s="15" t="str">
        <f>_xlfn.TEXTBEFORE(_xlfn.TEXTAFTER(CantoralDB[[#This Row],[index.html]],"&gt;"),"&gt;")&amp;"&gt;"</f>
        <v>&lt;a href="canciones/taize/v_tebi_je_izvir_življenja.html"&gt;</v>
      </c>
    </row>
    <row r="1648" spans="1:23" x14ac:dyDescent="0.3">
      <c r="A1648" s="1">
        <f>ROW(CantoralDB[[#This Row],[Título]])-1</f>
        <v>1647</v>
      </c>
      <c r="B1648" s="1" t="s">
        <v>466</v>
      </c>
      <c r="C1648" s="1" t="s">
        <v>1022</v>
      </c>
      <c r="D1648" s="1" t="s">
        <v>1152</v>
      </c>
      <c r="H1648" s="1" t="s">
        <v>1027</v>
      </c>
      <c r="I1648" s="1" t="s">
        <v>2962</v>
      </c>
      <c r="J1648" s="1" t="s">
        <v>608</v>
      </c>
      <c r="M1648" s="15" t="s">
        <v>2140</v>
      </c>
      <c r="N1648" s="15"/>
      <c r="O1648" s="15"/>
      <c r="P1648" s="15" t="str" cm="1">
        <f t="array" ref="P1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8" s="15" t="str" cm="1">
        <f t="array" ref="Q1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S1648" s="1"/>
      <c r="T1648" s="1"/>
      <c r="U1648" s="1"/>
      <c r="V1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data-nnew="Q80"&gt;&lt;a href="canciones/taize/vieni_spirito_creatore_(canon).html"&gt;Vieni Spirito creatore (canon)&lt;/a&gt;&lt;/li&gt;</v>
      </c>
      <c r="W1648" s="15" t="str">
        <f>_xlfn.TEXTBEFORE(_xlfn.TEXTAFTER(CantoralDB[[#This Row],[index.html]],"&gt;"),"&gt;")&amp;"&gt;"</f>
        <v>&lt;a href="canciones/taize/vieni_spirito_creatore_(canon).html"&gt;</v>
      </c>
    </row>
    <row r="1649" spans="1:23" x14ac:dyDescent="0.3">
      <c r="A1649" s="1">
        <f>ROW(CantoralDB[[#This Row],[Título]])-1</f>
        <v>1648</v>
      </c>
      <c r="B1649" s="1" t="s">
        <v>471</v>
      </c>
      <c r="C1649" s="1" t="s">
        <v>1022</v>
      </c>
      <c r="D1649" s="1" t="s">
        <v>1075</v>
      </c>
      <c r="H1649" s="1" t="s">
        <v>1027</v>
      </c>
      <c r="I1649" s="1" t="s">
        <v>2962</v>
      </c>
      <c r="J1649" s="1" t="s">
        <v>608</v>
      </c>
      <c r="M1649" s="15" t="s">
        <v>2140</v>
      </c>
      <c r="N1649" s="15"/>
      <c r="O1649" s="15"/>
      <c r="P1649" s="15" t="str" cm="1">
        <f t="array" ref="P1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49" s="15" t="str" cm="1">
        <f t="array" ref="Q1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S1649" s="1"/>
      <c r="T1649" s="1"/>
      <c r="U1649" s="1"/>
      <c r="V1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data-nnew="Q82"&gt;&lt;a href="canciones/taize/wysławiajcie_pana.html"&gt;Wysławiajcie Pana&lt;/a&gt;&lt;/li&gt;</v>
      </c>
      <c r="W1649" s="15" t="str">
        <f>_xlfn.TEXTBEFORE(_xlfn.TEXTAFTER(CantoralDB[[#This Row],[index.html]],"&gt;"),"&gt;")&amp;"&gt;"</f>
        <v>&lt;a href="canciones/taize/wysławiajcie_pana.html"&gt;</v>
      </c>
    </row>
    <row r="1650" spans="1:23" x14ac:dyDescent="0.3">
      <c r="A1650" s="1">
        <f>ROW(CantoralDB[[#This Row],[Título]])-1</f>
        <v>1649</v>
      </c>
      <c r="B1650" s="1" t="s">
        <v>294</v>
      </c>
      <c r="C1650" s="1" t="s">
        <v>1022</v>
      </c>
      <c r="D1650" s="1" t="s">
        <v>1081</v>
      </c>
      <c r="H1650" s="1" t="s">
        <v>1028</v>
      </c>
      <c r="J1650" s="1" t="s">
        <v>608</v>
      </c>
      <c r="M1650" s="15" t="s">
        <v>2140</v>
      </c>
      <c r="N1650" s="15"/>
      <c r="O1650" s="15"/>
      <c r="P1650" s="15" t="str" cm="1">
        <f t="array" ref="P1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0" s="15" t="str" cm="1">
        <f t="array" ref="Q1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S1650" s="1"/>
      <c r="T1650" s="1"/>
      <c r="U1650" s="1"/>
      <c r="V1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data-nnew="Q04"&gt;&lt;a href="canciones/taize/alleluia_7.html"&gt;Alleluia 7&lt;/a&gt;&lt;/li&gt;</v>
      </c>
      <c r="W1650" s="15" t="str">
        <f>_xlfn.TEXTBEFORE(_xlfn.TEXTAFTER(CantoralDB[[#This Row],[index.html]],"&gt;"),"&gt;")&amp;"&gt;"</f>
        <v>&lt;a href="canciones/taize/alleluia_7.html"&gt;</v>
      </c>
    </row>
    <row r="1651" spans="1:23" x14ac:dyDescent="0.3">
      <c r="A1651" s="1">
        <f>ROW(CantoralDB[[#This Row],[Título]])-1</f>
        <v>1650</v>
      </c>
      <c r="B1651" s="1" t="s">
        <v>314</v>
      </c>
      <c r="C1651" s="1" t="s">
        <v>1022</v>
      </c>
      <c r="D1651" s="1" t="s">
        <v>1088</v>
      </c>
      <c r="H1651" s="1" t="s">
        <v>1028</v>
      </c>
      <c r="I1651" s="1" t="s">
        <v>2962</v>
      </c>
      <c r="J1651" s="1" t="s">
        <v>608</v>
      </c>
      <c r="M1651" s="15" t="s">
        <v>2140</v>
      </c>
      <c r="N1651" s="15"/>
      <c r="O1651" s="15"/>
      <c r="P1651" s="15" t="str" cm="1">
        <f t="array" ref="P1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1" s="15" t="str" cm="1">
        <f t="array" ref="Q1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S1651" s="1"/>
      <c r="T1651" s="1"/>
      <c r="U1651" s="1"/>
      <c r="V1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data-nnew="Q13"&gt;&lt;a href="canciones/taize/benedictus_qui_venit_(canon).html"&gt;Benedictus qui venit (canon)&lt;/a&gt;&lt;/li&gt;</v>
      </c>
      <c r="W1651" s="15" t="str">
        <f>_xlfn.TEXTBEFORE(_xlfn.TEXTAFTER(CantoralDB[[#This Row],[index.html]],"&gt;"),"&gt;")&amp;"&gt;"</f>
        <v>&lt;a href="canciones/taize/benedictus_qui_venit_(canon).html"&gt;</v>
      </c>
    </row>
    <row r="1652" spans="1:23" x14ac:dyDescent="0.3">
      <c r="A1652" s="1">
        <f>ROW(CantoralDB[[#This Row],[Título]])-1</f>
        <v>1651</v>
      </c>
      <c r="B1652" s="1" t="s">
        <v>333</v>
      </c>
      <c r="C1652" s="1" t="s">
        <v>1022</v>
      </c>
      <c r="D1652" s="1" t="s">
        <v>1104</v>
      </c>
      <c r="H1652" s="1" t="s">
        <v>1028</v>
      </c>
      <c r="I1652" s="1" t="s">
        <v>2962</v>
      </c>
      <c r="J1652" s="1" t="s">
        <v>608</v>
      </c>
      <c r="M1652" s="15" t="s">
        <v>2140</v>
      </c>
      <c r="N1652" s="15"/>
      <c r="O1652" s="15"/>
      <c r="P1652" s="15" t="str" cm="1">
        <f t="array" ref="P1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2" s="15" t="str" cm="1">
        <f t="array" ref="Q1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S1652" s="1"/>
      <c r="T1652" s="1"/>
      <c r="U1652" s="1"/>
      <c r="V1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data-nnew="Q25"&gt;&lt;a href="canciones/taize/crucem_tuam.html"&gt;Crucem tuam&lt;/a&gt;&lt;/li&gt;</v>
      </c>
      <c r="W1652" s="15" t="str">
        <f>_xlfn.TEXTBEFORE(_xlfn.TEXTAFTER(CantoralDB[[#This Row],[index.html]],"&gt;"),"&gt;")&amp;"&gt;"</f>
        <v>&lt;a href="canciones/taize/crucem_tuam.html"&gt;</v>
      </c>
    </row>
    <row r="1653" spans="1:23" x14ac:dyDescent="0.3">
      <c r="A1653" s="1">
        <f>ROW(CantoralDB[[#This Row],[Título]])-1</f>
        <v>1652</v>
      </c>
      <c r="B1653" s="1" t="s">
        <v>368</v>
      </c>
      <c r="C1653" s="1" t="s">
        <v>1022</v>
      </c>
      <c r="D1653" s="1" t="s">
        <v>1128</v>
      </c>
      <c r="H1653" s="1" t="s">
        <v>1028</v>
      </c>
      <c r="I1653" s="1" t="s">
        <v>2962</v>
      </c>
      <c r="J1653" s="1" t="s">
        <v>608</v>
      </c>
      <c r="M1653" s="15" t="s">
        <v>2140</v>
      </c>
      <c r="N1653" s="15"/>
      <c r="O1653" s="15"/>
      <c r="P1653" s="15" t="str" cm="1">
        <f t="array" ref="P1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3" s="15" t="str" cm="1">
        <f t="array" ref="Q1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S1653" s="1"/>
      <c r="T1653" s="1"/>
      <c r="U1653" s="1"/>
      <c r="V1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data-nnew="Q43"&gt;&lt;a href="canciones/taize/iedere_nacht_verlang_ik.html"&gt;Iedere nacht verlang ik&lt;/a&gt;&lt;/li&gt;</v>
      </c>
      <c r="W1653" s="15" t="str">
        <f>_xlfn.TEXTBEFORE(_xlfn.TEXTAFTER(CantoralDB[[#This Row],[index.html]],"&gt;"),"&gt;")&amp;"&gt;"</f>
        <v>&lt;a href="canciones/taize/iedere_nacht_verlang_ik.html"&gt;</v>
      </c>
    </row>
    <row r="1654" spans="1:23" x14ac:dyDescent="0.3">
      <c r="A1654" s="1">
        <f>ROW(CantoralDB[[#This Row],[Título]])-1</f>
        <v>1653</v>
      </c>
      <c r="B1654" s="1" t="s">
        <v>437</v>
      </c>
      <c r="C1654" s="1" t="s">
        <v>1022</v>
      </c>
      <c r="D1654" s="1" t="s">
        <v>1148</v>
      </c>
      <c r="H1654" s="1" t="s">
        <v>1028</v>
      </c>
      <c r="I1654" s="1" t="s">
        <v>2962</v>
      </c>
      <c r="J1654" s="1" t="s">
        <v>608</v>
      </c>
      <c r="M1654" s="15" t="s">
        <v>2140</v>
      </c>
      <c r="N1654" s="15"/>
      <c r="O1654" s="15"/>
      <c r="P1654" s="15" t="str" cm="1">
        <f t="array" ref="P1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4" s="15" t="str" cm="1">
        <f t="array" ref="Q1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canciones/taize/señor_que_florezca_tu_justicia.html</v>
      </c>
      <c r="S1654" s="1" t="s">
        <v>982</v>
      </c>
      <c r="T1654" s="1"/>
      <c r="U1654" s="1"/>
      <c r="V1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data-nnew="Q69"&gt;&lt;a href="canciones/taize/señor_que_florezca_tu_justicia.html"&gt;Señor, que florezca tu justicia&lt;/a&gt;&lt;/li&gt;</v>
      </c>
      <c r="W1654" s="15" t="str">
        <f>_xlfn.TEXTBEFORE(_xlfn.TEXTAFTER(CantoralDB[[#This Row],[index.html]],"&gt;"),"&gt;")&amp;"&gt;"</f>
        <v>&lt;a href="canciones/taize/señor_que_florezca_tu_justicia.html"&gt;</v>
      </c>
    </row>
    <row r="1655" spans="1:23" x14ac:dyDescent="0.3">
      <c r="A1655" s="1">
        <f>ROW(CantoralDB[[#This Row],[Título]])-1</f>
        <v>1654</v>
      </c>
      <c r="B1655" s="1" t="s">
        <v>449</v>
      </c>
      <c r="C1655" s="1" t="s">
        <v>1022</v>
      </c>
      <c r="D1655" s="1" t="s">
        <v>1119</v>
      </c>
      <c r="H1655" s="1" t="s">
        <v>1028</v>
      </c>
      <c r="I1655" s="1" t="s">
        <v>2962</v>
      </c>
      <c r="J1655" s="1" t="s">
        <v>608</v>
      </c>
      <c r="M1655" s="15" t="s">
        <v>2140</v>
      </c>
      <c r="N1655" s="15"/>
      <c r="O1655" s="15"/>
      <c r="P1655" s="15" t="str" cm="1">
        <f t="array" ref="P1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5" s="15" t="str" cm="1">
        <f t="array" ref="Q1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S1655" s="1"/>
      <c r="T1655" s="1"/>
      <c r="U1655" s="1"/>
      <c r="V1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data-nnew="Q74"&gt;&lt;a href="canciones/taize/the_kingdom_of_god.html"&gt;The kingdom of God&lt;/a&gt;&lt;/li&gt;</v>
      </c>
      <c r="W1655" s="15" t="str">
        <f>_xlfn.TEXTBEFORE(_xlfn.TEXTAFTER(CantoralDB[[#This Row],[index.html]],"&gt;"),"&gt;")&amp;"&gt;"</f>
        <v>&lt;a href="canciones/taize/the_kingdom_of_god.html"&gt;</v>
      </c>
    </row>
    <row r="1656" spans="1:23" x14ac:dyDescent="0.3">
      <c r="A1656" s="1">
        <f>ROW(CantoralDB[[#This Row],[Título]])-1</f>
        <v>1655</v>
      </c>
      <c r="B1656" s="1" t="s">
        <v>455</v>
      </c>
      <c r="C1656" s="1" t="s">
        <v>1022</v>
      </c>
      <c r="D1656" s="1" t="s">
        <v>1151</v>
      </c>
      <c r="H1656" s="1" t="s">
        <v>1028</v>
      </c>
      <c r="I1656" s="1" t="s">
        <v>2962</v>
      </c>
      <c r="J1656" s="1" t="s">
        <v>608</v>
      </c>
      <c r="M1656" s="15" t="s">
        <v>2140</v>
      </c>
      <c r="N1656" s="15"/>
      <c r="O1656" s="15"/>
      <c r="P1656" s="15" t="str" cm="1">
        <f t="array" ref="P1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6" s="15" t="str" cm="1">
        <f t="array" ref="Q1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S1656" s="1"/>
      <c r="T1656" s="1"/>
      <c r="U1656" s="1"/>
      <c r="V1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data-nnew="Q77"&gt;&lt;a href="canciones/taize/tui_amoris.html"&gt;Tui amoris&lt;/a&gt;&lt;/li&gt;</v>
      </c>
      <c r="W1656" s="15" t="str">
        <f>_xlfn.TEXTBEFORE(_xlfn.TEXTAFTER(CantoralDB[[#This Row],[index.html]],"&gt;"),"&gt;")&amp;"&gt;"</f>
        <v>&lt;a href="canciones/taize/tui_amoris.html"&gt;</v>
      </c>
    </row>
    <row r="1657" spans="1:23" x14ac:dyDescent="0.3">
      <c r="A1657" s="1">
        <f>ROW(CantoralDB[[#This Row],[Título]])-1</f>
        <v>1656</v>
      </c>
      <c r="B1657" s="1" t="s">
        <v>329</v>
      </c>
      <c r="C1657" s="1" t="s">
        <v>1022</v>
      </c>
      <c r="D1657" s="1" t="s">
        <v>1097</v>
      </c>
      <c r="H1657" s="1" t="s">
        <v>1027</v>
      </c>
      <c r="I1657" s="1" t="s">
        <v>2961</v>
      </c>
      <c r="J1657" s="1" t="s">
        <v>608</v>
      </c>
      <c r="M1657" s="15" t="s">
        <v>2140</v>
      </c>
      <c r="N1657" s="15"/>
      <c r="O1657" s="15"/>
      <c r="P1657" s="15" t="str" cm="1">
        <f t="array" ref="P1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7" s="15" t="str" cm="1">
        <f t="array" ref="Q1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S1657" s="1"/>
      <c r="T1657" s="1"/>
      <c r="U1657" s="1"/>
      <c r="V1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data-nnew="Q21"&gt;&lt;a href="canciones/taize/christe_lux_mundi.html"&gt;Christe, lux mundi&lt;/a&gt;&lt;/li&gt;</v>
      </c>
      <c r="W1657" s="15" t="str">
        <f>_xlfn.TEXTBEFORE(_xlfn.TEXTAFTER(CantoralDB[[#This Row],[index.html]],"&gt;"),"&gt;")&amp;"&gt;"</f>
        <v>&lt;a href="canciones/taize/christe_lux_mundi.html"&gt;</v>
      </c>
    </row>
    <row r="1658" spans="1:23" x14ac:dyDescent="0.3">
      <c r="A1658" s="1">
        <f>ROW(CantoralDB[[#This Row],[Título]])-1</f>
        <v>1657</v>
      </c>
      <c r="B1658" s="1" t="s">
        <v>369</v>
      </c>
      <c r="C1658" s="1" t="s">
        <v>1022</v>
      </c>
      <c r="D1658" s="1" t="s">
        <v>1121</v>
      </c>
      <c r="H1658" s="1" t="s">
        <v>1027</v>
      </c>
      <c r="I1658" s="1" t="s">
        <v>2962</v>
      </c>
      <c r="J1658" s="1" t="s">
        <v>608</v>
      </c>
      <c r="M1658" s="15" t="s">
        <v>2140</v>
      </c>
      <c r="N1658" s="15"/>
      <c r="O1658" s="15"/>
      <c r="P1658" s="15" t="str" cm="1">
        <f t="array" ref="P1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8" s="15" t="str" cm="1">
        <f t="array" ref="Q1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S1658" s="1"/>
      <c r="T1658" s="1"/>
      <c r="U1658" s="1"/>
      <c r="V1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data-nnew="Q44"&gt;&lt;a href="canciones/taize/il_signore_ti_ristora.html"&gt;Il Signore ti ristora&lt;/a&gt;&lt;/li&gt;</v>
      </c>
      <c r="W1658" s="15" t="str">
        <f>_xlfn.TEXTBEFORE(_xlfn.TEXTAFTER(CantoralDB[[#This Row],[index.html]],"&gt;"),"&gt;")&amp;"&gt;"</f>
        <v>&lt;a href="canciones/taize/il_signore_ti_ristora.html"&gt;</v>
      </c>
    </row>
    <row r="1659" spans="1:23" x14ac:dyDescent="0.3">
      <c r="A1659" s="1">
        <f>ROW(CantoralDB[[#This Row],[Título]])-1</f>
        <v>1658</v>
      </c>
      <c r="B1659" s="1" t="s">
        <v>297</v>
      </c>
      <c r="C1659" s="1" t="s">
        <v>1022</v>
      </c>
      <c r="D1659" s="1" t="s">
        <v>1078</v>
      </c>
      <c r="H1659" s="1" t="s">
        <v>1030</v>
      </c>
      <c r="I1659" s="1" t="s">
        <v>2959</v>
      </c>
      <c r="J1659" s="1" t="s">
        <v>608</v>
      </c>
      <c r="M1659" s="15" t="s">
        <v>2140</v>
      </c>
      <c r="N1659" s="15"/>
      <c r="O1659" s="15"/>
      <c r="P1659" s="15" t="str" cm="1">
        <f t="array" ref="P1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59" s="15" t="str" cm="1">
        <f t="array" ref="Q1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S1659" s="1"/>
      <c r="T1659" s="1"/>
      <c r="U1659" s="1"/>
      <c r="V1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data-nnew="Q05"&gt;&lt;a href="canciones/taize/alleluia_11.html"&gt;Alleluia 11&lt;/a&gt;&lt;/li&gt;</v>
      </c>
      <c r="W1659" s="15" t="str">
        <f>_xlfn.TEXTBEFORE(_xlfn.TEXTAFTER(CantoralDB[[#This Row],[index.html]],"&gt;"),"&gt;")&amp;"&gt;"</f>
        <v>&lt;a href="canciones/taize/alleluia_11.html"&gt;</v>
      </c>
    </row>
    <row r="1660" spans="1:23" x14ac:dyDescent="0.3">
      <c r="A1660" s="1">
        <f>ROW(CantoralDB[[#This Row],[Título]])-1</f>
        <v>1659</v>
      </c>
      <c r="B1660" s="1" t="s">
        <v>320</v>
      </c>
      <c r="C1660" s="1" t="s">
        <v>1022</v>
      </c>
      <c r="D1660" s="1" t="s">
        <v>1091</v>
      </c>
      <c r="H1660" s="1" t="s">
        <v>1030</v>
      </c>
      <c r="I1660" s="1" t="s">
        <v>2962</v>
      </c>
      <c r="J1660" s="1" t="s">
        <v>608</v>
      </c>
      <c r="M1660" s="15" t="s">
        <v>2140</v>
      </c>
      <c r="N1660" s="15"/>
      <c r="O1660" s="15"/>
      <c r="P1660" s="15" t="str" cm="1">
        <f t="array" ref="P1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0" s="15" t="str" cm="1">
        <f t="array" ref="Q1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S1660" s="1"/>
      <c r="T1660" s="1"/>
      <c r="U1660" s="1"/>
      <c r="V1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data-nnew="Q16"&gt;&lt;a href="canciones/taize/bog_jest_miłością.html"&gt;Bóg jest miłością&lt;/a&gt;&lt;/li&gt;</v>
      </c>
      <c r="W1660" s="15" t="str">
        <f>_xlfn.TEXTBEFORE(_xlfn.TEXTAFTER(CantoralDB[[#This Row],[index.html]],"&gt;"),"&gt;")&amp;"&gt;"</f>
        <v>&lt;a href="canciones/taize/bog_jest_miłością.html"&gt;</v>
      </c>
    </row>
    <row r="1661" spans="1:23" x14ac:dyDescent="0.3">
      <c r="A1661" s="1">
        <f>ROW(CantoralDB[[#This Row],[Título]])-1</f>
        <v>1660</v>
      </c>
      <c r="B1661" s="1" t="s">
        <v>321</v>
      </c>
      <c r="C1661" s="1" t="s">
        <v>1022</v>
      </c>
      <c r="D1661" s="1" t="s">
        <v>1092</v>
      </c>
      <c r="H1661" s="1" t="s">
        <v>1030</v>
      </c>
      <c r="J1661" s="1" t="s">
        <v>608</v>
      </c>
      <c r="M1661" s="15" t="s">
        <v>2140</v>
      </c>
      <c r="N1661" s="15"/>
      <c r="O1661" s="15"/>
      <c r="P1661" s="15" t="str" cm="1">
        <f t="array" ref="P1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1" s="15" t="str" cm="1">
        <f t="array" ref="Q1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S1661" s="1"/>
      <c r="T1661" s="1"/>
      <c r="U1661" s="1"/>
      <c r="V1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data-nnew="Q18"&gt;&lt;a href="canciones/taize/bogoroditse_dievo_1.html"&gt;Bogoroditse Dievo 1&lt;/a&gt;&lt;/li&gt;</v>
      </c>
      <c r="W1661" s="15" t="str">
        <f>_xlfn.TEXTBEFORE(_xlfn.TEXTAFTER(CantoralDB[[#This Row],[index.html]],"&gt;"),"&gt;")&amp;"&gt;"</f>
        <v>&lt;a href="canciones/taize/bogoroditse_dievo_1.html"&gt;</v>
      </c>
    </row>
    <row r="1662" spans="1:23" x14ac:dyDescent="0.3">
      <c r="A1662" s="1">
        <f>ROW(CantoralDB[[#This Row],[Título]])-1</f>
        <v>1661</v>
      </c>
      <c r="B1662" s="1" t="s">
        <v>327</v>
      </c>
      <c r="C1662" s="1" t="s">
        <v>1022</v>
      </c>
      <c r="D1662" s="1" t="s">
        <v>1095</v>
      </c>
      <c r="H1662" s="1" t="s">
        <v>1030</v>
      </c>
      <c r="J1662" s="1" t="s">
        <v>608</v>
      </c>
      <c r="M1662" s="15" t="s">
        <v>2140</v>
      </c>
      <c r="N1662" s="15"/>
      <c r="O1662" s="15"/>
      <c r="P1662" s="15" t="str" cm="1">
        <f t="array" ref="P1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2" s="15" t="str" cm="1">
        <f t="array" ref="Q1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S1662" s="1"/>
      <c r="T1662" s="1"/>
      <c r="U1662" s="1"/>
      <c r="V1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data-nnew="Q22"&gt;&lt;a href="canciones/taize/cantate_domino_canticum_novum.html"&gt;Cantate Domino canticum novum&lt;/a&gt;&lt;/li&gt;</v>
      </c>
      <c r="W1662" s="15" t="str">
        <f>_xlfn.TEXTBEFORE(_xlfn.TEXTAFTER(CantoralDB[[#This Row],[index.html]],"&gt;"),"&gt;")&amp;"&gt;"</f>
        <v>&lt;a href="canciones/taize/cantate_domino_canticum_novum.html"&gt;</v>
      </c>
    </row>
    <row r="1663" spans="1:23" x14ac:dyDescent="0.3">
      <c r="A1663" s="1">
        <f>ROW(CantoralDB[[#This Row],[Título]])-1</f>
        <v>1662</v>
      </c>
      <c r="B1663" s="1" t="s">
        <v>276</v>
      </c>
      <c r="C1663" s="1" t="s">
        <v>1022</v>
      </c>
      <c r="D1663" s="1" t="s">
        <v>1116</v>
      </c>
      <c r="H1663" s="1" t="s">
        <v>1030</v>
      </c>
      <c r="J1663" s="1" t="s">
        <v>608</v>
      </c>
      <c r="M1663" s="15" t="s">
        <v>2140</v>
      </c>
      <c r="N1663" s="15"/>
      <c r="O1663" s="15"/>
      <c r="P1663" s="15" t="str" cm="1">
        <f t="array" ref="P1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3" s="15" t="str" cm="1">
        <f t="array" ref="Q1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S1663" s="1"/>
      <c r="T1663" s="1"/>
      <c r="U1663" s="1"/>
      <c r="V1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data-nnew="Q40"&gt;&lt;a href="canciones/taize/herre_visa_mig_vägen.html"&gt;Herre, visa mig vägen&lt;/a&gt;&lt;/li&gt;</v>
      </c>
      <c r="W1663" s="15" t="str">
        <f>_xlfn.TEXTBEFORE(_xlfn.TEXTAFTER(CantoralDB[[#This Row],[index.html]],"&gt;"),"&gt;")&amp;"&gt;"</f>
        <v>&lt;a href="canciones/taize/herre_visa_mig_vägen.html"&gt;</v>
      </c>
    </row>
    <row r="1664" spans="1:23" x14ac:dyDescent="0.3">
      <c r="A1664" s="1">
        <f>ROW(CantoralDB[[#This Row],[Título]])-1</f>
        <v>1663</v>
      </c>
      <c r="B1664" s="1" t="s">
        <v>363</v>
      </c>
      <c r="C1664" s="1" t="s">
        <v>1022</v>
      </c>
      <c r="D1664" s="1" t="s">
        <v>1126</v>
      </c>
      <c r="H1664" s="1" t="s">
        <v>1030</v>
      </c>
      <c r="I1664" s="1" t="s">
        <v>2960</v>
      </c>
      <c r="J1664" s="1" t="s">
        <v>608</v>
      </c>
      <c r="M1664" s="15" t="s">
        <v>2140</v>
      </c>
      <c r="N1664" s="15"/>
      <c r="O1664" s="15"/>
      <c r="P1664" s="15" t="str" cm="1">
        <f t="array" ref="P1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4" s="15" t="str" cm="1">
        <f t="array" ref="Q1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S1664" s="1"/>
      <c r="T1664" s="1"/>
      <c r="U1664" s="1"/>
      <c r="V1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data-nnew="Q41"&gt;&lt;a href="canciones/taize/heureux_qui_s’abandonne_à_toi.html"&gt;Heureux qui s’abandonne à toi&lt;/a&gt;&lt;/li&gt;</v>
      </c>
      <c r="W1664" s="15" t="str">
        <f>_xlfn.TEXTBEFORE(_xlfn.TEXTAFTER(CantoralDB[[#This Row],[index.html]],"&gt;"),"&gt;")&amp;"&gt;"</f>
        <v>&lt;a href="canciones/taize/heureux_qui_s’abandonne_à_toi.html"&gt;</v>
      </c>
    </row>
    <row r="1665" spans="1:23" x14ac:dyDescent="0.3">
      <c r="A1665" s="1">
        <f>ROW(CantoralDB[[#This Row],[Título]])-1</f>
        <v>1664</v>
      </c>
      <c r="B1665" s="1" t="s">
        <v>386</v>
      </c>
      <c r="C1665" s="1" t="s">
        <v>1022</v>
      </c>
      <c r="D1665" s="1" t="s">
        <v>1133</v>
      </c>
      <c r="H1665" s="1" t="s">
        <v>1030</v>
      </c>
      <c r="J1665" s="1" t="s">
        <v>608</v>
      </c>
      <c r="M1665" s="15" t="s">
        <v>2140</v>
      </c>
      <c r="N1665" s="15"/>
      <c r="O1665" s="15"/>
      <c r="P1665" s="15" t="str" cm="1">
        <f t="array" ref="P1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5" s="15" t="str" cm="1">
        <f t="array" ref="Q1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S1665" s="1"/>
      <c r="T1665" s="1"/>
      <c r="U1665" s="1"/>
      <c r="V1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data-nnew="Q53"&gt;&lt;a href="canciones/taize/kyrie_1.html"&gt;Kyrie 1&lt;/a&gt;&lt;/li&gt;</v>
      </c>
      <c r="W1665" s="15" t="str">
        <f>_xlfn.TEXTBEFORE(_xlfn.TEXTAFTER(CantoralDB[[#This Row],[index.html]],"&gt;"),"&gt;")&amp;"&gt;"</f>
        <v>&lt;a href="canciones/taize/kyrie_1.html"&gt;</v>
      </c>
    </row>
    <row r="1666" spans="1:23" x14ac:dyDescent="0.3">
      <c r="A1666" s="1">
        <f>ROW(CantoralDB[[#This Row],[Título]])-1</f>
        <v>1665</v>
      </c>
      <c r="B1666" s="1" t="s">
        <v>420</v>
      </c>
      <c r="C1666" s="1" t="s">
        <v>1022</v>
      </c>
      <c r="D1666" s="1" t="s">
        <v>1111</v>
      </c>
      <c r="H1666" s="1" t="s">
        <v>1030</v>
      </c>
      <c r="J1666" s="1" t="s">
        <v>608</v>
      </c>
      <c r="M1666" s="15" t="s">
        <v>2140</v>
      </c>
      <c r="N1666" s="15"/>
      <c r="O1666" s="15"/>
      <c r="P1666" s="15" t="str" cm="1">
        <f t="array" ref="P1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6" s="15" t="str" cm="1">
        <f t="array" ref="Q1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S1666" s="1"/>
      <c r="T1666" s="1"/>
      <c r="U1666" s="1"/>
      <c r="V1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data-nnew="Q64"&gt;&lt;a href="canciones/taize/nunc_dimittis.html"&gt;Nunc dimittis&lt;/a&gt;&lt;/li&gt;</v>
      </c>
      <c r="W1666" s="15" t="str">
        <f>_xlfn.TEXTBEFORE(_xlfn.TEXTAFTER(CantoralDB[[#This Row],[index.html]],"&gt;"),"&gt;")&amp;"&gt;"</f>
        <v>&lt;a href="canciones/taize/nunc_dimittis.html"&gt;</v>
      </c>
    </row>
    <row r="1667" spans="1:23" x14ac:dyDescent="0.3">
      <c r="A1667" s="1">
        <f>ROW(CantoralDB[[#This Row],[Título]])-1</f>
        <v>1666</v>
      </c>
      <c r="B1667" s="1" t="s">
        <v>278</v>
      </c>
      <c r="C1667" s="1" t="s">
        <v>1022</v>
      </c>
      <c r="D1667" s="1" t="s">
        <v>1072</v>
      </c>
      <c r="H1667" s="1" t="s">
        <v>1043</v>
      </c>
      <c r="I1667" s="1" t="s">
        <v>2962</v>
      </c>
      <c r="J1667" s="1" t="s">
        <v>608</v>
      </c>
      <c r="M1667" s="15" t="s">
        <v>2140</v>
      </c>
      <c r="N1667" s="15"/>
      <c r="O1667" s="15"/>
      <c r="P1667" s="15" t="str" cm="1">
        <f t="array" ref="P1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Q1667" s="15" t="str" cm="1">
        <f t="array" ref="Q1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R1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S1667" s="1"/>
      <c r="T1667" s="1"/>
      <c r="U1667" s="1"/>
      <c r="V1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data-author="Taizé original" data-momento="TaizéORIG" data-nnew="Q03"&gt;&lt;a href="canciones/taize/ad_te_jesu_christe.html"&gt;Ad te Jesu Christe&lt;/a&gt;&lt;/li&gt;</v>
      </c>
      <c r="W1667" s="15" t="str">
        <f>_xlfn.TEXTBEFORE(_xlfn.TEXTAFTER(CantoralDB[[#This Row],[index.html]],"&gt;"),"&gt;")&amp;"&gt;"</f>
        <v>&lt;a href="canciones/taize/ad_te_jesu_christe.html"&gt;</v>
      </c>
    </row>
    <row r="1668" spans="1:23" x14ac:dyDescent="0.3">
      <c r="A1668" s="1">
        <f>ROW(CantoralDB[[#This Row],[Título]])-1</f>
        <v>1667</v>
      </c>
      <c r="B1668" s="1" t="s">
        <v>2704</v>
      </c>
      <c r="C1668" s="1"/>
      <c r="F1668" s="1">
        <v>323</v>
      </c>
      <c r="J1668" s="1"/>
      <c r="M1668" s="15" t="s">
        <v>2705</v>
      </c>
      <c r="N1668" s="15"/>
      <c r="O1668" s="15"/>
      <c r="P1668" s="15" t="str" cm="1">
        <f t="array" ref="P1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68" s="15" t="str" cm="1">
        <f t="array" ref="Q1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canciones/nuevas/padre_te_adoramos.html</v>
      </c>
      <c r="S1668" s="1"/>
      <c r="T1668" s="1"/>
      <c r="U1668" s="1"/>
      <c r="V1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data-author="Terrye Coelho"&gt;&lt;a href="canciones/nuevas/padre_te_adoramos.html"&gt;Padre, te adoramos&lt;/a&gt;&lt;/li&gt;</v>
      </c>
      <c r="W1668" s="15" t="str">
        <f>_xlfn.TEXTBEFORE(_xlfn.TEXTAFTER(CantoralDB[[#This Row],[index.html]],"&gt;"),"&gt;")&amp;"&gt;"</f>
        <v>&lt;a href="canciones/nuevas/padre_te_adoramos.html"&gt;</v>
      </c>
    </row>
    <row r="1669" spans="1:23" x14ac:dyDescent="0.3">
      <c r="A1669" s="1">
        <f>ROW(CantoralDB[[#This Row],[Título]])-1</f>
        <v>1668</v>
      </c>
      <c r="B1669" s="1" t="s">
        <v>130</v>
      </c>
      <c r="C1669" s="1" t="s">
        <v>196</v>
      </c>
      <c r="D1669" s="1" t="s">
        <v>1462</v>
      </c>
      <c r="E1669" s="1">
        <v>457</v>
      </c>
      <c r="G1669" s="1" t="s">
        <v>209</v>
      </c>
      <c r="H1669" s="1" t="s">
        <v>1029</v>
      </c>
      <c r="J1669" s="1" t="s">
        <v>608</v>
      </c>
      <c r="M1669" s="15" t="s">
        <v>525</v>
      </c>
      <c r="N1669" s="15"/>
      <c r="O1669" s="15"/>
      <c r="P1669" s="15" t="str" cm="1">
        <f t="array" ref="P1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669" s="15" t="str" cm="1">
        <f t="array" ref="Q1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canciones/nsb/santo_(the_beatles).html</v>
      </c>
      <c r="S1669" s="1"/>
      <c r="T1669" s="1"/>
      <c r="U1669" s="1"/>
      <c r="V1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data-author="The Beatles" data-momento="Santo" data-nnew="G06" data-nold="457"&gt;&lt;a href="canciones/nsb/santo_(the_beatles).html"&gt;Santo (The Beatles)&lt;/a&gt;&lt;/li&gt;</v>
      </c>
      <c r="W1669" s="15" t="str">
        <f>_xlfn.TEXTBEFORE(_xlfn.TEXTAFTER(CantoralDB[[#This Row],[index.html]],"&gt;"),"&gt;")&amp;"&gt;"</f>
        <v>&lt;a href="canciones/nsb/santo_(the_beatles).html"&gt;</v>
      </c>
    </row>
    <row r="1670" spans="1:23" x14ac:dyDescent="0.3">
      <c r="A1670" s="1">
        <f>ROW(CantoralDB[[#This Row],[Título]])-1</f>
        <v>1669</v>
      </c>
      <c r="B1670" s="1" t="s">
        <v>2812</v>
      </c>
      <c r="C1670" s="1"/>
      <c r="F1670" s="1">
        <v>416</v>
      </c>
      <c r="J1670" s="1"/>
      <c r="M1670" s="15" t="s">
        <v>2813</v>
      </c>
      <c r="N1670" s="15"/>
      <c r="O1670" s="15"/>
      <c r="P1670" s="15" t="str" cm="1">
        <f t="array" ref="P1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70" s="15" t="str" cm="1">
        <f t="array" ref="Q1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canciones/nuevas/vengo_a_adorarte.html</v>
      </c>
      <c r="S1670" s="1"/>
      <c r="T1670" s="1"/>
      <c r="U1670" s="1"/>
      <c r="V1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data-author="Tim Hughes"&gt;&lt;a href="canciones/nuevas/vengo_a_adorarte.html"&gt;Vengo a adorarte&lt;/a&gt;&lt;/li&gt;</v>
      </c>
      <c r="W1670" s="15" t="str">
        <f>_xlfn.TEXTBEFORE(_xlfn.TEXTAFTER(CantoralDB[[#This Row],[index.html]],"&gt;"),"&gt;")&amp;"&gt;"</f>
        <v>&lt;a href="canciones/nuevas/vengo_a_adorarte.html"&gt;</v>
      </c>
    </row>
    <row r="1671" spans="1:23" x14ac:dyDescent="0.3">
      <c r="A1671" s="1">
        <f>ROW(CantoralDB[[#This Row],[Título]])-1</f>
        <v>1670</v>
      </c>
      <c r="B1671" s="1" t="s">
        <v>2788</v>
      </c>
      <c r="C1671" s="1"/>
      <c r="F1671" s="1">
        <v>396</v>
      </c>
      <c r="J1671" s="1"/>
      <c r="M1671" s="15" t="s">
        <v>2790</v>
      </c>
      <c r="N1671" s="15"/>
      <c r="O1671" s="15"/>
      <c r="P1671" s="15" t="str" cm="1">
        <f t="array" ref="P1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671" s="15" t="str" cm="1">
        <f t="array" ref="Q1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canciones/nuevas/se_exalta_nuestro_dios.html</v>
      </c>
      <c r="S1671" s="1"/>
      <c r="T1671" s="1"/>
      <c r="U1671" s="1"/>
      <c r="V1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data-author="Tim Smith"&gt;&lt;a href="canciones/nuevas/se_exalta_nuestro_dios.html"&gt;Se exalta nuestro Dios&lt;/a&gt;&lt;/li&gt;</v>
      </c>
      <c r="W1671" s="15" t="str">
        <f>_xlfn.TEXTBEFORE(_xlfn.TEXTAFTER(CantoralDB[[#This Row],[index.html]],"&gt;"),"&gt;")&amp;"&gt;"</f>
        <v>&lt;a href="canciones/nuevas/se_exalta_nuestro_dios.html"&gt;</v>
      </c>
    </row>
    <row r="1672" spans="1:23" x14ac:dyDescent="0.3">
      <c r="A1672" s="1">
        <f>ROW(CantoralDB[[#This Row],[Título]])-1</f>
        <v>1671</v>
      </c>
      <c r="B1672" s="1" t="s">
        <v>1266</v>
      </c>
      <c r="C1672" s="1"/>
      <c r="E1672" s="1">
        <v>146</v>
      </c>
      <c r="H1672" s="1" t="s">
        <v>1027</v>
      </c>
      <c r="J1672" s="1" t="s">
        <v>608</v>
      </c>
      <c r="M1672" s="15" t="s">
        <v>538</v>
      </c>
      <c r="N1672" s="15"/>
      <c r="O1672" s="15"/>
      <c r="P1672" s="15" t="str" cm="1">
        <f t="array" ref="P1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672" s="15" t="str" cm="1">
        <f t="array" ref="Q1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canciones/nsb/junto_a_ti_al_caer_de_la_tarde.html</v>
      </c>
      <c r="S1672" s="1"/>
      <c r="T1672" s="1"/>
      <c r="U1672" s="1"/>
      <c r="V1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data-author="Tomás Aragüés" data-nold="146"&gt;&lt;a href="canciones/nsb/junto_a_ti_al_caer_de_la_tarde.html"&gt;Junto a ti al caer de la tarde&lt;/a&gt;&lt;/li&gt;</v>
      </c>
      <c r="W1672" s="15" t="str">
        <f>_xlfn.TEXTBEFORE(_xlfn.TEXTAFTER(CantoralDB[[#This Row],[index.html]],"&gt;"),"&gt;")&amp;"&gt;"</f>
        <v>&lt;a href="canciones/nsb/junto_a_ti_al_caer_de_la_tarde.html"&gt;</v>
      </c>
    </row>
    <row r="1673" spans="1:23" x14ac:dyDescent="0.3">
      <c r="A1673" s="1">
        <f>ROW(CantoralDB[[#This Row],[Título]])-1</f>
        <v>1672</v>
      </c>
      <c r="B1673" s="1" t="s">
        <v>249</v>
      </c>
      <c r="C1673" s="1" t="s">
        <v>202</v>
      </c>
      <c r="D1673" s="1" t="s">
        <v>1402</v>
      </c>
      <c r="G1673" s="1" t="s">
        <v>248</v>
      </c>
      <c r="H1673" s="1" t="s">
        <v>1030</v>
      </c>
      <c r="I1673" s="1" t="s">
        <v>2960</v>
      </c>
      <c r="J1673" s="1" t="s">
        <v>608</v>
      </c>
      <c r="M1673" s="15" t="s">
        <v>538</v>
      </c>
      <c r="N1673" s="15"/>
      <c r="O1673" s="15"/>
      <c r="P1673" s="15" t="str" cm="1">
        <f t="array" ref="P1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673" s="15" t="str" cm="1">
        <f t="array" ref="Q1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canciones/nsb/cordero_de_dios_(aragües).html</v>
      </c>
      <c r="S1673" s="1"/>
      <c r="T1673" s="1"/>
      <c r="U1673" s="1"/>
      <c r="V1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data-author="Tomás Aragüés" data-momento="Cordero de Dios" data-nnew="J02"&gt;&lt;a href="canciones/nsb/cordero_de_dios_(aragües).html"&gt;Cordero de Dios (Aragüés)&lt;/a&gt;&lt;/li&gt;</v>
      </c>
      <c r="W1673" s="15" t="str">
        <f>_xlfn.TEXTBEFORE(_xlfn.TEXTAFTER(CantoralDB[[#This Row],[index.html]],"&gt;"),"&gt;")&amp;"&gt;"</f>
        <v>&lt;a href="canciones/nsb/cordero_de_dios_(aragües).html"&gt;</v>
      </c>
    </row>
    <row r="1674" spans="1:23" x14ac:dyDescent="0.3">
      <c r="A1674" s="1">
        <f>ROW(CantoralDB[[#This Row],[Título]])-1</f>
        <v>1673</v>
      </c>
      <c r="B1674" s="1" t="s">
        <v>203</v>
      </c>
      <c r="C1674" s="1" t="s">
        <v>191</v>
      </c>
      <c r="D1674" s="1" t="s">
        <v>760</v>
      </c>
      <c r="G1674" s="1" t="s">
        <v>209</v>
      </c>
      <c r="H1674" s="1" t="s">
        <v>1029</v>
      </c>
      <c r="J1674" s="1" t="s">
        <v>608</v>
      </c>
      <c r="M1674" s="15" t="s">
        <v>482</v>
      </c>
      <c r="N1674" s="15" t="s">
        <v>1844</v>
      </c>
      <c r="O1674" s="15">
        <v>1</v>
      </c>
      <c r="P1674" s="15" t="str" cm="1">
        <f t="array" ref="P1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74" s="15" t="str" cm="1">
        <f t="array" ref="Q1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canciones/toño_casado/ven_a_la_fiesta.html</v>
      </c>
      <c r="S1674" s="1"/>
      <c r="T1674" s="1"/>
      <c r="U1674" s="1"/>
      <c r="V1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data-nnew="A40"&gt;&lt;a href="canciones/toño_casado/ven_a_la_fiesta.html"&gt;Ven a la fiesta&lt;/a&gt;&lt;/li&gt;</v>
      </c>
      <c r="W1674" s="15" t="str">
        <f>_xlfn.TEXTBEFORE(_xlfn.TEXTAFTER(CantoralDB[[#This Row],[index.html]],"&gt;"),"&gt;")&amp;"&gt;"</f>
        <v>&lt;a href="canciones/toño_casado/ven_a_la_fiesta.html"&gt;</v>
      </c>
    </row>
    <row r="1675" spans="1:23" x14ac:dyDescent="0.3">
      <c r="A1675" s="1">
        <f>ROW(CantoralDB[[#This Row],[Título]])-1</f>
        <v>1674</v>
      </c>
      <c r="B1675" s="1" t="s">
        <v>1852</v>
      </c>
      <c r="C1675" s="1"/>
      <c r="H1675" s="1" t="s">
        <v>1027</v>
      </c>
      <c r="J1675" s="1" t="s">
        <v>608</v>
      </c>
      <c r="M1675" s="15" t="s">
        <v>482</v>
      </c>
      <c r="N1675" s="15" t="s">
        <v>1844</v>
      </c>
      <c r="O1675" s="15">
        <v>2</v>
      </c>
      <c r="P1675" s="15" t="str" cm="1">
        <f t="array" ref="P1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75" s="15" t="str" cm="1">
        <f t="array" ref="Q1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canciones/toño_casado/señor_ten_piedad_i.html</v>
      </c>
      <c r="S1675" s="1"/>
      <c r="T1675" s="1"/>
      <c r="U1675" s="1"/>
      <c r="V1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href="canciones/toño_casado/señor_ten_piedad_i.html"&gt;Señor, ten piedad I&lt;/a&gt;&lt;/li&gt;</v>
      </c>
      <c r="W1675" s="15" t="str">
        <f>_xlfn.TEXTBEFORE(_xlfn.TEXTAFTER(CantoralDB[[#This Row],[index.html]],"&gt;"),"&gt;")&amp;"&gt;"</f>
        <v>&lt;a href="canciones/toño_casado/señor_ten_piedad_i.html"&gt;</v>
      </c>
    </row>
    <row r="1676" spans="1:23" x14ac:dyDescent="0.3">
      <c r="A1676" s="1">
        <f>ROW(CantoralDB[[#This Row],[Título]])-1</f>
        <v>1675</v>
      </c>
      <c r="B1676" s="1" t="s">
        <v>239</v>
      </c>
      <c r="C1676" s="1" t="s">
        <v>193</v>
      </c>
      <c r="D1676" s="1" t="s">
        <v>1425</v>
      </c>
      <c r="G1676" s="1" t="s">
        <v>220</v>
      </c>
      <c r="H1676" s="1" t="s">
        <v>1027</v>
      </c>
      <c r="I1676" s="1" t="s">
        <v>2962</v>
      </c>
      <c r="J1676" s="1" t="s">
        <v>608</v>
      </c>
      <c r="M1676" s="15" t="s">
        <v>482</v>
      </c>
      <c r="N1676" s="15" t="s">
        <v>1844</v>
      </c>
      <c r="O1676" s="15">
        <v>3</v>
      </c>
      <c r="P1676" s="15" t="str" cm="1">
        <f t="array" ref="P1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76" s="15" t="str" cm="1">
        <f t="array" ref="Q1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canciones/toño_casado/gloria_gloria_a_dios.html</v>
      </c>
      <c r="S1676" s="1"/>
      <c r="T1676" s="1"/>
      <c r="U1676" s="1"/>
      <c r="V1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data-momento="Gloria" data-nnew="C05"&gt;&lt;a href="canciones/toño_casado/gloria_gloria_a_dios.html"&gt;Gloria, gloria a Dios&lt;/a&gt;&lt;/li&gt;</v>
      </c>
      <c r="W1676" s="15" t="str">
        <f>_xlfn.TEXTBEFORE(_xlfn.TEXTAFTER(CantoralDB[[#This Row],[index.html]],"&gt;"),"&gt;")&amp;"&gt;"</f>
        <v>&lt;a href="canciones/toño_casado/gloria_gloria_a_dios.html"&gt;</v>
      </c>
    </row>
    <row r="1677" spans="1:23" x14ac:dyDescent="0.3">
      <c r="A1677" s="1">
        <f>ROW(CantoralDB[[#This Row],[Título]])-1</f>
        <v>1676</v>
      </c>
      <c r="B1677" s="1" t="s">
        <v>240</v>
      </c>
      <c r="C1677" s="1" t="s">
        <v>993</v>
      </c>
      <c r="D1677" s="1" t="s">
        <v>997</v>
      </c>
      <c r="G1677" s="1" t="s">
        <v>220</v>
      </c>
      <c r="H1677" s="1" t="s">
        <v>1027</v>
      </c>
      <c r="J1677" s="1" t="s">
        <v>608</v>
      </c>
      <c r="M1677" s="15" t="s">
        <v>482</v>
      </c>
      <c r="N1677" s="15" t="s">
        <v>1844</v>
      </c>
      <c r="O1677" s="15">
        <v>4</v>
      </c>
      <c r="P1677" s="15" t="str" cm="1">
        <f t="array" ref="P1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77" s="15" t="str" cm="1">
        <f t="array" ref="Q1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canciones/toño_casado/que_tu_palabra_nos_cambie_el_corazon.html</v>
      </c>
      <c r="S1677" s="1"/>
      <c r="T1677" s="1"/>
      <c r="U1677" s="1"/>
      <c r="V1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data-nnew="K60"&gt;&lt;a href="canciones/toño_casado/que_tu_palabra_nos_cambie_el_corazon.html"&gt;Que tu palabra nos cambie el corazón&lt;/a&gt;&lt;/li&gt;</v>
      </c>
      <c r="W1677" s="15" t="str">
        <f>_xlfn.TEXTBEFORE(_xlfn.TEXTAFTER(CantoralDB[[#This Row],[index.html]],"&gt;"),"&gt;")&amp;"&gt;"</f>
        <v>&lt;a href="canciones/toño_casado/que_tu_palabra_nos_cambie_el_corazon.html"&gt;</v>
      </c>
    </row>
    <row r="1678" spans="1:23" x14ac:dyDescent="0.3">
      <c r="A1678" s="1">
        <f>ROW(CantoralDB[[#This Row],[Título]])-1</f>
        <v>1677</v>
      </c>
      <c r="B1678" s="1" t="s">
        <v>1854</v>
      </c>
      <c r="C1678" s="1"/>
      <c r="H1678" s="1" t="s">
        <v>1029</v>
      </c>
      <c r="J1678" s="1" t="s">
        <v>608</v>
      </c>
      <c r="M1678" s="15" t="s">
        <v>482</v>
      </c>
      <c r="N1678" s="15" t="s">
        <v>1844</v>
      </c>
      <c r="O1678" s="15">
        <v>5</v>
      </c>
      <c r="P1678" s="15" t="str" cm="1">
        <f t="array" ref="P1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78" s="15" t="str" cm="1">
        <f t="array" ref="Q1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canciones/toño_casado/aleluya_i.html</v>
      </c>
      <c r="S1678" s="1"/>
      <c r="T1678" s="1"/>
      <c r="U1678" s="1"/>
      <c r="V1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href="canciones/toño_casado/aleluya_i.html"&gt;Aleluya I&lt;/a&gt;&lt;/li&gt;</v>
      </c>
      <c r="W1678" s="15" t="str">
        <f>_xlfn.TEXTBEFORE(_xlfn.TEXTAFTER(CantoralDB[[#This Row],[index.html]],"&gt;"),"&gt;")&amp;"&gt;"</f>
        <v>&lt;a href="canciones/toño_casado/aleluya_i.html"&gt;</v>
      </c>
    </row>
    <row r="1679" spans="1:23" x14ac:dyDescent="0.3">
      <c r="A1679" s="1">
        <f>ROW(CantoralDB[[#This Row],[Título]])-1</f>
        <v>1678</v>
      </c>
      <c r="B1679" s="1" t="s">
        <v>1845</v>
      </c>
      <c r="C1679" s="1" t="s">
        <v>195</v>
      </c>
      <c r="D1679" s="1" t="s">
        <v>1434</v>
      </c>
      <c r="G1679" s="1" t="s">
        <v>209</v>
      </c>
      <c r="H1679" s="1" t="s">
        <v>1027</v>
      </c>
      <c r="J1679" s="1" t="s">
        <v>608</v>
      </c>
      <c r="M1679" s="15" t="s">
        <v>482</v>
      </c>
      <c r="N1679" s="15" t="s">
        <v>1844</v>
      </c>
      <c r="O1679" s="15">
        <v>6</v>
      </c>
      <c r="P1679" s="15" t="str" cm="1">
        <f t="array" ref="P1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79" s="15" t="str" cm="1">
        <f t="array" ref="Q1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canciones/toño_casado/junto_al_vino_y_al_pan.html</v>
      </c>
      <c r="S1679" s="1"/>
      <c r="T1679" s="1"/>
      <c r="U1679" s="1"/>
      <c r="V1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data-momento="Ofertorio" data-nnew="F09"&gt;&lt;a href="canciones/toño_casado/junto_al_vino_y_al_pan.html"&gt;Junto al vino y al pan&lt;/a&gt;&lt;/li&gt;</v>
      </c>
      <c r="W1679" s="15" t="str">
        <f>_xlfn.TEXTBEFORE(_xlfn.TEXTAFTER(CantoralDB[[#This Row],[index.html]],"&gt;"),"&gt;")&amp;"&gt;"</f>
        <v>&lt;a href="canciones/toño_casado/junto_al_vino_y_al_pan.html"&gt;</v>
      </c>
    </row>
    <row r="1680" spans="1:23" x14ac:dyDescent="0.3">
      <c r="A1680" s="1">
        <f>ROW(CantoralDB[[#This Row],[Título]])-1</f>
        <v>1679</v>
      </c>
      <c r="B1680" s="1" t="s">
        <v>528</v>
      </c>
      <c r="C1680" s="1" t="s">
        <v>196</v>
      </c>
      <c r="D1680" s="1" t="s">
        <v>1460</v>
      </c>
      <c r="G1680" s="1" t="s">
        <v>220</v>
      </c>
      <c r="H1680" s="1" t="s">
        <v>531</v>
      </c>
      <c r="I1680" s="1" t="s">
        <v>2962</v>
      </c>
      <c r="J1680" s="1" t="s">
        <v>608</v>
      </c>
      <c r="M1680" s="15" t="s">
        <v>482</v>
      </c>
      <c r="N1680" s="15" t="s">
        <v>1844</v>
      </c>
      <c r="O1680" s="15">
        <v>7</v>
      </c>
      <c r="P1680" s="15" t="str" cm="1">
        <f t="array" ref="P1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0" s="15" t="str" cm="1">
        <f t="array" ref="Q1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canciones/toño_casado/santo_(estan_llenos_de_tu_amor).html</v>
      </c>
      <c r="S1680" s="1"/>
      <c r="T1680" s="1"/>
      <c r="U1680" s="1"/>
      <c r="V1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data-momento="Santo" data-nnew="G03"&gt;&lt;a href="canciones/toño_casado/santo_(estan_llenos_de_tu_amor).html"&gt;Santo (Están llenos de tu amor)&lt;/a&gt;&lt;/li&gt;</v>
      </c>
      <c r="W1680" s="15" t="str">
        <f>_xlfn.TEXTBEFORE(_xlfn.TEXTAFTER(CantoralDB[[#This Row],[index.html]],"&gt;"),"&gt;")&amp;"&gt;"</f>
        <v>&lt;a href="canciones/toño_casado/santo_(estan_llenos_de_tu_amor).html"&gt;</v>
      </c>
    </row>
    <row r="1681" spans="1:23" x14ac:dyDescent="0.3">
      <c r="A1681" s="1">
        <f>ROW(CantoralDB[[#This Row],[Título]])-1</f>
        <v>1680</v>
      </c>
      <c r="B1681" s="1" t="s">
        <v>1846</v>
      </c>
      <c r="C1681" s="1"/>
      <c r="H1681" s="1" t="s">
        <v>1029</v>
      </c>
      <c r="J1681" s="1" t="s">
        <v>608</v>
      </c>
      <c r="M1681" s="15" t="s">
        <v>482</v>
      </c>
      <c r="N1681" s="15" t="s">
        <v>1844</v>
      </c>
      <c r="O1681" s="15">
        <v>8</v>
      </c>
      <c r="P1681" s="15" t="str" cm="1">
        <f t="array" ref="P1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1" s="15" t="str" cm="1">
        <f t="array" ref="Q1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canciones/toño_casado/traeras_la_paz.html</v>
      </c>
      <c r="S1681" s="1"/>
      <c r="T1681" s="1"/>
      <c r="U1681" s="1"/>
      <c r="V1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href="canciones/toño_casado/traeras_la_paz.html"&gt;Traerás la paz&lt;/a&gt;&lt;/li&gt;</v>
      </c>
      <c r="W1681" s="15" t="str">
        <f>_xlfn.TEXTBEFORE(_xlfn.TEXTAFTER(CantoralDB[[#This Row],[index.html]],"&gt;"),"&gt;")&amp;"&gt;"</f>
        <v>&lt;a href="canciones/toño_casado/traeras_la_paz.html"&gt;</v>
      </c>
    </row>
    <row r="1682" spans="1:23" x14ac:dyDescent="0.3">
      <c r="A1682" s="1">
        <f>ROW(CantoralDB[[#This Row],[Título]])-1</f>
        <v>1681</v>
      </c>
      <c r="B1682" s="1" t="s">
        <v>241</v>
      </c>
      <c r="C1682" s="1" t="s">
        <v>198</v>
      </c>
      <c r="D1682" s="1" t="s">
        <v>1408</v>
      </c>
      <c r="G1682" s="1" t="s">
        <v>220</v>
      </c>
      <c r="H1682" s="1" t="s">
        <v>1029</v>
      </c>
      <c r="J1682" s="1" t="s">
        <v>608</v>
      </c>
      <c r="M1682" s="15" t="s">
        <v>482</v>
      </c>
      <c r="N1682" s="15" t="s">
        <v>1844</v>
      </c>
      <c r="O1682" s="15">
        <v>9</v>
      </c>
      <c r="P1682" s="15" t="str" cm="1">
        <f t="array" ref="P1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2" s="15" t="str" cm="1">
        <f t="array" ref="Q1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canciones/toño_casado/da_la_paz_al_mundo.html</v>
      </c>
      <c r="S1682" s="1"/>
      <c r="T1682" s="1"/>
      <c r="U1682" s="1"/>
      <c r="V1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data-momento="Paz" data-nnew="I01"&gt;&lt;a href="canciones/toño_casado/da_la_paz_al_mundo.html"&gt;Da la paz al mundo&lt;/a&gt;&lt;/li&gt;</v>
      </c>
      <c r="W1682" s="15" t="str">
        <f>_xlfn.TEXTBEFORE(_xlfn.TEXTAFTER(CantoralDB[[#This Row],[index.html]],"&gt;"),"&gt;")&amp;"&gt;"</f>
        <v>&lt;a href="canciones/toño_casado/da_la_paz_al_mundo.html"&gt;</v>
      </c>
    </row>
    <row r="1683" spans="1:23" x14ac:dyDescent="0.3">
      <c r="A1683" s="1">
        <f>ROW(CantoralDB[[#This Row],[Título]])-1</f>
        <v>1682</v>
      </c>
      <c r="B1683" s="1" t="s">
        <v>242</v>
      </c>
      <c r="C1683" s="1" t="s">
        <v>197</v>
      </c>
      <c r="D1683" s="1" t="s">
        <v>1447</v>
      </c>
      <c r="G1683" s="1" t="s">
        <v>220</v>
      </c>
      <c r="H1683" s="1" t="s">
        <v>531</v>
      </c>
      <c r="J1683" s="1" t="s">
        <v>608</v>
      </c>
      <c r="M1683" s="15" t="s">
        <v>482</v>
      </c>
      <c r="N1683" s="15" t="s">
        <v>1844</v>
      </c>
      <c r="O1683" s="15">
        <v>10</v>
      </c>
      <c r="P1683" s="15" t="str" cm="1">
        <f t="array" ref="P1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3" s="15" t="str" cm="1">
        <f t="array" ref="Q1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canciones/toño_casado/padre_nuestro_padre_nuestro.html</v>
      </c>
      <c r="S1683" s="1"/>
      <c r="T1683" s="1"/>
      <c r="U1683" s="1"/>
      <c r="V1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data-momento="Padrenuestro" data-nnew="H05"&gt;&lt;a href="canciones/toño_casado/padre_nuestro_padre_nuestro.html"&gt;Padre nuestro, padre nuestro&lt;/a&gt;&lt;/li&gt;</v>
      </c>
      <c r="W1683" s="15" t="str">
        <f>_xlfn.TEXTBEFORE(_xlfn.TEXTAFTER(CantoralDB[[#This Row],[index.html]],"&gt;"),"&gt;")&amp;"&gt;"</f>
        <v>&lt;a href="canciones/toño_casado/padre_nuestro_padre_nuestro.html"&gt;</v>
      </c>
    </row>
    <row r="1684" spans="1:23" x14ac:dyDescent="0.3">
      <c r="A1684" s="1">
        <f>ROW(CantoralDB[[#This Row],[Título]])-1</f>
        <v>1683</v>
      </c>
      <c r="B1684" s="1" t="s">
        <v>243</v>
      </c>
      <c r="C1684" s="1" t="s">
        <v>993</v>
      </c>
      <c r="D1684" s="1" t="s">
        <v>717</v>
      </c>
      <c r="G1684" s="1" t="s">
        <v>220</v>
      </c>
      <c r="H1684" s="1" t="s">
        <v>1029</v>
      </c>
      <c r="J1684" s="1" t="s">
        <v>608</v>
      </c>
      <c r="M1684" s="15" t="s">
        <v>482</v>
      </c>
      <c r="N1684" s="15" t="s">
        <v>1844</v>
      </c>
      <c r="O1684" s="15">
        <v>11</v>
      </c>
      <c r="P1684" s="15" t="str" cm="1">
        <f t="array" ref="P1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4" s="15" t="str" cm="1">
        <f t="array" ref="Q1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canciones/toño_casado/jesus_ven_tu.html</v>
      </c>
      <c r="S1684" s="1"/>
      <c r="T1684" s="1"/>
      <c r="U1684" s="1"/>
      <c r="V1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data-nnew="K44"&gt;&lt;a href="canciones/toño_casado/jesus_ven_tu.html"&gt;Jesús, ven tú&lt;/a&gt;&lt;/li&gt;</v>
      </c>
      <c r="W1684" s="15" t="str">
        <f>_xlfn.TEXTBEFORE(_xlfn.TEXTAFTER(CantoralDB[[#This Row],[index.html]],"&gt;"),"&gt;")&amp;"&gt;"</f>
        <v>&lt;a href="canciones/toño_casado/jesus_ven_tu.html"&gt;</v>
      </c>
    </row>
    <row r="1685" spans="1:23" x14ac:dyDescent="0.3">
      <c r="A1685" s="1">
        <f>ROW(CantoralDB[[#This Row],[Título]])-1</f>
        <v>1684</v>
      </c>
      <c r="B1685" s="1" t="s">
        <v>244</v>
      </c>
      <c r="C1685" s="1" t="s">
        <v>200</v>
      </c>
      <c r="D1685" s="1" t="s">
        <v>1047</v>
      </c>
      <c r="G1685" s="1" t="s">
        <v>220</v>
      </c>
      <c r="H1685" s="1" t="s">
        <v>1027</v>
      </c>
      <c r="J1685" s="1" t="s">
        <v>608</v>
      </c>
      <c r="M1685" s="15" t="s">
        <v>482</v>
      </c>
      <c r="N1685" s="15" t="s">
        <v>1844</v>
      </c>
      <c r="O1685" s="15">
        <v>12</v>
      </c>
      <c r="P1685" s="15" t="str" cm="1">
        <f t="array" ref="P1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5" s="15" t="str" cm="1">
        <f t="array" ref="Q1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canciones/toño_casado/maria_maria.html</v>
      </c>
      <c r="S1685" s="1"/>
      <c r="T1685" s="1"/>
      <c r="U1685" s="1"/>
      <c r="V1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data-nnew="M13"&gt;&lt;a href="canciones/toño_casado/maria_maria.html"&gt;María, María&lt;/a&gt;&lt;/li&gt;</v>
      </c>
      <c r="W1685" s="15" t="str">
        <f>_xlfn.TEXTBEFORE(_xlfn.TEXTAFTER(CantoralDB[[#This Row],[index.html]],"&gt;"),"&gt;")&amp;"&gt;"</f>
        <v>&lt;a href="canciones/toño_casado/maria_maria.html"&gt;</v>
      </c>
    </row>
    <row r="1686" spans="1:23" x14ac:dyDescent="0.3">
      <c r="A1686" s="1">
        <f>ROW(CantoralDB[[#This Row],[Título]])-1</f>
        <v>1685</v>
      </c>
      <c r="B1686" s="1" t="s">
        <v>245</v>
      </c>
      <c r="C1686" s="1" t="s">
        <v>191</v>
      </c>
      <c r="D1686" s="1" t="s">
        <v>1391</v>
      </c>
      <c r="G1686" s="1" t="s">
        <v>220</v>
      </c>
      <c r="H1686" s="1" t="s">
        <v>473</v>
      </c>
      <c r="I1686" s="1" t="s">
        <v>2961</v>
      </c>
      <c r="J1686" s="1" t="s">
        <v>608</v>
      </c>
      <c r="M1686" s="15" t="s">
        <v>482</v>
      </c>
      <c r="N1686" s="15" t="s">
        <v>1850</v>
      </c>
      <c r="O1686" s="15">
        <v>1</v>
      </c>
      <c r="P1686" s="15" t="str" cm="1">
        <f t="array" ref="P1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6" s="15" t="str" cm="1">
        <f t="array" ref="Q1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canciones/toño_casado/bienvenidos.html</v>
      </c>
      <c r="S1686" s="1"/>
      <c r="T1686" s="1"/>
      <c r="U1686" s="1"/>
      <c r="V1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data-nnew="A08"&gt;&lt;a href="canciones/toño_casado/bienvenidos.html"&gt;Bienvenidos&lt;/a&gt;&lt;/li&gt;</v>
      </c>
      <c r="W1686" s="15" t="str">
        <f>_xlfn.TEXTBEFORE(_xlfn.TEXTAFTER(CantoralDB[[#This Row],[index.html]],"&gt;"),"&gt;")&amp;"&gt;"</f>
        <v>&lt;a href="canciones/toño_casado/bienvenidos.html"&gt;</v>
      </c>
    </row>
    <row r="1687" spans="1:23" x14ac:dyDescent="0.3">
      <c r="A1687" s="1">
        <f>ROW(CantoralDB[[#This Row],[Título]])-1</f>
        <v>1686</v>
      </c>
      <c r="B1687" s="1" t="s">
        <v>1853</v>
      </c>
      <c r="C1687" s="1"/>
      <c r="H1687" s="1" t="s">
        <v>531</v>
      </c>
      <c r="J1687" s="1" t="s">
        <v>608</v>
      </c>
      <c r="M1687" s="15" t="s">
        <v>482</v>
      </c>
      <c r="N1687" s="15" t="s">
        <v>1850</v>
      </c>
      <c r="O1687" s="15">
        <v>2</v>
      </c>
      <c r="P1687" s="15" t="str" cm="1">
        <f t="array" ref="P1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7" s="15" t="str" cm="1">
        <f t="array" ref="Q1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canciones/toño_casado/señor_ten_piedad_ii.html</v>
      </c>
      <c r="S1687" s="1"/>
      <c r="T1687" s="1"/>
      <c r="U1687" s="1"/>
      <c r="V1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href="canciones/toño_casado/señor_ten_piedad_ii.html"&gt;Señor, ten piedad II&lt;/a&gt;&lt;/li&gt;</v>
      </c>
      <c r="W1687" s="15" t="str">
        <f>_xlfn.TEXTBEFORE(_xlfn.TEXTAFTER(CantoralDB[[#This Row],[index.html]],"&gt;"),"&gt;")&amp;"&gt;"</f>
        <v>&lt;a href="canciones/toño_casado/señor_ten_piedad_ii.html"&gt;</v>
      </c>
    </row>
    <row r="1688" spans="1:23" x14ac:dyDescent="0.3">
      <c r="A1688" s="1">
        <f>ROW(CantoralDB[[#This Row],[Título]])-1</f>
        <v>1687</v>
      </c>
      <c r="B1688" s="1" t="s">
        <v>2926</v>
      </c>
      <c r="C1688" s="1"/>
      <c r="H1688" s="1" t="s">
        <v>531</v>
      </c>
      <c r="J1688" s="1" t="s">
        <v>608</v>
      </c>
      <c r="M1688" s="15" t="s">
        <v>482</v>
      </c>
      <c r="N1688" s="15" t="s">
        <v>1850</v>
      </c>
      <c r="O1688" s="15">
        <v>3</v>
      </c>
      <c r="P1688" s="15" t="str" cm="1">
        <f t="array" ref="P1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8" s="15" t="str" cm="1">
        <f t="array" ref="Q1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canciones/toño_casado/gloria_(por_pintar_amaneceres).html</v>
      </c>
      <c r="S1688" s="1"/>
      <c r="T1688" s="1"/>
      <c r="U1688" s="1"/>
      <c r="V1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href="canciones/toño_casado/gloria_(por_pintar_amaneceres).html"&gt;Gloria (por pintar amaneceres)&lt;/a&gt;&lt;/li&gt;</v>
      </c>
      <c r="W1688" s="15" t="str">
        <f>_xlfn.TEXTBEFORE(_xlfn.TEXTAFTER(CantoralDB[[#This Row],[index.html]],"&gt;"),"&gt;")&amp;"&gt;"</f>
        <v>&lt;a href="canciones/toño_casado/gloria_(por_pintar_amaneceres).html"&gt;</v>
      </c>
    </row>
    <row r="1689" spans="1:23" x14ac:dyDescent="0.3">
      <c r="A1689" s="1">
        <f>ROW(CantoralDB[[#This Row],[Título]])-1</f>
        <v>1688</v>
      </c>
      <c r="B1689" s="1" t="s">
        <v>1847</v>
      </c>
      <c r="C1689" s="1"/>
      <c r="H1689" s="1" t="s">
        <v>1028</v>
      </c>
      <c r="J1689" s="1" t="s">
        <v>608</v>
      </c>
      <c r="M1689" s="15" t="s">
        <v>482</v>
      </c>
      <c r="N1689" s="15" t="s">
        <v>1850</v>
      </c>
      <c r="O1689" s="15">
        <v>4</v>
      </c>
      <c r="P1689" s="15" t="str" cm="1">
        <f t="array" ref="P1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89" s="15" t="str" cm="1">
        <f t="array" ref="Q1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canciones/toño_casado/tu_palabra_se_hace_vida.html</v>
      </c>
      <c r="S1689" s="1"/>
      <c r="T1689" s="1"/>
      <c r="U1689" s="1"/>
      <c r="V1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href="canciones/toño_casado/tu_palabra_se_hace_vida.html"&gt;Tu palabra se hace vida&lt;/a&gt;&lt;/li&gt;</v>
      </c>
      <c r="W1689" s="15" t="str">
        <f>_xlfn.TEXTBEFORE(_xlfn.TEXTAFTER(CantoralDB[[#This Row],[index.html]],"&gt;"),"&gt;")&amp;"&gt;"</f>
        <v>&lt;a href="canciones/toño_casado/tu_palabra_se_hace_vida.html"&gt;</v>
      </c>
    </row>
    <row r="1690" spans="1:23" x14ac:dyDescent="0.3">
      <c r="A1690" s="1">
        <f>ROW(CantoralDB[[#This Row],[Título]])-1</f>
        <v>1689</v>
      </c>
      <c r="B1690" s="1" t="s">
        <v>1855</v>
      </c>
      <c r="C1690" s="1"/>
      <c r="H1690" s="1" t="s">
        <v>1030</v>
      </c>
      <c r="J1690" s="1" t="s">
        <v>608</v>
      </c>
      <c r="M1690" s="15" t="s">
        <v>482</v>
      </c>
      <c r="N1690" s="15" t="s">
        <v>1850</v>
      </c>
      <c r="O1690" s="15">
        <v>5</v>
      </c>
      <c r="P1690" s="15" t="str" cm="1">
        <f t="array" ref="P1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0" s="15" t="str" cm="1">
        <f t="array" ref="Q1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canciones/toño_casado/aleluya_ii.html</v>
      </c>
      <c r="S1690" s="1"/>
      <c r="T1690" s="1"/>
      <c r="U1690" s="1"/>
      <c r="V1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href="canciones/toño_casado/aleluya_ii.html"&gt;Aleluya II&lt;/a&gt;&lt;/li&gt;</v>
      </c>
      <c r="W1690" s="15" t="str">
        <f>_xlfn.TEXTBEFORE(_xlfn.TEXTAFTER(CantoralDB[[#This Row],[index.html]],"&gt;"),"&gt;")&amp;"&gt;"</f>
        <v>&lt;a href="canciones/toño_casado/aleluya_ii.html"&gt;</v>
      </c>
    </row>
    <row r="1691" spans="1:23" x14ac:dyDescent="0.3">
      <c r="A1691" s="1">
        <f>ROW(CantoralDB[[#This Row],[Título]])-1</f>
        <v>1690</v>
      </c>
      <c r="B1691" s="1" t="s">
        <v>246</v>
      </c>
      <c r="C1691" s="1" t="s">
        <v>195</v>
      </c>
      <c r="D1691" s="1" t="s">
        <v>770</v>
      </c>
      <c r="G1691" s="1" t="s">
        <v>220</v>
      </c>
      <c r="H1691" s="1" t="s">
        <v>531</v>
      </c>
      <c r="J1691" s="1" t="s">
        <v>608</v>
      </c>
      <c r="M1691" s="15" t="s">
        <v>482</v>
      </c>
      <c r="N1691" s="15" t="s">
        <v>1850</v>
      </c>
      <c r="O1691" s="15">
        <v>6</v>
      </c>
      <c r="P1691" s="15" t="str" cm="1">
        <f t="array" ref="P1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1" s="15" t="str" cm="1">
        <f t="array" ref="Q1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canciones/toño_casado/te_ofrecemos.html</v>
      </c>
      <c r="S1691" s="1"/>
      <c r="T1691" s="1"/>
      <c r="U1691" s="1"/>
      <c r="V1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data-momento="Ofertorio" data-nnew="F15"&gt;&lt;a href="canciones/toño_casado/te_ofrecemos.html"&gt;Te ofrecemos&lt;/a&gt;&lt;/li&gt;</v>
      </c>
      <c r="W1691" s="15" t="str">
        <f>_xlfn.TEXTBEFORE(_xlfn.TEXTAFTER(CantoralDB[[#This Row],[index.html]],"&gt;"),"&gt;")&amp;"&gt;"</f>
        <v>&lt;a href="canciones/toño_casado/te_ofrecemos.html"&gt;</v>
      </c>
    </row>
    <row r="1692" spans="1:23" x14ac:dyDescent="0.3">
      <c r="A1692" s="1">
        <f>ROW(CantoralDB[[#This Row],[Título]])-1</f>
        <v>1691</v>
      </c>
      <c r="B1692" s="1" t="s">
        <v>529</v>
      </c>
      <c r="C1692" s="1" t="s">
        <v>196</v>
      </c>
      <c r="D1692" s="1" t="s">
        <v>1461</v>
      </c>
      <c r="G1692" s="1" t="s">
        <v>220</v>
      </c>
      <c r="H1692" s="1" t="s">
        <v>1027</v>
      </c>
      <c r="J1692" s="1" t="s">
        <v>608</v>
      </c>
      <c r="M1692" s="15" t="s">
        <v>482</v>
      </c>
      <c r="N1692" s="15" t="s">
        <v>1850</v>
      </c>
      <c r="O1692" s="15">
        <v>7</v>
      </c>
      <c r="P1692" s="15" t="str" cm="1">
        <f t="array" ref="P1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2" s="15" t="str" cm="1">
        <f t="array" ref="Q1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canciones/toño_casado/santo_(hosanna_en_el_cielo_al_señor).html</v>
      </c>
      <c r="S1692" s="1"/>
      <c r="T1692" s="1"/>
      <c r="U1692" s="1"/>
      <c r="V1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data-momento="Santo" data-nnew="G04"&gt;&lt;a href="canciones/toño_casado/santo_(hosanna_en_el_cielo_al_señor).html"&gt;Santo (Hosanna en el Cielo al Señor)&lt;/a&gt;&lt;/li&gt;</v>
      </c>
      <c r="W1692" s="15" t="str">
        <f>_xlfn.TEXTBEFORE(_xlfn.TEXTAFTER(CantoralDB[[#This Row],[index.html]],"&gt;"),"&gt;")&amp;"&gt;"</f>
        <v>&lt;a href="canciones/toño_casado/santo_(hosanna_en_el_cielo_al_señor).html"&gt;</v>
      </c>
    </row>
    <row r="1693" spans="1:23" x14ac:dyDescent="0.3">
      <c r="A1693" s="1">
        <f>ROW(CantoralDB[[#This Row],[Título]])-1</f>
        <v>1692</v>
      </c>
      <c r="B1693" s="1" t="s">
        <v>2148</v>
      </c>
      <c r="C1693" s="1"/>
      <c r="H1693" s="1" t="s">
        <v>1027</v>
      </c>
      <c r="J1693" s="1" t="s">
        <v>608</v>
      </c>
      <c r="M1693" s="15" t="s">
        <v>482</v>
      </c>
      <c r="N1693" s="15" t="s">
        <v>1850</v>
      </c>
      <c r="O1693" s="15">
        <v>8</v>
      </c>
      <c r="P1693" s="15" t="str" cm="1">
        <f t="array" ref="P1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3" s="15" t="str" cm="1">
        <f t="array" ref="Q1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canciones/toño_casado/padre_nuestro_ii.html</v>
      </c>
      <c r="S1693" s="1"/>
      <c r="T1693" s="1"/>
      <c r="U1693" s="1"/>
      <c r="V1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href="canciones/toño_casado/padre_nuestro_ii.html"&gt;Padre nuestro II&lt;/a&gt;&lt;/li&gt;</v>
      </c>
      <c r="W1693" s="15" t="str">
        <f>_xlfn.TEXTBEFORE(_xlfn.TEXTAFTER(CantoralDB[[#This Row],[index.html]],"&gt;"),"&gt;")&amp;"&gt;"</f>
        <v>&lt;a href="canciones/toño_casado/padre_nuestro_ii.html"&gt;</v>
      </c>
    </row>
    <row r="1694" spans="1:23" x14ac:dyDescent="0.3">
      <c r="A1694" s="1">
        <f>ROW(CantoralDB[[#This Row],[Título]])-1</f>
        <v>1693</v>
      </c>
      <c r="B1694" s="1" t="s">
        <v>1198</v>
      </c>
      <c r="C1694" s="1"/>
      <c r="H1694" s="1" t="s">
        <v>531</v>
      </c>
      <c r="J1694" s="1" t="s">
        <v>608</v>
      </c>
      <c r="M1694" s="15" t="s">
        <v>482</v>
      </c>
      <c r="N1694" s="15" t="s">
        <v>1850</v>
      </c>
      <c r="O1694" s="15">
        <v>9</v>
      </c>
      <c r="P1694" s="15" t="str" cm="1">
        <f t="array" ref="P1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4" s="15" t="str" cm="1">
        <f t="array" ref="Q1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canciones/toño_casado/danos_paz.html</v>
      </c>
      <c r="S1694" s="1"/>
      <c r="T1694" s="1"/>
      <c r="U1694" s="1"/>
      <c r="V1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href="canciones/toño_casado/danos_paz.html"&gt;Danos paz&lt;/a&gt;&lt;/li&gt;</v>
      </c>
      <c r="W1694" s="15" t="str">
        <f>_xlfn.TEXTBEFORE(_xlfn.TEXTAFTER(CantoralDB[[#This Row],[index.html]],"&gt;"),"&gt;")&amp;"&gt;"</f>
        <v>&lt;a href="canciones/toño_casado/danos_paz.html"&gt;</v>
      </c>
    </row>
    <row r="1695" spans="1:23" x14ac:dyDescent="0.3">
      <c r="A1695" s="1">
        <f>ROW(CantoralDB[[#This Row],[Título]])-1</f>
        <v>1694</v>
      </c>
      <c r="B1695" s="1" t="s">
        <v>1848</v>
      </c>
      <c r="C1695" s="1"/>
      <c r="H1695" s="1" t="s">
        <v>473</v>
      </c>
      <c r="J1695" s="1" t="s">
        <v>608</v>
      </c>
      <c r="M1695" s="15" t="s">
        <v>482</v>
      </c>
      <c r="N1695" s="15" t="s">
        <v>1850</v>
      </c>
      <c r="O1695" s="15">
        <v>10</v>
      </c>
      <c r="P1695" s="15" t="str" cm="1">
        <f t="array" ref="P1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5" s="15" t="str" cm="1">
        <f t="array" ref="Q1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canciones/toño_casado/hoy_jesus_vendras_a_mi.html</v>
      </c>
      <c r="S1695" s="1"/>
      <c r="T1695" s="1"/>
      <c r="U1695" s="1"/>
      <c r="V1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href="canciones/toño_casado/hoy_jesus_vendras_a_mi.html"&gt;Hoy, Jesús, vendrás a mí&lt;/a&gt;&lt;/li&gt;</v>
      </c>
      <c r="W1695" s="15" t="str">
        <f>_xlfn.TEXTBEFORE(_xlfn.TEXTAFTER(CantoralDB[[#This Row],[index.html]],"&gt;"),"&gt;")&amp;"&gt;"</f>
        <v>&lt;a href="canciones/toño_casado/hoy_jesus_vendras_a_mi.html"&gt;</v>
      </c>
    </row>
    <row r="1696" spans="1:23" x14ac:dyDescent="0.3">
      <c r="A1696" s="1">
        <f>ROW(CantoralDB[[#This Row],[Título]])-1</f>
        <v>1695</v>
      </c>
      <c r="B1696" s="1" t="s">
        <v>1849</v>
      </c>
      <c r="C1696" s="1"/>
      <c r="H1696" s="1" t="s">
        <v>473</v>
      </c>
      <c r="J1696" s="1" t="s">
        <v>608</v>
      </c>
      <c r="M1696" s="15" t="s">
        <v>482</v>
      </c>
      <c r="N1696" s="15" t="s">
        <v>1850</v>
      </c>
      <c r="O1696" s="15">
        <v>11</v>
      </c>
      <c r="P1696" s="15" t="str" cm="1">
        <f t="array" ref="P1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6" s="15" t="str" cm="1">
        <f t="array" ref="Q1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canciones/toño_casado/familia_de_dios.html</v>
      </c>
      <c r="S1696" s="1"/>
      <c r="T1696" s="1"/>
      <c r="U1696" s="1"/>
      <c r="V1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href="canciones/toño_casado/familia_de_dios.html"&gt;Familia de Dios&lt;/a&gt;&lt;/li&gt;</v>
      </c>
      <c r="W1696" s="15" t="str">
        <f>_xlfn.TEXTBEFORE(_xlfn.TEXTAFTER(CantoralDB[[#This Row],[index.html]],"&gt;"),"&gt;")&amp;"&gt;"</f>
        <v>&lt;a href="canciones/toño_casado/familia_de_dios.html"&gt;</v>
      </c>
    </row>
    <row r="1697" spans="1:23" x14ac:dyDescent="0.3">
      <c r="A1697" s="1">
        <f>ROW(CantoralDB[[#This Row],[Título]])-1</f>
        <v>1696</v>
      </c>
      <c r="B1697" s="1" t="s">
        <v>497</v>
      </c>
      <c r="C1697" s="1" t="s">
        <v>200</v>
      </c>
      <c r="D1697" s="1" t="s">
        <v>1387</v>
      </c>
      <c r="G1697" s="1" t="s">
        <v>220</v>
      </c>
      <c r="H1697" s="1" t="s">
        <v>1030</v>
      </c>
      <c r="I1697" s="1" t="s">
        <v>2962</v>
      </c>
      <c r="J1697" s="1" t="s">
        <v>608</v>
      </c>
      <c r="M1697" s="15" t="s">
        <v>482</v>
      </c>
      <c r="N1697" s="15" t="s">
        <v>1851</v>
      </c>
      <c r="O1697" s="15">
        <v>1</v>
      </c>
      <c r="P1697" s="15" t="str" cm="1">
        <f t="array" ref="P1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7" s="15" t="str" cm="1">
        <f t="array" ref="Q1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canciones/toño_casado/ave_maria.html</v>
      </c>
      <c r="S1697" s="1"/>
      <c r="T1697" s="1"/>
      <c r="U1697" s="1"/>
      <c r="V1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data-nnew="M02"&gt;&lt;a href="canciones/toño_casado/ave_maria.html"&gt;Ave María&lt;/a&gt;&lt;/li&gt;</v>
      </c>
      <c r="W1697" s="15" t="str">
        <f>_xlfn.TEXTBEFORE(_xlfn.TEXTAFTER(CantoralDB[[#This Row],[index.html]],"&gt;"),"&gt;")&amp;"&gt;"</f>
        <v>&lt;a href="canciones/toño_casado/ave_maria.html"&gt;</v>
      </c>
    </row>
    <row r="1698" spans="1:23" x14ac:dyDescent="0.3">
      <c r="A1698" s="1">
        <f>ROW(CantoralDB[[#This Row],[Título]])-1</f>
        <v>1697</v>
      </c>
      <c r="B1698" s="1" t="s">
        <v>173</v>
      </c>
      <c r="C1698" s="1" t="s">
        <v>993</v>
      </c>
      <c r="D1698" s="1" t="s">
        <v>684</v>
      </c>
      <c r="G1698" s="1" t="s">
        <v>209</v>
      </c>
      <c r="H1698" s="1" t="s">
        <v>1030</v>
      </c>
      <c r="J1698" s="1" t="s">
        <v>608</v>
      </c>
      <c r="M1698" s="15" t="s">
        <v>482</v>
      </c>
      <c r="N1698" s="15" t="s">
        <v>1851</v>
      </c>
      <c r="O1698" s="15">
        <v>2</v>
      </c>
      <c r="P1698" s="15" t="str" cm="1">
        <f t="array" ref="P1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8" s="15" t="str" cm="1">
        <f t="array" ref="Q1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canciones/toño_casado/bienaventuranzas_(33_el_musical).html</v>
      </c>
      <c r="S1698" s="1" t="s">
        <v>809</v>
      </c>
      <c r="T1698" s="1"/>
      <c r="U1698" s="1"/>
      <c r="V1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data-momento="Comunión" data-nnew="K11"&gt;&lt;a href="canciones/toño_casado/bienaventuranzas_(33_el_musical).html"&gt;Bienaventuranzas (33 El Musical)&lt;/a&gt;&lt;/li&gt;</v>
      </c>
      <c r="W1698" s="15" t="str">
        <f>_xlfn.TEXTBEFORE(_xlfn.TEXTAFTER(CantoralDB[[#This Row],[index.html]],"&gt;"),"&gt;")&amp;"&gt;"</f>
        <v>&lt;a href="canciones/toño_casado/bienaventuranzas_(33_el_musical).html"&gt;</v>
      </c>
    </row>
    <row r="1699" spans="1:23" x14ac:dyDescent="0.3">
      <c r="A1699" s="1">
        <f>ROW(CantoralDB[[#This Row],[Título]])-1</f>
        <v>1698</v>
      </c>
      <c r="B1699" s="1" t="s">
        <v>178</v>
      </c>
      <c r="C1699" s="1" t="s">
        <v>219</v>
      </c>
      <c r="D1699" s="1" t="s">
        <v>1412</v>
      </c>
      <c r="G1699" s="1" t="s">
        <v>209</v>
      </c>
      <c r="H1699" s="1" t="s">
        <v>531</v>
      </c>
      <c r="J1699" s="1" t="s">
        <v>608</v>
      </c>
      <c r="M1699" s="15" t="s">
        <v>482</v>
      </c>
      <c r="N1699" s="15" t="s">
        <v>1851</v>
      </c>
      <c r="O1699" s="15">
        <v>3</v>
      </c>
      <c r="P1699" s="15" t="str" cm="1">
        <f t="array" ref="P1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699" s="15" t="str" cm="1">
        <f t="array" ref="Q1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canciones/toño_casado/el_espiritu_de_dios_(33_el_musical).html</v>
      </c>
      <c r="S1699" s="1" t="s">
        <v>823</v>
      </c>
      <c r="T1699" s="1"/>
      <c r="U1699" s="1"/>
      <c r="V1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data-momento="Espíritu" data-nnew="N02"&gt;&lt;a href="canciones/toño_casado/el_espiritu_de_dios_(33_el_musical).html"&gt;El Espíritu de Dios (33 El Musical)&lt;/a&gt;&lt;/li&gt;</v>
      </c>
      <c r="W1699" s="15" t="str">
        <f>_xlfn.TEXTBEFORE(_xlfn.TEXTAFTER(CantoralDB[[#This Row],[index.html]],"&gt;"),"&gt;")&amp;"&gt;"</f>
        <v>&lt;a href="canciones/toño_casado/el_espiritu_de_dios_(33_el_musical).html"&gt;</v>
      </c>
    </row>
    <row r="1700" spans="1:23" x14ac:dyDescent="0.3">
      <c r="A1700" s="1">
        <f>ROW(CantoralDB[[#This Row],[Título]])-1</f>
        <v>1699</v>
      </c>
      <c r="B1700" s="1" t="s">
        <v>218</v>
      </c>
      <c r="C1700" s="1" t="s">
        <v>200</v>
      </c>
      <c r="D1700" s="1" t="s">
        <v>1056</v>
      </c>
      <c r="G1700" s="1" t="s">
        <v>220</v>
      </c>
      <c r="H1700" s="1" t="s">
        <v>1043</v>
      </c>
      <c r="J1700" s="1" t="s">
        <v>608</v>
      </c>
      <c r="M1700" s="15" t="s">
        <v>482</v>
      </c>
      <c r="N1700" s="15" t="s">
        <v>1851</v>
      </c>
      <c r="O1700" s="15">
        <v>4</v>
      </c>
      <c r="P1700" s="15" t="str" cm="1">
        <f t="array" ref="P1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0" s="15" t="str" cm="1">
        <f t="array" ref="Q1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canciones/toño_casado/siempre_estuviste_aqui_(almudena).html</v>
      </c>
      <c r="S1700" s="1"/>
      <c r="T1700" s="1"/>
      <c r="U1700" s="1"/>
      <c r="V1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data-momento="María" data-nnew="M22"&gt;&lt;a href="canciones/toño_casado/siempre_estuviste_aqui_(almudena).html"&gt;Siempre estuviste aquí (Almudena)&lt;/a&gt;&lt;/li&gt;</v>
      </c>
      <c r="W1700" s="15" t="str">
        <f>_xlfn.TEXTBEFORE(_xlfn.TEXTAFTER(CantoralDB[[#This Row],[index.html]],"&gt;"),"&gt;")&amp;"&gt;"</f>
        <v>&lt;a href="canciones/toño_casado/siempre_estuviste_aqui_(almudena).html"&gt;</v>
      </c>
    </row>
    <row r="1701" spans="1:23" x14ac:dyDescent="0.3">
      <c r="A1701" s="1">
        <f>ROW(CantoralDB[[#This Row],[Título]])-1</f>
        <v>1700</v>
      </c>
      <c r="B1701" s="1" t="s">
        <v>496</v>
      </c>
      <c r="C1701" s="1" t="s">
        <v>191</v>
      </c>
      <c r="D1701" s="1" t="s">
        <v>762</v>
      </c>
      <c r="G1701" s="1" t="s">
        <v>220</v>
      </c>
      <c r="H1701" s="1" t="s">
        <v>531</v>
      </c>
      <c r="I1701" s="1" t="s">
        <v>2962</v>
      </c>
      <c r="J1701" s="1" t="s">
        <v>608</v>
      </c>
      <c r="M1701" s="15" t="s">
        <v>482</v>
      </c>
      <c r="N1701" s="15" t="s">
        <v>1851</v>
      </c>
      <c r="O1701" s="15">
        <v>5</v>
      </c>
      <c r="P1701" s="15" t="str" cm="1">
        <f t="array" ref="P1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1" s="15" t="str" cm="1">
        <f t="array" ref="Q1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canciones/toño_casado/viviremos_firmes_en_la_fe.html</v>
      </c>
      <c r="S1701" s="1"/>
      <c r="T1701" s="1"/>
      <c r="U1701" s="1"/>
      <c r="V1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 data-momento="Entrada" data-nnew="A42"&gt;&lt;a href="canciones/toño_casado/viviremos_firmes_en_la_fe.html"&gt;Viviremos firmes en la fe&lt;/a&gt;&lt;/li&gt;</v>
      </c>
      <c r="W1701" s="15" t="str">
        <f>_xlfn.TEXTBEFORE(_xlfn.TEXTAFTER(CantoralDB[[#This Row],[index.html]],"&gt;"),"&gt;")&amp;"&gt;"</f>
        <v>&lt;a href="canciones/toño_casado/viviremos_firmes_en_la_fe.html"&gt;</v>
      </c>
    </row>
    <row r="1702" spans="1:23" x14ac:dyDescent="0.3">
      <c r="A1702" s="1">
        <f>ROW(CantoralDB[[#This Row],[Título]])-1</f>
        <v>1701</v>
      </c>
      <c r="B1702" s="1" t="s">
        <v>2928</v>
      </c>
      <c r="C1702" s="1"/>
      <c r="H1702" s="1" t="s">
        <v>1027</v>
      </c>
      <c r="J1702" s="1" t="s">
        <v>608</v>
      </c>
      <c r="M1702" s="15" t="s">
        <v>482</v>
      </c>
      <c r="N1702" s="15" t="s">
        <v>2927</v>
      </c>
      <c r="O1702" s="15">
        <v>0</v>
      </c>
      <c r="P1702" s="15" t="str" cm="1">
        <f t="array" ref="P1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2" s="15" t="str" cm="1">
        <f t="array" ref="Q1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canciones/toño_casado/via_crucis_introduccion.html</v>
      </c>
      <c r="S1702" s="1"/>
      <c r="T1702" s="1"/>
      <c r="U1702" s="1"/>
      <c r="V1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href="canciones/toño_casado/via_crucis_introduccion.html"&gt;Vía Crucis Introducción&lt;/a&gt;&lt;/li&gt;</v>
      </c>
      <c r="W1702" s="15" t="str">
        <f>_xlfn.TEXTBEFORE(_xlfn.TEXTAFTER(CantoralDB[[#This Row],[index.html]],"&gt;"),"&gt;")&amp;"&gt;"</f>
        <v>&lt;a href="canciones/toño_casado/via_crucis_introduccion.html"&gt;</v>
      </c>
    </row>
    <row r="1703" spans="1:23" x14ac:dyDescent="0.3">
      <c r="A1703" s="1">
        <f>ROW(CantoralDB[[#This Row],[Título]])-1</f>
        <v>1702</v>
      </c>
      <c r="B1703" s="1" t="s">
        <v>2929</v>
      </c>
      <c r="C1703" s="1"/>
      <c r="H1703" s="1" t="s">
        <v>1027</v>
      </c>
      <c r="J1703" s="1" t="s">
        <v>608</v>
      </c>
      <c r="M1703" s="15" t="s">
        <v>482</v>
      </c>
      <c r="N1703" s="15" t="s">
        <v>2927</v>
      </c>
      <c r="O1703" s="15">
        <v>1</v>
      </c>
      <c r="P1703" s="15" t="str" cm="1">
        <f t="array" ref="P1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3" s="15" t="str" cm="1">
        <f t="array" ref="Q1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canciones/toño_casado/via_crucis_i_jesus_cautivo.html</v>
      </c>
      <c r="S1703" s="1"/>
      <c r="T1703" s="1"/>
      <c r="U1703" s="1"/>
      <c r="V1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href="canciones/toño_casado/via_crucis_i_jesus_cautivo.html"&gt;Via Crucis I Jesús cautivo&lt;/a&gt;&lt;/li&gt;</v>
      </c>
      <c r="W1703" s="15" t="str">
        <f>_xlfn.TEXTBEFORE(_xlfn.TEXTAFTER(CantoralDB[[#This Row],[index.html]],"&gt;"),"&gt;")&amp;"&gt;"</f>
        <v>&lt;a href="canciones/toño_casado/via_crucis_i_jesus_cautivo.html"&gt;</v>
      </c>
    </row>
    <row r="1704" spans="1:23" x14ac:dyDescent="0.3">
      <c r="A1704" s="1">
        <f>ROW(CantoralDB[[#This Row],[Título]])-1</f>
        <v>1703</v>
      </c>
      <c r="B1704" s="1" t="s">
        <v>2930</v>
      </c>
      <c r="C1704" s="1"/>
      <c r="H1704" s="1" t="s">
        <v>1027</v>
      </c>
      <c r="J1704" s="1" t="s">
        <v>608</v>
      </c>
      <c r="M1704" s="15" t="s">
        <v>482</v>
      </c>
      <c r="N1704" s="15" t="s">
        <v>2927</v>
      </c>
      <c r="O1704" s="15">
        <v>2</v>
      </c>
      <c r="P1704" s="15" t="str" cm="1">
        <f t="array" ref="P1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4" s="15" t="str" cm="1">
        <f t="array" ref="Q1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canciones/toño_casado/via_crucis_ii_jesus_carga_con_la_cruz.html</v>
      </c>
      <c r="S1704" s="1"/>
      <c r="T1704" s="1"/>
      <c r="U1704" s="1"/>
      <c r="V1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href="canciones/toño_casado/via_crucis_ii_jesus_carga_con_la_cruz.html"&gt;Via Crucis II Jesús carga con la Cruz&lt;/a&gt;&lt;/li&gt;</v>
      </c>
      <c r="W1704" s="15" t="str">
        <f>_xlfn.TEXTBEFORE(_xlfn.TEXTAFTER(CantoralDB[[#This Row],[index.html]],"&gt;"),"&gt;")&amp;"&gt;"</f>
        <v>&lt;a href="canciones/toño_casado/via_crucis_ii_jesus_carga_con_la_cruz.html"&gt;</v>
      </c>
    </row>
    <row r="1705" spans="1:23" x14ac:dyDescent="0.3">
      <c r="A1705" s="1">
        <f>ROW(CantoralDB[[#This Row],[Título]])-1</f>
        <v>1704</v>
      </c>
      <c r="B1705" s="1" t="s">
        <v>2931</v>
      </c>
      <c r="C1705" s="1"/>
      <c r="H1705" s="1" t="s">
        <v>1030</v>
      </c>
      <c r="J1705" s="1" t="s">
        <v>608</v>
      </c>
      <c r="M1705" s="15" t="s">
        <v>482</v>
      </c>
      <c r="N1705" s="15" t="s">
        <v>2927</v>
      </c>
      <c r="O1705" s="15">
        <v>3</v>
      </c>
      <c r="P1705" s="15" t="str" cm="1">
        <f t="array" ref="P1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5" s="15" t="str" cm="1">
        <f t="array" ref="Q1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canciones/toño_casado/via_crucis_iii_jesus_cae_por_primera_vez.html</v>
      </c>
      <c r="S1705" s="1"/>
      <c r="T1705" s="1"/>
      <c r="U1705" s="1"/>
      <c r="V1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href="canciones/toño_casado/via_crucis_iii_jesus_cae_por_primera_vez.html"&gt;Via Crucis III Jesús cae por primera vez&lt;/a&gt;&lt;/li&gt;</v>
      </c>
      <c r="W1705" s="15" t="str">
        <f>_xlfn.TEXTBEFORE(_xlfn.TEXTAFTER(CantoralDB[[#This Row],[index.html]],"&gt;"),"&gt;")&amp;"&gt;"</f>
        <v>&lt;a href="canciones/toño_casado/via_crucis_iii_jesus_cae_por_primera_vez.html"&gt;</v>
      </c>
    </row>
    <row r="1706" spans="1:23" x14ac:dyDescent="0.3">
      <c r="A1706" s="1">
        <f>ROW(CantoralDB[[#This Row],[Título]])-1</f>
        <v>1705</v>
      </c>
      <c r="B1706" s="1" t="s">
        <v>2932</v>
      </c>
      <c r="C1706" s="1"/>
      <c r="H1706" s="1" t="s">
        <v>1028</v>
      </c>
      <c r="J1706" s="1" t="s">
        <v>608</v>
      </c>
      <c r="M1706" s="15" t="s">
        <v>482</v>
      </c>
      <c r="N1706" s="15" t="s">
        <v>2927</v>
      </c>
      <c r="O1706" s="15">
        <v>4</v>
      </c>
      <c r="P1706" s="15" t="str" cm="1">
        <f t="array" ref="P1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6" s="15" t="str" cm="1">
        <f t="array" ref="Q1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canciones/toño_casado/via_crucis_iv_jesus_se_encuentra_con_su_madre.html</v>
      </c>
      <c r="S1706" s="1"/>
      <c r="T1706" s="1"/>
      <c r="U1706" s="1"/>
      <c r="V1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href="canciones/toño_casado/via_crucis_iv_jesus_se_encuentra_con_su_madre.html"&gt;Via Crucis IV Jesús se encuentra con su madre&lt;/a&gt;&lt;/li&gt;</v>
      </c>
      <c r="W1706" s="15" t="str">
        <f>_xlfn.TEXTBEFORE(_xlfn.TEXTAFTER(CantoralDB[[#This Row],[index.html]],"&gt;"),"&gt;")&amp;"&gt;"</f>
        <v>&lt;a href="canciones/toño_casado/via_crucis_iv_jesus_se_encuentra_con_su_madre.html"&gt;</v>
      </c>
    </row>
    <row r="1707" spans="1:23" x14ac:dyDescent="0.3">
      <c r="A1707" s="1">
        <f>ROW(CantoralDB[[#This Row],[Título]])-1</f>
        <v>1706</v>
      </c>
      <c r="B1707" s="1" t="s">
        <v>2933</v>
      </c>
      <c r="C1707" s="1"/>
      <c r="H1707" s="1" t="s">
        <v>2968</v>
      </c>
      <c r="J1707" s="1" t="s">
        <v>608</v>
      </c>
      <c r="M1707" s="15" t="s">
        <v>482</v>
      </c>
      <c r="N1707" s="15" t="s">
        <v>2927</v>
      </c>
      <c r="O1707" s="15">
        <v>5</v>
      </c>
      <c r="P1707" s="15" t="str" cm="1">
        <f t="array" ref="P1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7" s="15" t="str" cm="1">
        <f t="array" ref="Q1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canciones/toño_casado/via_crucis_v_el_cireneo.html</v>
      </c>
      <c r="S1707" s="1"/>
      <c r="T1707" s="1"/>
      <c r="U1707" s="1"/>
      <c r="V1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href="canciones/toño_casado/via_crucis_v_el_cireneo.html"&gt;Via Crucis V El Cireneo&lt;/a&gt;&lt;/li&gt;</v>
      </c>
      <c r="W1707" s="15" t="str">
        <f>_xlfn.TEXTBEFORE(_xlfn.TEXTAFTER(CantoralDB[[#This Row],[index.html]],"&gt;"),"&gt;")&amp;"&gt;"</f>
        <v>&lt;a href="canciones/toño_casado/via_crucis_v_el_cireneo.html"&gt;</v>
      </c>
    </row>
    <row r="1708" spans="1:23" x14ac:dyDescent="0.3">
      <c r="A1708" s="1">
        <f>ROW(CantoralDB[[#This Row],[Título]])-1</f>
        <v>1707</v>
      </c>
      <c r="B1708" s="1" t="s">
        <v>2934</v>
      </c>
      <c r="C1708" s="1"/>
      <c r="H1708" s="1" t="s">
        <v>1027</v>
      </c>
      <c r="J1708" s="1" t="s">
        <v>608</v>
      </c>
      <c r="M1708" s="15" t="s">
        <v>482</v>
      </c>
      <c r="N1708" s="15" t="s">
        <v>2927</v>
      </c>
      <c r="O1708" s="15">
        <v>6</v>
      </c>
      <c r="P1708" s="15" t="str" cm="1">
        <f t="array" ref="P1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8" s="15" t="str" cm="1">
        <f t="array" ref="Q1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canciones/toño_casado/via_crucis_vi_la_veronica.html</v>
      </c>
      <c r="S1708" s="1"/>
      <c r="T1708" s="1"/>
      <c r="U1708" s="1"/>
      <c r="V1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href="canciones/toño_casado/via_crucis_vi_la_veronica.html"&gt;Via Crucis VI La Verónica&lt;/a&gt;&lt;/li&gt;</v>
      </c>
      <c r="W1708" s="15" t="str">
        <f>_xlfn.TEXTBEFORE(_xlfn.TEXTAFTER(CantoralDB[[#This Row],[index.html]],"&gt;"),"&gt;")&amp;"&gt;"</f>
        <v>&lt;a href="canciones/toño_casado/via_crucis_vi_la_veronica.html"&gt;</v>
      </c>
    </row>
    <row r="1709" spans="1:23" x14ac:dyDescent="0.3">
      <c r="A1709" s="1">
        <f>ROW(CantoralDB[[#This Row],[Título]])-1</f>
        <v>1708</v>
      </c>
      <c r="B1709" s="1" t="s">
        <v>2935</v>
      </c>
      <c r="C1709" s="1"/>
      <c r="H1709" s="1" t="s">
        <v>1030</v>
      </c>
      <c r="J1709" s="1" t="s">
        <v>608</v>
      </c>
      <c r="M1709" s="15" t="s">
        <v>482</v>
      </c>
      <c r="N1709" s="15" t="s">
        <v>2927</v>
      </c>
      <c r="O1709" s="15">
        <v>7</v>
      </c>
      <c r="P1709" s="15" t="str" cm="1">
        <f t="array" ref="P1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09" s="15" t="str" cm="1">
        <f t="array" ref="Q1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canciones/toño_casado/via_crucis_vii_jesus_cae_por_segunda_vez.html</v>
      </c>
      <c r="S1709" s="1"/>
      <c r="T1709" s="1"/>
      <c r="U1709" s="1"/>
      <c r="V1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href="canciones/toño_casado/via_crucis_vii_jesus_cae_por_segunda_vez.html"&gt;Via Crucis VII Jesús cae por segunda vez&lt;/a&gt;&lt;/li&gt;</v>
      </c>
      <c r="W1709" s="15" t="str">
        <f>_xlfn.TEXTBEFORE(_xlfn.TEXTAFTER(CantoralDB[[#This Row],[index.html]],"&gt;"),"&gt;")&amp;"&gt;"</f>
        <v>&lt;a href="canciones/toño_casado/via_crucis_vii_jesus_cae_por_segunda_vez.html"&gt;</v>
      </c>
    </row>
    <row r="1710" spans="1:23" x14ac:dyDescent="0.3">
      <c r="A1710" s="1">
        <f>ROW(CantoralDB[[#This Row],[Título]])-1</f>
        <v>1709</v>
      </c>
      <c r="B1710" s="1" t="s">
        <v>2936</v>
      </c>
      <c r="C1710" s="1"/>
      <c r="H1710" s="1" t="s">
        <v>1028</v>
      </c>
      <c r="J1710" s="1" t="s">
        <v>608</v>
      </c>
      <c r="M1710" s="15" t="s">
        <v>482</v>
      </c>
      <c r="N1710" s="15" t="s">
        <v>2927</v>
      </c>
      <c r="O1710" s="15">
        <v>8</v>
      </c>
      <c r="P1710" s="15" t="str" cm="1">
        <f t="array" ref="P1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0" s="15" t="str" cm="1">
        <f t="array" ref="Q1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canciones/toño_casado/via_crucis_viii_jesus_consuela_a_las_mujeres.html</v>
      </c>
      <c r="S1710" s="1"/>
      <c r="T1710" s="1"/>
      <c r="U1710" s="1"/>
      <c r="V1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href="canciones/toño_casado/via_crucis_viii_jesus_consuela_a_las_mujeres.html"&gt;Via Crucis VIII Jesús consuela a las mujeres&lt;/a&gt;&lt;/li&gt;</v>
      </c>
      <c r="W1710" s="15" t="str">
        <f>_xlfn.TEXTBEFORE(_xlfn.TEXTAFTER(CantoralDB[[#This Row],[index.html]],"&gt;"),"&gt;")&amp;"&gt;"</f>
        <v>&lt;a href="canciones/toño_casado/via_crucis_viii_jesus_consuela_a_las_mujeres.html"&gt;</v>
      </c>
    </row>
    <row r="1711" spans="1:23" x14ac:dyDescent="0.3">
      <c r="A1711" s="1">
        <f>ROW(CantoralDB[[#This Row],[Título]])-1</f>
        <v>1710</v>
      </c>
      <c r="B1711" s="1" t="s">
        <v>2937</v>
      </c>
      <c r="C1711" s="1"/>
      <c r="H1711" s="1" t="s">
        <v>1030</v>
      </c>
      <c r="J1711" s="1" t="s">
        <v>608</v>
      </c>
      <c r="M1711" s="15" t="s">
        <v>482</v>
      </c>
      <c r="N1711" s="15" t="s">
        <v>2927</v>
      </c>
      <c r="O1711" s="15">
        <v>9</v>
      </c>
      <c r="P1711" s="15" t="str" cm="1">
        <f t="array" ref="P1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1" s="15" t="str" cm="1">
        <f t="array" ref="Q1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canciones/toño_casado/via_crucis_ix_jesus_cae_por_tercera_vez.html</v>
      </c>
      <c r="S1711" s="1"/>
      <c r="T1711" s="1"/>
      <c r="U1711" s="1"/>
      <c r="V1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href="canciones/toño_casado/via_crucis_ix_jesus_cae_por_tercera_vez.html"&gt;Via Crucis IX Jesús cae por tercera vez&lt;/a&gt;&lt;/li&gt;</v>
      </c>
      <c r="W1711" s="15" t="str">
        <f>_xlfn.TEXTBEFORE(_xlfn.TEXTAFTER(CantoralDB[[#This Row],[index.html]],"&gt;"),"&gt;")&amp;"&gt;"</f>
        <v>&lt;a href="canciones/toño_casado/via_crucis_ix_jesus_cae_por_tercera_vez.html"&gt;</v>
      </c>
    </row>
    <row r="1712" spans="1:23" x14ac:dyDescent="0.3">
      <c r="A1712" s="1">
        <f>ROW(CantoralDB[[#This Row],[Título]])-1</f>
        <v>1711</v>
      </c>
      <c r="B1712" s="1" t="s">
        <v>2938</v>
      </c>
      <c r="C1712" s="1"/>
      <c r="H1712" s="1" t="s">
        <v>1027</v>
      </c>
      <c r="J1712" s="1" t="s">
        <v>608</v>
      </c>
      <c r="M1712" s="15" t="s">
        <v>482</v>
      </c>
      <c r="N1712" s="15" t="s">
        <v>2927</v>
      </c>
      <c r="O1712" s="15">
        <v>10</v>
      </c>
      <c r="P1712" s="15" t="str" cm="1">
        <f t="array" ref="P1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2" s="15" t="str" cm="1">
        <f t="array" ref="Q1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canciones/toño_casado/via_crucis_x_jesus_es_despojado.html</v>
      </c>
      <c r="S1712" s="1"/>
      <c r="T1712" s="1"/>
      <c r="U1712" s="1"/>
      <c r="V1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href="canciones/toño_casado/via_crucis_x_jesus_es_despojado.html"&gt;Via Crucis X Jesús es despojado&lt;/a&gt;&lt;/li&gt;</v>
      </c>
      <c r="W1712" s="15" t="str">
        <f>_xlfn.TEXTBEFORE(_xlfn.TEXTAFTER(CantoralDB[[#This Row],[index.html]],"&gt;"),"&gt;")&amp;"&gt;"</f>
        <v>&lt;a href="canciones/toño_casado/via_crucis_x_jesus_es_despojado.html"&gt;</v>
      </c>
    </row>
    <row r="1713" spans="1:23" x14ac:dyDescent="0.3">
      <c r="A1713" s="1">
        <f>ROW(CantoralDB[[#This Row],[Título]])-1</f>
        <v>1712</v>
      </c>
      <c r="B1713" s="1" t="s">
        <v>2939</v>
      </c>
      <c r="C1713" s="1"/>
      <c r="H1713" s="1" t="s">
        <v>1030</v>
      </c>
      <c r="J1713" s="1" t="s">
        <v>608</v>
      </c>
      <c r="M1713" s="15" t="s">
        <v>482</v>
      </c>
      <c r="N1713" s="15" t="s">
        <v>2927</v>
      </c>
      <c r="O1713" s="15">
        <v>11</v>
      </c>
      <c r="P1713" s="15" t="str" cm="1">
        <f t="array" ref="P1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3" s="15" t="str" cm="1">
        <f t="array" ref="Q1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canciones/toño_casado/via_crucis_xi_jesus_es_clavado_en_la_cruz.html</v>
      </c>
      <c r="S1713" s="1"/>
      <c r="T1713" s="1"/>
      <c r="U1713" s="1"/>
      <c r="V1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href="canciones/toño_casado/via_crucis_xi_jesus_es_clavado_en_la_cruz.html"&gt;Via Crucis XI Jesús es clavado en la Cruz&lt;/a&gt;&lt;/li&gt;</v>
      </c>
      <c r="W1713" s="15" t="str">
        <f>_xlfn.TEXTBEFORE(_xlfn.TEXTAFTER(CantoralDB[[#This Row],[index.html]],"&gt;"),"&gt;")&amp;"&gt;"</f>
        <v>&lt;a href="canciones/toño_casado/via_crucis_xi_jesus_es_clavado_en_la_cruz.html"&gt;</v>
      </c>
    </row>
    <row r="1714" spans="1:23" x14ac:dyDescent="0.3">
      <c r="A1714" s="1">
        <f>ROW(CantoralDB[[#This Row],[Título]])-1</f>
        <v>1713</v>
      </c>
      <c r="B1714" s="1" t="s">
        <v>2940</v>
      </c>
      <c r="C1714" s="1"/>
      <c r="H1714" s="1" t="s">
        <v>531</v>
      </c>
      <c r="J1714" s="1" t="s">
        <v>608</v>
      </c>
      <c r="M1714" s="15" t="s">
        <v>482</v>
      </c>
      <c r="N1714" s="15" t="s">
        <v>2927</v>
      </c>
      <c r="O1714" s="15">
        <v>12</v>
      </c>
      <c r="P1714" s="15" t="str" cm="1">
        <f t="array" ref="P1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4" s="15" t="str" cm="1">
        <f t="array" ref="Q1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canciones/toño_casado/via_crucis_xii_jesus_muere_en_la_cruz.html</v>
      </c>
      <c r="S1714" s="1"/>
      <c r="T1714" s="1"/>
      <c r="U1714" s="1"/>
      <c r="V1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href="canciones/toño_casado/via_crucis_xii_jesus_muere_en_la_cruz.html"&gt;Via Crucis XII Jesús muere en la Cruz&lt;/a&gt;&lt;/li&gt;</v>
      </c>
      <c r="W1714" s="15" t="str">
        <f>_xlfn.TEXTBEFORE(_xlfn.TEXTAFTER(CantoralDB[[#This Row],[index.html]],"&gt;"),"&gt;")&amp;"&gt;"</f>
        <v>&lt;a href="canciones/toño_casado/via_crucis_xii_jesus_muere_en_la_cruz.html"&gt;</v>
      </c>
    </row>
    <row r="1715" spans="1:23" x14ac:dyDescent="0.3">
      <c r="A1715" s="1">
        <f>ROW(CantoralDB[[#This Row],[Título]])-1</f>
        <v>1714</v>
      </c>
      <c r="B1715" s="1" t="s">
        <v>2941</v>
      </c>
      <c r="C1715" s="1"/>
      <c r="H1715" s="1" t="s">
        <v>1027</v>
      </c>
      <c r="J1715" s="1" t="s">
        <v>608</v>
      </c>
      <c r="M1715" s="15" t="s">
        <v>482</v>
      </c>
      <c r="N1715" s="15" t="s">
        <v>2927</v>
      </c>
      <c r="O1715" s="15">
        <v>13</v>
      </c>
      <c r="P1715" s="15" t="str" cm="1">
        <f t="array" ref="P1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5" s="15" t="str" cm="1">
        <f t="array" ref="Q1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canciones/toño_casado/via_crucis_xiii_jesus_bajado_de_la_cruz.html</v>
      </c>
      <c r="S1715" s="1"/>
      <c r="T1715" s="1"/>
      <c r="U1715" s="1"/>
      <c r="V1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href="canciones/toño_casado/via_crucis_xiii_jesus_bajado_de_la_cruz.html"&gt;Via Crucis XIII Jesús bajado de la Cruz&lt;/a&gt;&lt;/li&gt;</v>
      </c>
      <c r="W1715" s="15" t="str">
        <f>_xlfn.TEXTBEFORE(_xlfn.TEXTAFTER(CantoralDB[[#This Row],[index.html]],"&gt;"),"&gt;")&amp;"&gt;"</f>
        <v>&lt;a href="canciones/toño_casado/via_crucis_xiii_jesus_bajado_de_la_cruz.html"&gt;</v>
      </c>
    </row>
    <row r="1716" spans="1:23" x14ac:dyDescent="0.3">
      <c r="A1716" s="1">
        <f>ROW(CantoralDB[[#This Row],[Título]])-1</f>
        <v>1715</v>
      </c>
      <c r="B1716" s="1" t="s">
        <v>2942</v>
      </c>
      <c r="C1716" s="1"/>
      <c r="H1716" s="1" t="s">
        <v>1029</v>
      </c>
      <c r="J1716" s="1" t="s">
        <v>608</v>
      </c>
      <c r="M1716" s="15" t="s">
        <v>482</v>
      </c>
      <c r="N1716" s="15" t="s">
        <v>2927</v>
      </c>
      <c r="O1716" s="15">
        <v>14</v>
      </c>
      <c r="P1716" s="15" t="str" cm="1">
        <f t="array" ref="P1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6" s="15" t="str" cm="1">
        <f t="array" ref="Q1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canciones/toño_casado/via_crucis_xiv_el_cuerpo_de_jesus.html</v>
      </c>
      <c r="S1716" s="1"/>
      <c r="T1716" s="1"/>
      <c r="U1716" s="1"/>
      <c r="V1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href="canciones/toño_casado/via_crucis_xiv_el_cuerpo_de_jesus.html"&gt;Via Crucis XIV El cuerpo de Jesús&lt;/a&gt;&lt;/li&gt;</v>
      </c>
      <c r="W1716" s="15" t="str">
        <f>_xlfn.TEXTBEFORE(_xlfn.TEXTAFTER(CantoralDB[[#This Row],[index.html]],"&gt;"),"&gt;")&amp;"&gt;"</f>
        <v>&lt;a href="canciones/toño_casado/via_crucis_xiv_el_cuerpo_de_jesus.html"&gt;</v>
      </c>
    </row>
    <row r="1717" spans="1:23" x14ac:dyDescent="0.3">
      <c r="A1717" s="1">
        <f>ROW(CantoralDB[[#This Row],[Título]])-1</f>
        <v>1716</v>
      </c>
      <c r="B1717" s="1" t="s">
        <v>2943</v>
      </c>
      <c r="C1717" s="1"/>
      <c r="H1717" s="1" t="s">
        <v>473</v>
      </c>
      <c r="J1717" s="1" t="s">
        <v>608</v>
      </c>
      <c r="M1717" s="15" t="s">
        <v>482</v>
      </c>
      <c r="N1717" s="15" t="s">
        <v>2927</v>
      </c>
      <c r="O1717" s="15">
        <v>15</v>
      </c>
      <c r="P1717" s="15" t="str" cm="1">
        <f t="array" ref="P1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Q1717" s="15" t="str" cm="1">
        <f t="array" ref="Q1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R1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canciones/toño_casado/via_crucis_xv_la_fuerza_de_la_cruz.html</v>
      </c>
      <c r="S1717" s="1"/>
      <c r="T1717" s="1"/>
      <c r="U1717" s="1"/>
      <c r="V1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data-author="Toño Casado"&gt;&lt;a href="canciones/toño_casado/via_crucis_xv_la_fuerza_de_la_cruz.html"&gt;Via Crucis XV La fuerza de la Cruz&lt;/a&gt;&lt;/li&gt;</v>
      </c>
      <c r="W1717" s="15" t="str">
        <f>_xlfn.TEXTBEFORE(_xlfn.TEXTAFTER(CantoralDB[[#This Row],[index.html]],"&gt;"),"&gt;")&amp;"&gt;"</f>
        <v>&lt;a href="canciones/toño_casado/via_crucis_xv_la_fuerza_de_la_cruz.html"&gt;</v>
      </c>
    </row>
    <row r="1718" spans="1:23" x14ac:dyDescent="0.3">
      <c r="A1718" s="1">
        <f>ROW(CantoralDB[[#This Row],[Título]])-1</f>
        <v>1717</v>
      </c>
      <c r="B1718" s="1" t="s">
        <v>639</v>
      </c>
      <c r="C1718" s="1" t="s">
        <v>201</v>
      </c>
      <c r="D1718" s="1" t="s">
        <v>1360</v>
      </c>
      <c r="G1718" s="1" t="s">
        <v>640</v>
      </c>
      <c r="H1718" s="1" t="s">
        <v>531</v>
      </c>
      <c r="J1718" s="1" t="s">
        <v>608</v>
      </c>
      <c r="M1718" s="15" t="s">
        <v>566</v>
      </c>
      <c r="N1718" s="15"/>
      <c r="O1718" s="15"/>
      <c r="P1718" s="15" t="str" cm="1">
        <f t="array" ref="P1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718" s="15" t="str" cm="1">
        <f t="array" ref="Q1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canciones/nsb/a_donde_me_quereis_llevar.html</v>
      </c>
      <c r="S1718" s="1" t="s">
        <v>797</v>
      </c>
      <c r="T1718" s="1"/>
      <c r="U1718" s="14" t="s">
        <v>2972</v>
      </c>
      <c r="V1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data-momento="Antífonas" data-nnew="D02"&gt;&lt;a href="canciones/nsb/a_donde_me_quereis_llevar.html"&gt;A dónde me queréis llevar&lt;/a&gt;&lt;/li&gt;</v>
      </c>
      <c r="W1718" s="15" t="str">
        <f>_xlfn.TEXTBEFORE(_xlfn.TEXTAFTER(CantoralDB[[#This Row],[index.html]],"&gt;"),"&gt;")&amp;"&gt;"</f>
        <v>&lt;a href="canciones/nsb/a_donde_me_quereis_llevar.html"&gt;</v>
      </c>
    </row>
    <row r="1719" spans="1:23" x14ac:dyDescent="0.3">
      <c r="A1719" s="1">
        <f>ROW(CantoralDB[[#This Row],[Título]])-1</f>
        <v>1718</v>
      </c>
      <c r="B1719" s="1" t="s">
        <v>585</v>
      </c>
      <c r="C1719" s="1" t="s">
        <v>201</v>
      </c>
      <c r="D1719" s="1" t="s">
        <v>1380</v>
      </c>
      <c r="G1719" s="1" t="s">
        <v>566</v>
      </c>
      <c r="H1719" s="1" t="s">
        <v>531</v>
      </c>
      <c r="I1719" s="1" t="s">
        <v>2961</v>
      </c>
      <c r="J1719" s="1" t="s">
        <v>608</v>
      </c>
      <c r="M1719" s="15" t="s">
        <v>566</v>
      </c>
      <c r="N1719" s="15"/>
      <c r="O1719" s="15"/>
      <c r="P1719" s="15" t="str" cm="1">
        <f t="array" ref="P1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719" s="15" t="str" cm="1">
        <f t="array" ref="Q1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canciones/nsb/algo_nuevo.html</v>
      </c>
      <c r="S1719" s="1" t="s">
        <v>802</v>
      </c>
      <c r="T1719" s="1"/>
      <c r="U1719" s="1"/>
      <c r="V1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data-momento="Antífonas" data-nnew="D04"&gt;&lt;a href="canciones/nsb/algo_nuevo.html"&gt;Algo nuevo&lt;/a&gt;&lt;/li&gt;</v>
      </c>
      <c r="W1719" s="15" t="str">
        <f>_xlfn.TEXTBEFORE(_xlfn.TEXTAFTER(CantoralDB[[#This Row],[index.html]],"&gt;"),"&gt;")&amp;"&gt;"</f>
        <v>&lt;a href="canciones/nsb/algo_nuevo.html"&gt;</v>
      </c>
    </row>
    <row r="1720" spans="1:23" x14ac:dyDescent="0.3">
      <c r="A1720" s="1">
        <f>ROW(CantoralDB[[#This Row],[Título]])-1</f>
        <v>1719</v>
      </c>
      <c r="B1720" s="1" t="s">
        <v>565</v>
      </c>
      <c r="C1720" s="1" t="s">
        <v>196</v>
      </c>
      <c r="D1720" s="1" t="s">
        <v>781</v>
      </c>
      <c r="G1720" s="1" t="s">
        <v>553</v>
      </c>
      <c r="H1720" s="1" t="s">
        <v>531</v>
      </c>
      <c r="J1720" s="1" t="s">
        <v>608</v>
      </c>
      <c r="M1720" s="15" t="s">
        <v>566</v>
      </c>
      <c r="N1720" s="15"/>
      <c r="O1720" s="15"/>
      <c r="P1720" s="15" t="str" cm="1">
        <f t="array" ref="P1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720" s="15" t="str" cm="1">
        <f t="array" ref="Q1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canciones/nsb/santo_santo_santo.html</v>
      </c>
      <c r="S1720" s="1"/>
      <c r="T1720" s="1"/>
      <c r="U1720" s="1"/>
      <c r="V1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data-author="TSNC" data-momento="Santo" data-nnew="G14"&gt;&lt;a href="canciones/nsb/santo_santo_santo.html"&gt;Santo, Santo, Santo&lt;/a&gt;&lt;/li&gt;</v>
      </c>
      <c r="W1720" s="15" t="str">
        <f>_xlfn.TEXTBEFORE(_xlfn.TEXTAFTER(CantoralDB[[#This Row],[index.html]],"&gt;"),"&gt;")&amp;"&gt;"</f>
        <v>&lt;a href="canciones/nsb/santo_santo_santo.html"&gt;</v>
      </c>
    </row>
    <row r="1721" spans="1:23" x14ac:dyDescent="0.3">
      <c r="A1721" s="1">
        <f>ROW(CantoralDB[[#This Row],[Título]])-1</f>
        <v>1720</v>
      </c>
      <c r="B1721" s="1" t="s">
        <v>2608</v>
      </c>
      <c r="C1721" s="1"/>
      <c r="F1721" s="1">
        <v>216</v>
      </c>
      <c r="J1721" s="1"/>
      <c r="M1721" s="15" t="s">
        <v>2609</v>
      </c>
      <c r="N1721" s="15"/>
      <c r="O1721" s="15"/>
      <c r="P1721" s="15" t="str" cm="1">
        <f t="array" ref="P1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Q1721" s="15" t="str" cm="1">
        <f t="array" ref="Q1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R1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canciones/nuevas/tu_has_sido_fiel.html</v>
      </c>
      <c r="S1721" s="1"/>
      <c r="T1721" s="1"/>
      <c r="U1721" s="1"/>
      <c r="V1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data-author="Twila Paris"&gt;&lt;a href="canciones/nuevas/tu_has_sido_fiel.html"&gt;Tú has sido fiel&lt;/a&gt;&lt;/li&gt;</v>
      </c>
      <c r="W1721" s="15" t="str">
        <f>_xlfn.TEXTBEFORE(_xlfn.TEXTAFTER(CantoralDB[[#This Row],[index.html]],"&gt;"),"&gt;")&amp;"&gt;"</f>
        <v>&lt;a href="canciones/nuevas/tu_has_sido_fiel.html"&gt;</v>
      </c>
    </row>
    <row r="1722" spans="1:23" x14ac:dyDescent="0.3">
      <c r="A1722" s="1">
        <f>ROW(CantoralDB[[#This Row],[Título]])-1</f>
        <v>1721</v>
      </c>
      <c r="B1722" s="1" t="s">
        <v>1287</v>
      </c>
      <c r="C1722" s="1"/>
      <c r="E1722" s="1">
        <v>177</v>
      </c>
      <c r="J1722" s="1"/>
      <c r="M1722" s="15" t="s">
        <v>2883</v>
      </c>
      <c r="N1722" s="15"/>
      <c r="O1722" s="15"/>
      <c r="P1722" s="15" t="str" cm="1">
        <f t="array" ref="P1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722" s="15" t="str" cm="1">
        <f t="array" ref="Q1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canciones/nsb/navidad_es_amar_romper_toda_frontera.html</v>
      </c>
      <c r="S1722" s="1"/>
      <c r="T1722" s="1"/>
      <c r="U1722" s="1"/>
      <c r="V1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data-author="Valentín Elizalde" data-nold="177"&gt;&lt;a href="canciones/nsb/navidad_es_amar_romper_toda_frontera.html"&gt;Navidad es amar, romper toda frontera&lt;/a&gt;&lt;/li&gt;</v>
      </c>
      <c r="W1722" s="15" t="str">
        <f>_xlfn.TEXTBEFORE(_xlfn.TEXTAFTER(CantoralDB[[#This Row],[index.html]],"&gt;"),"&gt;")&amp;"&gt;"</f>
        <v>&lt;a href="canciones/nsb/navidad_es_amar_romper_toda_frontera.html"&gt;</v>
      </c>
    </row>
    <row r="1723" spans="1:23" x14ac:dyDescent="0.3">
      <c r="A1723" s="1">
        <f>ROW(CantoralDB[[#This Row],[Título]])-1</f>
        <v>1722</v>
      </c>
      <c r="B1723" s="1" t="s">
        <v>1311</v>
      </c>
      <c r="C1723" s="1"/>
      <c r="E1723" s="1">
        <v>224</v>
      </c>
      <c r="J1723" s="1"/>
      <c r="M1723" s="15" t="s">
        <v>2099</v>
      </c>
      <c r="N1723" s="15"/>
      <c r="O1723" s="15"/>
      <c r="P1723" s="15" t="str" cm="1">
        <f t="array" ref="P1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723" s="15" t="str" cm="1">
        <f t="array" ref="Q1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canciones/nsb/que_facil_es_decir_si.html</v>
      </c>
      <c r="S1723" s="1"/>
      <c r="T1723" s="1"/>
      <c r="U1723" s="1"/>
      <c r="V1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data-author="Valmaseda" data-nold="224"&gt;&lt;a href="canciones/nsb/que_facil_es_decir_si.html"&gt;Qué fácil es decir sí&lt;/a&gt;&lt;/li&gt;</v>
      </c>
      <c r="W1723" s="15" t="str">
        <f>_xlfn.TEXTBEFORE(_xlfn.TEXTAFTER(CantoralDB[[#This Row],[index.html]],"&gt;"),"&gt;")&amp;"&gt;"</f>
        <v>&lt;a href="canciones/nsb/que_facil_es_decir_si.html"&gt;</v>
      </c>
    </row>
    <row r="1724" spans="1:23" x14ac:dyDescent="0.3">
      <c r="A1724" s="1">
        <f>ROW(CantoralDB[[#This Row],[Título]])-1</f>
        <v>1723</v>
      </c>
      <c r="B1724" s="1" t="s">
        <v>1330</v>
      </c>
      <c r="C1724" s="1"/>
      <c r="E1724" s="1">
        <v>253</v>
      </c>
      <c r="J1724" s="1"/>
      <c r="M1724" s="15" t="s">
        <v>2099</v>
      </c>
      <c r="N1724" s="15"/>
      <c r="O1724" s="15"/>
      <c r="P1724" s="15" t="str" cm="1">
        <f t="array" ref="P1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724" s="15" t="str" cm="1">
        <f t="array" ref="Q1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canciones/nsb/tiendeme_tu_mano.html</v>
      </c>
      <c r="S1724" s="1"/>
      <c r="T1724" s="1"/>
      <c r="U1724" s="1"/>
      <c r="V1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data-author="Valmaseda" data-nold="253"&gt;&lt;a href="canciones/nsb/tiendeme_tu_mano.html"&gt;Tiéndeme tu mano&lt;/a&gt;&lt;/li&gt;</v>
      </c>
      <c r="W1724" s="15" t="str">
        <f>_xlfn.TEXTBEFORE(_xlfn.TEXTAFTER(CantoralDB[[#This Row],[index.html]],"&gt;"),"&gt;")&amp;"&gt;"</f>
        <v>&lt;a href="canciones/nsb/tiendeme_tu_mano.html"&gt;</v>
      </c>
    </row>
    <row r="1725" spans="1:23" x14ac:dyDescent="0.3">
      <c r="A1725" s="1">
        <f>ROW(CantoralDB[[#This Row],[Título]])-1</f>
        <v>1724</v>
      </c>
      <c r="B1725" s="1" t="s">
        <v>546</v>
      </c>
      <c r="C1725" s="1" t="s">
        <v>476</v>
      </c>
      <c r="D1725" s="1" t="s">
        <v>1394</v>
      </c>
      <c r="E1725" s="1">
        <v>40</v>
      </c>
      <c r="H1725" s="1" t="s">
        <v>531</v>
      </c>
      <c r="J1725" s="1" t="s">
        <v>608</v>
      </c>
      <c r="M1725" s="15" t="s">
        <v>2139</v>
      </c>
      <c r="N1725" s="15"/>
      <c r="O1725" s="15"/>
      <c r="P1725" s="15" t="str" cm="1">
        <f t="array" ref="P1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25" s="15" t="str" cm="1">
        <f t="array" ref="Q1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canciones/villancicos/campana_sobre_campana.html</v>
      </c>
      <c r="S1725" s="1"/>
      <c r="T1725" s="1"/>
      <c r="U1725" s="1"/>
      <c r="V1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data-nnew="O04" data-nold="40"&gt;&lt;a href="canciones/villancicos/campana_sobre_campana.html"&gt;Campana sobre campana&lt;/a&gt;&lt;/li&gt;</v>
      </c>
      <c r="W1725" s="15" t="str">
        <f>_xlfn.TEXTBEFORE(_xlfn.TEXTAFTER(CantoralDB[[#This Row],[index.html]],"&gt;"),"&gt;")&amp;"&gt;"</f>
        <v>&lt;a href="canciones/villancicos/campana_sobre_campana.html"&gt;</v>
      </c>
    </row>
    <row r="1726" spans="1:23" x14ac:dyDescent="0.3">
      <c r="A1726" s="1">
        <f>ROW(CantoralDB[[#This Row],[Título]])-1</f>
        <v>1725</v>
      </c>
      <c r="B1726" s="1" t="s">
        <v>1198</v>
      </c>
      <c r="C1726" s="1"/>
      <c r="E1726" s="1">
        <v>72</v>
      </c>
      <c r="H1726" s="1" t="s">
        <v>1030</v>
      </c>
      <c r="J1726" s="1" t="s">
        <v>608</v>
      </c>
      <c r="M1726" s="15" t="s">
        <v>2139</v>
      </c>
      <c r="N1726" s="15"/>
      <c r="O1726" s="15"/>
      <c r="P1726" s="15" t="str" cm="1">
        <f t="array" ref="P1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26" s="15" t="str" cm="1">
        <f t="array" ref="Q1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canciones/villancicos/danos_paz.html</v>
      </c>
      <c r="S1726" s="1"/>
      <c r="T1726" s="1"/>
      <c r="U1726" s="1"/>
      <c r="V1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data-nold="72"&gt;&lt;a href="canciones/villancicos/danos_paz.html"&gt;Danos paz&lt;/a&gt;&lt;/li&gt;</v>
      </c>
      <c r="W1726" s="15" t="str">
        <f>_xlfn.TEXTBEFORE(_xlfn.TEXTAFTER(CantoralDB[[#This Row],[index.html]],"&gt;"),"&gt;")&amp;"&gt;"</f>
        <v>&lt;a href="canciones/villancicos/danos_paz.html"&gt;</v>
      </c>
    </row>
    <row r="1727" spans="1:23" x14ac:dyDescent="0.3">
      <c r="A1727" s="1">
        <f>ROW(CantoralDB[[#This Row],[Título]])-1</f>
        <v>1726</v>
      </c>
      <c r="B1727" s="1" t="s">
        <v>548</v>
      </c>
      <c r="C1727" s="1" t="s">
        <v>476</v>
      </c>
      <c r="D1727" s="1" t="s">
        <v>1409</v>
      </c>
      <c r="E1727" s="1">
        <v>86</v>
      </c>
      <c r="H1727" s="1" t="s">
        <v>1030</v>
      </c>
      <c r="J1727" s="1" t="s">
        <v>608</v>
      </c>
      <c r="M1727" s="15" t="s">
        <v>2139</v>
      </c>
      <c r="N1727" s="15"/>
      <c r="O1727" s="15"/>
      <c r="P1727" s="15" t="str" cm="1">
        <f t="array" ref="P1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27" s="15" t="str" cm="1">
        <f t="array" ref="Q1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canciones/villancicos/dime_niño.html</v>
      </c>
      <c r="S1727" s="1"/>
      <c r="T1727" s="1"/>
      <c r="U1727" s="1"/>
      <c r="V1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data-nnew="O06" data-nold="86"&gt;&lt;a href="canciones/villancicos/dime_niño.html"&gt;Dime, niño&lt;/a&gt;&lt;/li&gt;</v>
      </c>
      <c r="W1727" s="15" t="str">
        <f>_xlfn.TEXTBEFORE(_xlfn.TEXTAFTER(CantoralDB[[#This Row],[index.html]],"&gt;"),"&gt;")&amp;"&gt;"</f>
        <v>&lt;a href="canciones/villancicos/dime_niño.html"&gt;</v>
      </c>
    </row>
    <row r="1728" spans="1:23" x14ac:dyDescent="0.3">
      <c r="A1728" s="1">
        <f>ROW(CantoralDB[[#This Row],[Título]])-1</f>
        <v>1727</v>
      </c>
      <c r="B1728" s="1" t="s">
        <v>55</v>
      </c>
      <c r="C1728" s="1" t="s">
        <v>476</v>
      </c>
      <c r="D1728" s="1" t="s">
        <v>1416</v>
      </c>
      <c r="E1728" s="1">
        <v>104</v>
      </c>
      <c r="G1728" s="1" t="s">
        <v>209</v>
      </c>
      <c r="H1728" s="1" t="s">
        <v>531</v>
      </c>
      <c r="J1728" s="1" t="s">
        <v>608</v>
      </c>
      <c r="M1728" s="15" t="s">
        <v>2139</v>
      </c>
      <c r="N1728" s="15"/>
      <c r="O1728" s="15"/>
      <c r="P1728" s="15" t="str" cm="1">
        <f t="array" ref="P1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28" s="15" t="str" cm="1">
        <f t="array" ref="Q1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canciones/villancicos/el_tamborilero.html</v>
      </c>
      <c r="S1728" s="1"/>
      <c r="T1728" s="1"/>
      <c r="U1728" s="1"/>
      <c r="V1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data-nnew="O09" data-nold="104"&gt;&lt;a href="canciones/villancicos/el_tamborilero.html"&gt;El tamborilero&lt;/a&gt;&lt;/li&gt;</v>
      </c>
      <c r="W1728" s="15" t="str">
        <f>_xlfn.TEXTBEFORE(_xlfn.TEXTAFTER(CantoralDB[[#This Row],[index.html]],"&gt;"),"&gt;")&amp;"&gt;"</f>
        <v>&lt;a href="canciones/villancicos/el_tamborilero.html"&gt;</v>
      </c>
    </row>
    <row r="1729" spans="1:23" x14ac:dyDescent="0.3">
      <c r="A1729" s="1">
        <f>ROW(CantoralDB[[#This Row],[Título]])-1</f>
        <v>1728</v>
      </c>
      <c r="B1729" s="1" t="s">
        <v>1282</v>
      </c>
      <c r="C1729" s="1"/>
      <c r="E1729" s="1">
        <v>170</v>
      </c>
      <c r="H1729" s="1" t="s">
        <v>473</v>
      </c>
      <c r="J1729" s="1" t="s">
        <v>608</v>
      </c>
      <c r="M1729" s="15" t="s">
        <v>2139</v>
      </c>
      <c r="N1729" s="15"/>
      <c r="O1729" s="15"/>
      <c r="P1729" s="15" t="str" cm="1">
        <f t="array" ref="P1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29" s="15" t="str" cm="1">
        <f t="array" ref="Q1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canciones/villancicos/noche_de_dios.html</v>
      </c>
      <c r="S1729" s="1"/>
      <c r="T1729" s="1"/>
      <c r="U1729" s="1"/>
      <c r="V1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data-nold="170"&gt;&lt;a href="canciones/villancicos/noche_de_dios.html"&gt;Noche de Dios&lt;/a&gt;&lt;/li&gt;</v>
      </c>
      <c r="W1729" s="15" t="str">
        <f>_xlfn.TEXTBEFORE(_xlfn.TEXTAFTER(CantoralDB[[#This Row],[index.html]],"&gt;"),"&gt;")&amp;"&gt;"</f>
        <v>&lt;a href="canciones/villancicos/noche_de_dios.html"&gt;</v>
      </c>
    </row>
    <row r="1730" spans="1:23" x14ac:dyDescent="0.3">
      <c r="A1730" s="1">
        <f>ROW(CantoralDB[[#This Row],[Título]])-1</f>
        <v>1729</v>
      </c>
      <c r="B1730" s="1" t="s">
        <v>1346</v>
      </c>
      <c r="C1730" s="1" t="s">
        <v>476</v>
      </c>
      <c r="D1730" s="1" t="s">
        <v>1067</v>
      </c>
      <c r="E1730" s="1" t="s">
        <v>2954</v>
      </c>
      <c r="H1730" s="1" t="s">
        <v>531</v>
      </c>
      <c r="J1730" s="1" t="s">
        <v>608</v>
      </c>
      <c r="M1730" s="15" t="s">
        <v>2139</v>
      </c>
      <c r="N1730" s="15"/>
      <c r="O1730" s="15"/>
      <c r="P1730" s="15" t="str" cm="1">
        <f t="array" ref="P1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0" s="15" t="str" cm="1">
        <f t="array" ref="Q1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canciones/villancicos/venid_fieles_todos_(adeste_fideles).html</v>
      </c>
      <c r="S1730" s="1"/>
      <c r="T1730" s="1"/>
      <c r="U1730" s="1"/>
      <c r="V1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data-nnew="O19" data-nold="17 y 289"&gt;&lt;a href="canciones/villancicos/venid_fieles_todos_(adeste_fideles).html"&gt;Venid, fieles todos (adeste fideles)&lt;/a&gt;&lt;/li&gt;</v>
      </c>
      <c r="W1730" s="15" t="str">
        <f>_xlfn.TEXTBEFORE(_xlfn.TEXTAFTER(CantoralDB[[#This Row],[index.html]],"&gt;"),"&gt;")&amp;"&gt;"</f>
        <v>&lt;a href="canciones/villancicos/venid_fieles_todos_(adeste_fideles).html"&gt;</v>
      </c>
    </row>
    <row r="1731" spans="1:23" x14ac:dyDescent="0.3">
      <c r="A1731" s="1">
        <f>ROW(CantoralDB[[#This Row],[Título]])-1</f>
        <v>1730</v>
      </c>
      <c r="B1731" s="1" t="s">
        <v>2185</v>
      </c>
      <c r="C1731" s="1"/>
      <c r="H1731" s="1" t="s">
        <v>531</v>
      </c>
      <c r="J1731" s="1" t="s">
        <v>608</v>
      </c>
      <c r="M1731" s="15" t="s">
        <v>2139</v>
      </c>
      <c r="N1731" s="15"/>
      <c r="O1731" s="15"/>
      <c r="P1731" s="15" t="str" cm="1">
        <f t="array" ref="P1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1" s="15" t="str" cm="1">
        <f t="array" ref="Q1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canciones/villancicos/arre_borriquito.html</v>
      </c>
      <c r="S1731" s="1"/>
      <c r="T1731" s="1"/>
      <c r="U1731" s="1"/>
      <c r="V1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href="canciones/villancicos/arre_borriquito.html"&gt;Arre, borriquito&lt;/a&gt;&lt;/li&gt;</v>
      </c>
      <c r="W1731" s="15" t="str">
        <f>_xlfn.TEXTBEFORE(_xlfn.TEXTAFTER(CantoralDB[[#This Row],[index.html]],"&gt;"),"&gt;")&amp;"&gt;"</f>
        <v>&lt;a href="canciones/villancicos/arre_borriquito.html"&gt;</v>
      </c>
    </row>
    <row r="1732" spans="1:23" x14ac:dyDescent="0.3">
      <c r="A1732" s="1">
        <f>ROW(CantoralDB[[#This Row],[Título]])-1</f>
        <v>1731</v>
      </c>
      <c r="B1732" s="1" t="s">
        <v>2187</v>
      </c>
      <c r="C1732" s="1"/>
      <c r="H1732" s="1" t="s">
        <v>531</v>
      </c>
      <c r="J1732" s="1" t="s">
        <v>608</v>
      </c>
      <c r="M1732" s="15" t="s">
        <v>2139</v>
      </c>
      <c r="N1732" s="15"/>
      <c r="O1732" s="15"/>
      <c r="P1732" s="15" t="str" cm="1">
        <f t="array" ref="P1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2" s="15" t="str" cm="1">
        <f t="array" ref="Q1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canciones/villancicos/la_marimorena.html</v>
      </c>
      <c r="S1732" s="1"/>
      <c r="T1732" s="1"/>
      <c r="U1732" s="1"/>
      <c r="V1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href="canciones/villancicos/la_marimorena.html"&gt;La marimorena&lt;/a&gt;&lt;/li&gt;</v>
      </c>
      <c r="W1732" s="15" t="str">
        <f>_xlfn.TEXTBEFORE(_xlfn.TEXTAFTER(CantoralDB[[#This Row],[index.html]],"&gt;"),"&gt;")&amp;"&gt;"</f>
        <v>&lt;a href="canciones/villancicos/la_marimorena.html"&gt;</v>
      </c>
    </row>
    <row r="1733" spans="1:23" x14ac:dyDescent="0.3">
      <c r="A1733" s="1">
        <f>ROW(CantoralDB[[#This Row],[Título]])-1</f>
        <v>1732</v>
      </c>
      <c r="B1733" s="1" t="s">
        <v>1656</v>
      </c>
      <c r="C1733" s="15"/>
      <c r="H1733" s="1" t="s">
        <v>531</v>
      </c>
      <c r="J1733" s="1" t="s">
        <v>608</v>
      </c>
      <c r="M1733" s="15" t="s">
        <v>2139</v>
      </c>
      <c r="N1733" s="15"/>
      <c r="O1733" s="15"/>
      <c r="P1733" s="15" t="str" cm="1">
        <f t="array" ref="P1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3" s="15" t="str" cm="1">
        <f t="array" ref="Q1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canciones/villancicos/la_mula.html</v>
      </c>
      <c r="S1733" s="1"/>
      <c r="T1733" s="1"/>
      <c r="U1733" s="1"/>
      <c r="V1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href="canciones/villancicos/la_mula.html"&gt;La mula&lt;/a&gt;&lt;/li&gt;</v>
      </c>
      <c r="W1733" s="15" t="str">
        <f>_xlfn.TEXTBEFORE(_xlfn.TEXTAFTER(CantoralDB[[#This Row],[index.html]],"&gt;"),"&gt;")&amp;"&gt;"</f>
        <v>&lt;a href="canciones/villancicos/la_mula.html"&gt;</v>
      </c>
    </row>
    <row r="1734" spans="1:23" x14ac:dyDescent="0.3">
      <c r="A1734" s="1">
        <f>ROW(CantoralDB[[#This Row],[Título]])-1</f>
        <v>1733</v>
      </c>
      <c r="B1734" s="1" t="s">
        <v>2188</v>
      </c>
      <c r="C1734" s="1"/>
      <c r="H1734" s="1" t="s">
        <v>531</v>
      </c>
      <c r="J1734" s="1" t="s">
        <v>608</v>
      </c>
      <c r="M1734" s="15" t="s">
        <v>2139</v>
      </c>
      <c r="N1734" s="15"/>
      <c r="O1734" s="15"/>
      <c r="P1734" s="15" t="str" cm="1">
        <f t="array" ref="P1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4" s="15" t="str" cm="1">
        <f t="array" ref="Q1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canciones/villancicos/los_peces_en_el_rio.html</v>
      </c>
      <c r="S1734" s="1"/>
      <c r="T1734" s="1"/>
      <c r="U1734" s="1"/>
      <c r="V1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href="canciones/villancicos/los_peces_en_el_rio.html"&gt;Los peces en el río&lt;/a&gt;&lt;/li&gt;</v>
      </c>
      <c r="W1734" s="15" t="str">
        <f>_xlfn.TEXTBEFORE(_xlfn.TEXTAFTER(CantoralDB[[#This Row],[index.html]],"&gt;"),"&gt;")&amp;"&gt;"</f>
        <v>&lt;a href="canciones/villancicos/los_peces_en_el_rio.html"&gt;</v>
      </c>
    </row>
    <row r="1735" spans="1:23" x14ac:dyDescent="0.3">
      <c r="A1735" s="1">
        <f>ROW(CantoralDB[[#This Row],[Título]])-1</f>
        <v>1734</v>
      </c>
      <c r="B1735" s="1" t="s">
        <v>190</v>
      </c>
      <c r="C1735" s="1" t="s">
        <v>476</v>
      </c>
      <c r="D1735" s="1" t="s">
        <v>1069</v>
      </c>
      <c r="G1735" s="1" t="s">
        <v>209</v>
      </c>
      <c r="H1735" s="1" t="s">
        <v>1028</v>
      </c>
      <c r="J1735" s="1" t="s">
        <v>608</v>
      </c>
      <c r="M1735" s="15" t="s">
        <v>2139</v>
      </c>
      <c r="N1735" s="15"/>
      <c r="O1735" s="15"/>
      <c r="P1735" s="15" t="str" cm="1">
        <f t="array" ref="P1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5" s="15" t="str" cm="1">
        <f t="array" ref="Q1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canciones/villancicos/ya_vienen_los_reyes_magos.html</v>
      </c>
      <c r="S1735" s="1"/>
      <c r="T1735" s="1"/>
      <c r="U1735" s="1"/>
      <c r="V1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data-nnew="O20"&gt;&lt;a href="canciones/villancicos/ya_vienen_los_reyes_magos.html"&gt;Ya vienen los Reyes Magos&lt;/a&gt;&lt;/li&gt;</v>
      </c>
      <c r="W1735" s="15" t="str">
        <f>_xlfn.TEXTBEFORE(_xlfn.TEXTAFTER(CantoralDB[[#This Row],[index.html]],"&gt;"),"&gt;")&amp;"&gt;"</f>
        <v>&lt;a href="canciones/villancicos/ya_vienen_los_reyes_magos.html"&gt;</v>
      </c>
    </row>
    <row r="1736" spans="1:23" x14ac:dyDescent="0.3">
      <c r="A1736" s="1">
        <f>ROW(CantoralDB[[#This Row],[Título]])-1</f>
        <v>1735</v>
      </c>
      <c r="B1736" s="1" t="s">
        <v>545</v>
      </c>
      <c r="C1736" s="1" t="s">
        <v>476</v>
      </c>
      <c r="D1736" s="1" t="s">
        <v>1370</v>
      </c>
      <c r="H1736" s="1" t="s">
        <v>473</v>
      </c>
      <c r="J1736" s="1" t="s">
        <v>608</v>
      </c>
      <c r="M1736" s="15" t="s">
        <v>2139</v>
      </c>
      <c r="N1736" s="15"/>
      <c r="O1736" s="15"/>
      <c r="P1736" s="15" t="str" cm="1">
        <f t="array" ref="P1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6" s="15" t="str" cm="1">
        <f t="array" ref="Q1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canciones/villancicos/alegria_alegria_alegria.html</v>
      </c>
      <c r="S1736" s="1"/>
      <c r="T1736" s="1"/>
      <c r="U1736" s="1"/>
      <c r="V1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data-nnew="O02"&gt;&lt;a href="canciones/villancicos/alegria_alegria_alegria.html"&gt;Alegría, alegría, alegría&lt;/a&gt;&lt;/li&gt;</v>
      </c>
      <c r="W1736" s="15" t="str">
        <f>_xlfn.TEXTBEFORE(_xlfn.TEXTAFTER(CantoralDB[[#This Row],[index.html]],"&gt;"),"&gt;")&amp;"&gt;"</f>
        <v>&lt;a href="canciones/villancicos/alegria_alegria_alegria.html"&gt;</v>
      </c>
    </row>
    <row r="1737" spans="1:23" x14ac:dyDescent="0.3">
      <c r="A1737" s="1">
        <f>ROW(CantoralDB[[#This Row],[Título]])-1</f>
        <v>1736</v>
      </c>
      <c r="B1737" s="1" t="s">
        <v>790</v>
      </c>
      <c r="C1737" s="1" t="s">
        <v>476</v>
      </c>
      <c r="D1737" s="1" t="s">
        <v>1064</v>
      </c>
      <c r="H1737" s="1" t="s">
        <v>473</v>
      </c>
      <c r="J1737" s="1" t="s">
        <v>608</v>
      </c>
      <c r="M1737" s="15" t="s">
        <v>2139</v>
      </c>
      <c r="N1737" s="15"/>
      <c r="O1737" s="15"/>
      <c r="P1737" s="15" t="str" cm="1">
        <f t="array" ref="P1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7" s="15" t="str" cm="1">
        <f t="array" ref="Q1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canciones/villancicos/noche_de_paz.html</v>
      </c>
      <c r="S1737" s="1"/>
      <c r="T1737" s="1"/>
      <c r="U1737" s="1"/>
      <c r="V1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data-nnew="O15"&gt;&lt;a href="canciones/villancicos/noche_de_paz.html"&gt;Noche de paz&lt;/a&gt;&lt;/li&gt;</v>
      </c>
      <c r="W1737" s="15" t="str">
        <f>_xlfn.TEXTBEFORE(_xlfn.TEXTAFTER(CantoralDB[[#This Row],[index.html]],"&gt;"),"&gt;")&amp;"&gt;"</f>
        <v>&lt;a href="canciones/villancicos/noche_de_paz.html"&gt;</v>
      </c>
    </row>
    <row r="1738" spans="1:23" x14ac:dyDescent="0.3">
      <c r="A1738" s="1">
        <f>ROW(CantoralDB[[#This Row],[Título]])-1</f>
        <v>1737</v>
      </c>
      <c r="B1738" s="1" t="s">
        <v>547</v>
      </c>
      <c r="C1738" s="1" t="s">
        <v>476</v>
      </c>
      <c r="D1738" s="1" t="s">
        <v>1388</v>
      </c>
      <c r="H1738" s="1" t="s">
        <v>1029</v>
      </c>
      <c r="J1738" s="1" t="s">
        <v>608</v>
      </c>
      <c r="M1738" s="15" t="s">
        <v>2139</v>
      </c>
      <c r="N1738" s="15"/>
      <c r="O1738" s="15"/>
      <c r="P1738" s="15" t="str" cm="1">
        <f t="array" ref="P1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8" s="15" t="str" cm="1">
        <f t="array" ref="Q1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canciones/villancicos/ay_del_chiquirritin.html</v>
      </c>
      <c r="S1738" s="1"/>
      <c r="T1738" s="1"/>
      <c r="U1738" s="1"/>
      <c r="V1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data-nnew="O03"&gt;&lt;a href="canciones/villancicos/ay_del_chiquirritin.html"&gt;Ay, del chiquirritín&lt;/a&gt;&lt;/li&gt;</v>
      </c>
      <c r="W1738" s="15" t="str">
        <f>_xlfn.TEXTBEFORE(_xlfn.TEXTAFTER(CantoralDB[[#This Row],[index.html]],"&gt;"),"&gt;")&amp;"&gt;"</f>
        <v>&lt;a href="canciones/villancicos/ay_del_chiquirritin.html"&gt;</v>
      </c>
    </row>
    <row r="1739" spans="1:23" x14ac:dyDescent="0.3">
      <c r="A1739" s="1">
        <f>ROW(CantoralDB[[#This Row],[Título]])-1</f>
        <v>1738</v>
      </c>
      <c r="B1739" s="1" t="s">
        <v>252</v>
      </c>
      <c r="C1739" s="1" t="s">
        <v>476</v>
      </c>
      <c r="D1739" s="1" t="s">
        <v>1061</v>
      </c>
      <c r="G1739" s="1" t="s">
        <v>248</v>
      </c>
      <c r="H1739" s="1" t="s">
        <v>1027</v>
      </c>
      <c r="J1739" s="1" t="s">
        <v>608</v>
      </c>
      <c r="M1739" s="15" t="s">
        <v>2139</v>
      </c>
      <c r="N1739" s="15"/>
      <c r="O1739" s="15"/>
      <c r="P1739" s="15" t="str" cm="1">
        <f t="array" ref="P1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39" s="15" t="str" cm="1">
        <f t="array" ref="Q1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canciones/villancicos/nace_el_niño_en_un_portal.html</v>
      </c>
      <c r="S1739" s="1"/>
      <c r="T1739" s="1"/>
      <c r="U1739" s="1"/>
      <c r="V1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data-nnew="O12"&gt;&lt;a href="canciones/villancicos/nace_el_niño_en_un_portal.html"&gt;Nace el niño en un portal&lt;/a&gt;&lt;/li&gt;</v>
      </c>
      <c r="W1739" s="15" t="str">
        <f>_xlfn.TEXTBEFORE(_xlfn.TEXTAFTER(CantoralDB[[#This Row],[index.html]],"&gt;"),"&gt;")&amp;"&gt;"</f>
        <v>&lt;a href="canciones/villancicos/nace_el_niño_en_un_portal.html"&gt;</v>
      </c>
    </row>
    <row r="1740" spans="1:23" x14ac:dyDescent="0.3">
      <c r="A1740" s="1">
        <f>ROW(CantoralDB[[#This Row],[Título]])-1</f>
        <v>1739</v>
      </c>
      <c r="B1740" s="1" t="s">
        <v>253</v>
      </c>
      <c r="C1740" s="1" t="s">
        <v>476</v>
      </c>
      <c r="D1740" s="1" t="s">
        <v>1065</v>
      </c>
      <c r="G1740" s="1" t="s">
        <v>248</v>
      </c>
      <c r="H1740" s="1" t="s">
        <v>1027</v>
      </c>
      <c r="J1740" s="1" t="s">
        <v>608</v>
      </c>
      <c r="M1740" s="15" t="s">
        <v>2139</v>
      </c>
      <c r="N1740" s="15"/>
      <c r="O1740" s="15"/>
      <c r="P1740" s="15" t="str" cm="1">
        <f t="array" ref="P1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40" s="15" t="str" cm="1">
        <f t="array" ref="Q1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canciones/villancicos/nunca_suenan_las_campanas.html</v>
      </c>
      <c r="S1740" s="1"/>
      <c r="T1740" s="1"/>
      <c r="U1740" s="1"/>
      <c r="V1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data-nnew="O16"&gt;&lt;a href="canciones/villancicos/nunca_suenan_las_campanas.html"&gt;Nunca suenan las campanas&lt;/a&gt;&lt;/li&gt;</v>
      </c>
      <c r="W1740" s="15" t="str">
        <f>_xlfn.TEXTBEFORE(_xlfn.TEXTAFTER(CantoralDB[[#This Row],[index.html]],"&gt;"),"&gt;")&amp;"&gt;"</f>
        <v>&lt;a href="canciones/villancicos/nunca_suenan_las_campanas.html"&gt;</v>
      </c>
    </row>
    <row r="1741" spans="1:23" x14ac:dyDescent="0.3">
      <c r="A1741" s="1">
        <f>ROW(CantoralDB[[#This Row],[Título]])-1</f>
        <v>1740</v>
      </c>
      <c r="B1741" s="1" t="s">
        <v>185</v>
      </c>
      <c r="C1741" s="1" t="s">
        <v>476</v>
      </c>
      <c r="D1741" s="1" t="s">
        <v>1066</v>
      </c>
      <c r="G1741" s="1" t="s">
        <v>209</v>
      </c>
      <c r="H1741" s="1" t="s">
        <v>1028</v>
      </c>
      <c r="J1741" s="1" t="s">
        <v>608</v>
      </c>
      <c r="M1741" s="15" t="s">
        <v>2139</v>
      </c>
      <c r="N1741" s="15"/>
      <c r="O1741" s="15"/>
      <c r="P1741" s="15" t="str" cm="1">
        <f t="array" ref="P1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41" s="15" t="str" cm="1">
        <f t="array" ref="Q1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canciones/villancicos/pastores_venid.html</v>
      </c>
      <c r="S1741" s="1"/>
      <c r="T1741" s="1"/>
      <c r="U1741" s="1"/>
      <c r="V1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data-nnew="O17"&gt;&lt;a href="canciones/villancicos/pastores_venid.html"&gt;Pastores, venid&lt;/a&gt;&lt;/li&gt;</v>
      </c>
      <c r="W1741" s="15" t="str">
        <f>_xlfn.TEXTBEFORE(_xlfn.TEXTAFTER(CantoralDB[[#This Row],[index.html]],"&gt;"),"&gt;")&amp;"&gt;"</f>
        <v>&lt;a href="canciones/villancicos/pastores_venid.html"&gt;</v>
      </c>
    </row>
    <row r="1742" spans="1:23" x14ac:dyDescent="0.3">
      <c r="A1742" s="1">
        <f>ROW(CantoralDB[[#This Row],[Título]])-1</f>
        <v>1741</v>
      </c>
      <c r="B1742" s="1" t="s">
        <v>2186</v>
      </c>
      <c r="C1742" s="1"/>
      <c r="H1742" s="1" t="s">
        <v>1030</v>
      </c>
      <c r="J1742" s="1" t="s">
        <v>608</v>
      </c>
      <c r="M1742" s="15" t="s">
        <v>2139</v>
      </c>
      <c r="N1742" s="15"/>
      <c r="O1742" s="15"/>
      <c r="P1742" s="15" t="str" cm="1">
        <f t="array" ref="P1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42" s="15" t="str" cm="1">
        <f t="array" ref="Q1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canciones/villancicos/hacia_belen_va_una_burra.html</v>
      </c>
      <c r="S1742" s="1"/>
      <c r="T1742" s="1"/>
      <c r="U1742" s="1"/>
      <c r="V1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data-author="Villancicos"&gt;&lt;a href="canciones/villancicos/hacia_belen_va_una_burra.html"&gt;Hacia Belén va una burra&lt;/a&gt;&lt;/li&gt;</v>
      </c>
      <c r="W1742" s="15" t="str">
        <f>_xlfn.TEXTBEFORE(_xlfn.TEXTAFTER(CantoralDB[[#This Row],[index.html]],"&gt;"),"&gt;")&amp;"&gt;"</f>
        <v>&lt;a href="canciones/villancicos/hacia_belen_va_una_burra.html"&gt;</v>
      </c>
    </row>
    <row r="1743" spans="1:23" x14ac:dyDescent="0.3">
      <c r="A1743" s="1">
        <f>ROW(CantoralDB[[#This Row],[Título]])-1</f>
        <v>1742</v>
      </c>
      <c r="B1743" s="1" t="s">
        <v>789</v>
      </c>
      <c r="C1743" s="1" t="s">
        <v>476</v>
      </c>
      <c r="D1743" s="1" t="s">
        <v>1059</v>
      </c>
      <c r="H1743" s="1" t="s">
        <v>1030</v>
      </c>
      <c r="J1743" s="1" t="s">
        <v>608</v>
      </c>
      <c r="M1743" s="15" t="s">
        <v>2139</v>
      </c>
      <c r="N1743" s="15"/>
      <c r="O1743" s="15"/>
      <c r="P1743" s="15" t="str" cm="1">
        <f t="array" ref="P1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Q1743" s="15" t="str" cm="1">
        <f t="array" ref="Q1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R1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canciones/villancicos/hoy_en_la_tierra.html</v>
      </c>
      <c r="S1743" s="1"/>
      <c r="T1743" s="1"/>
      <c r="U1743" s="1"/>
      <c r="V1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data-author="Villancicos" data-momento="Navidad" data-nnew="O10"&gt;&lt;a href="canciones/villancicos/hoy_en_la_tierra.html"&gt;Hoy en la tierra&lt;/a&gt;&lt;/li&gt;</v>
      </c>
      <c r="W1743" s="15" t="str">
        <f>_xlfn.TEXTBEFORE(_xlfn.TEXTAFTER(CantoralDB[[#This Row],[index.html]],"&gt;"),"&gt;")&amp;"&gt;"</f>
        <v>&lt;a href="canciones/villancicos/hoy_en_la_tierra.html"&gt;</v>
      </c>
    </row>
    <row r="1744" spans="1:23" x14ac:dyDescent="0.3">
      <c r="A1744" s="1">
        <f>ROW(CantoralDB[[#This Row],[Título]])-1</f>
        <v>1743</v>
      </c>
      <c r="B1744" s="1" t="s">
        <v>1216</v>
      </c>
      <c r="C1744" s="1"/>
      <c r="E1744" s="1">
        <v>97</v>
      </c>
      <c r="J1744" s="1"/>
      <c r="M1744" s="15" t="s">
        <v>2091</v>
      </c>
      <c r="N1744" s="15"/>
      <c r="O1744" s="15"/>
      <c r="P1744" s="15" t="str" cm="1">
        <f t="array" ref="P1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Q1744" s="15" t="str" cm="1">
        <f t="array" ref="Q1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R1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canciones/nsb/el_esta_vivo_tu_lo_has_visto.html</v>
      </c>
      <c r="S1744" s="1"/>
      <c r="T1744" s="1"/>
      <c r="U1744" s="1"/>
      <c r="V1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
&amp;"&gt;&lt;a href="""&amp;CantoralDB[[#This Row],[Ruta]]&amp;"""&gt;"&amp;CantoralDB[[#This Row],[Título]]&amp;"&lt;/a&gt;&lt;/li&gt;")</f>
        <v>&lt;li data-author="Vincent" data-nold="97"&gt;&lt;a href="canciones/nsb/el_esta_vivo_tu_lo_has_visto.html"&gt;Él está vivo, tú lo has visto&lt;/a&gt;&lt;/li&gt;</v>
      </c>
      <c r="W1744" s="15" t="str">
        <f>_xlfn.TEXTBEFORE(_xlfn.TEXTAFTER(CantoralDB[[#This Row],[index.html]],"&gt;"),"&gt;")&amp;"&gt;"</f>
        <v>&lt;a href="canciones/nsb/el_esta_vivo_tu_lo_has_visto.html"&gt;</v>
      </c>
    </row>
  </sheetData>
  <phoneticPr fontId="2" type="noConversion"/>
  <conditionalFormatting sqref="B1:B1048576">
    <cfRule type="duplicateValues" dxfId="13" priority="6"/>
  </conditionalFormatting>
  <conditionalFormatting sqref="D1:D1048576">
    <cfRule type="duplicateValues" dxfId="12" priority="9"/>
  </conditionalFormatting>
  <conditionalFormatting sqref="E1:E1048576">
    <cfRule type="duplicateValues" dxfId="11" priority="12"/>
  </conditionalFormatting>
  <conditionalFormatting sqref="F1:F1048576">
    <cfRule type="duplicateValues" dxfId="10" priority="615"/>
  </conditionalFormatting>
  <conditionalFormatting sqref="J764">
    <cfRule type="cellIs" dxfId="9" priority="2" operator="equal">
      <formula>"OK"</formula>
    </cfRule>
    <cfRule type="cellIs" dxfId="8" priority="3" operator="equal">
      <formula>"Letra"</formula>
    </cfRule>
    <cfRule type="cellIs" dxfId="7" priority="4" operator="equal">
      <formula>"Orden"</formula>
    </cfRule>
  </conditionalFormatting>
  <conditionalFormatting sqref="J1:L1048576">
    <cfRule type="cellIs" dxfId="6" priority="7" operator="equal">
      <formula>"OK"</formula>
    </cfRule>
  </conditionalFormatting>
  <conditionalFormatting sqref="V1:V1048576">
    <cfRule type="duplicateValues" dxfId="5" priority="5"/>
  </conditionalFormatting>
  <conditionalFormatting sqref="U1:U1048576">
    <cfRule type="duplicateValues" dxfId="4" priority="1"/>
  </conditionalFormatting>
  <dataValidations count="1">
    <dataValidation type="list" allowBlank="1" showInputMessage="1" showErrorMessage="1" sqref="C99:C631 C2:C97" xr:uid="{750FF66E-F374-4C3D-8FF6-E9D1568A2116}">
      <formula1>INDIRECT("Categorías[Categorías]")</formula1>
    </dataValidation>
  </dataValidations>
  <hyperlinks>
    <hyperlink ref="U1718" r:id="rId1" xr:uid="{DA6D7995-44D6-4045-83D4-3266E2A25FB4}"/>
    <hyperlink ref="U359" r:id="rId2" xr:uid="{21BF8848-126E-4C25-B417-5F1669A04D1C}"/>
    <hyperlink ref="U362" r:id="rId3" xr:uid="{280AE6E9-4FA8-4531-B556-D3D175297CA7}"/>
    <hyperlink ref="U461" r:id="rId4" xr:uid="{5A062E01-09FE-4AEF-B1C3-B4BDE77D4678}"/>
    <hyperlink ref="U448" r:id="rId5" xr:uid="{91A3A74D-7832-469D-AA27-F069878C6FEC}"/>
    <hyperlink ref="U451" r:id="rId6" xr:uid="{8D344D56-50D6-477E-8BF6-2CFD53A472DA}"/>
    <hyperlink ref="U455" r:id="rId7" xr:uid="{C5A83AB8-9E1A-4535-A199-8BE73C0B5471}"/>
    <hyperlink ref="U456" r:id="rId8" xr:uid="{E9F3201B-715F-4098-8E6D-D392B197A5B3}"/>
    <hyperlink ref="U538" r:id="rId9" xr:uid="{490C640F-E680-4634-BB3E-AF7C0DAD88A5}"/>
    <hyperlink ref="U551" r:id="rId10" xr:uid="{F42495B3-88C6-47C8-B657-1B2B61D548EF}"/>
    <hyperlink ref="U678" r:id="rId11" xr:uid="{94DB8158-D535-4E5F-88E7-271FEE5769F3}"/>
    <hyperlink ref="U612" r:id="rId12" xr:uid="{5DD15421-192B-4611-B4D3-4D136D73D060}"/>
    <hyperlink ref="U677" r:id="rId13" xr:uid="{9C1345B1-458E-4731-A3A0-AD108D913833}"/>
    <hyperlink ref="U889" r:id="rId14" xr:uid="{BDC4F0B6-5619-4F46-8846-DB0DDEB477A2}"/>
    <hyperlink ref="U900" r:id="rId15" xr:uid="{94994174-E097-4F94-8378-57D9FD090C86}"/>
    <hyperlink ref="U903" r:id="rId16" xr:uid="{25EA3260-8E29-47E7-A954-519E86C6C57B}"/>
    <hyperlink ref="U905" r:id="rId17" xr:uid="{2343CBB7-11A5-459D-B24F-324111A058CD}"/>
    <hyperlink ref="U907" r:id="rId18" xr:uid="{FAEE7DBE-6192-4530-B3B9-A884E45CF445}"/>
    <hyperlink ref="U926" r:id="rId19" xr:uid="{9EEB61C2-29A9-44C0-ACC3-42D563D5D598}"/>
    <hyperlink ref="U1216" r:id="rId20" xr:uid="{079B832F-F3E7-4E4F-B070-B593E400FF2F}"/>
    <hyperlink ref="U525" r:id="rId21" xr:uid="{2D173748-96C6-4F6A-BEE9-C674CD6EE77E}"/>
    <hyperlink ref="U1229" r:id="rId22" xr:uid="{B2CD2234-7C6A-4EF5-95C5-BAD0D6E698D3}"/>
    <hyperlink ref="U7" r:id="rId23" xr:uid="{04A1525B-1EE5-4333-85EA-3BBDDC370940}"/>
    <hyperlink ref="U916" r:id="rId24" xr:uid="{45561249-FC48-4E19-99EC-5B395F439E7A}"/>
    <hyperlink ref="U1374" r:id="rId25" xr:uid="{D2635188-B379-4BB5-9F10-1275A6DEA96A}"/>
    <hyperlink ref="U1375" r:id="rId26" xr:uid="{D32DD765-16D3-4FA8-97B7-1D3FA23D3793}"/>
    <hyperlink ref="U1240" r:id="rId27" xr:uid="{16E058A8-C23B-459F-A694-79F7E3F8F9AF}"/>
    <hyperlink ref="U1241" r:id="rId28" xr:uid="{CAD6B09B-7346-4426-B993-39B5BF870443}"/>
    <hyperlink ref="U368" r:id="rId29" xr:uid="{EBCBDDB5-8CC4-4C1C-8DB2-55EC10F926DE}"/>
    <hyperlink ref="U516" r:id="rId30" xr:uid="{449ADC59-BF0D-437B-A353-5DA2E313DAF4}"/>
    <hyperlink ref="U519" r:id="rId31" xr:uid="{14D86472-D553-429A-9116-265BFA79E76B}"/>
    <hyperlink ref="U1402" r:id="rId32" xr:uid="{C25DA0ED-6E20-4FF1-A893-57EF7DB34D94}"/>
    <hyperlink ref="U856" r:id="rId33" xr:uid="{F5E74ADF-BBA8-4F62-9A7E-054B5A8D4BBE}"/>
    <hyperlink ref="U186" r:id="rId34" xr:uid="{D3A96B3B-6FAB-41D0-A6D7-F0A2AE0DBE37}"/>
    <hyperlink ref="U1361" r:id="rId35" xr:uid="{C2363F0D-7145-42BA-9539-D32E29FFBDC2}"/>
    <hyperlink ref="U837" r:id="rId36" xr:uid="{DFE6E2EA-52EB-4198-B263-04CEE8A47BF0}"/>
    <hyperlink ref="U1226" r:id="rId37" xr:uid="{DFA6AFDA-BC2C-462D-983F-EE2812E1B83A}"/>
    <hyperlink ref="U176" r:id="rId38" xr:uid="{9544858F-3135-4C71-98FD-6C5E15050CAB}"/>
    <hyperlink ref="U189" r:id="rId39" xr:uid="{1F1A106B-BA63-49E7-A5E2-C73A96132505}"/>
    <hyperlink ref="U503" r:id="rId40" xr:uid="{06D4042E-5004-4D79-A315-EDCFE6040E75}"/>
    <hyperlink ref="U370" r:id="rId41" xr:uid="{B2475CB1-A176-4304-AB1A-2B9C73BDF901}"/>
    <hyperlink ref="U694" r:id="rId42" xr:uid="{6509825F-6E87-42D0-A8F7-8ECE07F8ADF6}"/>
    <hyperlink ref="U366" r:id="rId43" xr:uid="{3A203355-B934-4573-A591-BC5E56C5AC0E}"/>
    <hyperlink ref="U1415" r:id="rId44" xr:uid="{F7CCAC66-65A6-4E2A-ADE0-76D9D85C9270}"/>
    <hyperlink ref="U422" r:id="rId45" xr:uid="{BA9E23ED-6124-4584-A61F-30294789B61D}"/>
    <hyperlink ref="U458" r:id="rId46" xr:uid="{3E857284-88EA-4A1D-B90D-0D74CE458F24}"/>
    <hyperlink ref="U23" r:id="rId47" xr:uid="{6D7D7613-7CA5-4548-9B11-21345A21FA85}"/>
    <hyperlink ref="U629" r:id="rId48" xr:uid="{F8AAFEA3-FE70-4F13-9AD2-ADCAA544E7E1}"/>
    <hyperlink ref="U628" r:id="rId49" xr:uid="{127EED9D-017B-4731-97C6-FBFDE3D64EBE}"/>
  </hyperlinks>
  <pageMargins left="0.7" right="0.7" top="0.75" bottom="0.75" header="0.3" footer="0.3"/>
  <pageSetup paperSize="9" orientation="portrait" r:id="rId50"/>
  <tableParts count="1">
    <tablePart r:id="rId5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AAC54-F950-44BC-96AA-BA32BD01CD3A}">
  <sheetPr codeName="Hoja10"/>
  <dimension ref="A1:AB264"/>
  <sheetViews>
    <sheetView topLeftCell="A166" zoomScale="85" zoomScaleNormal="85" workbookViewId="0">
      <selection activeCell="N192" sqref="N192"/>
    </sheetView>
  </sheetViews>
  <sheetFormatPr baseColWidth="10" defaultRowHeight="14.4" x14ac:dyDescent="0.3"/>
  <cols>
    <col min="1" max="1" width="14.6640625" style="1" bestFit="1" customWidth="1"/>
    <col min="2" max="2" width="5" style="1" bestFit="1" customWidth="1"/>
    <col min="3" max="3" width="7.44140625" style="1" bestFit="1" customWidth="1"/>
    <col min="4" max="9" width="11.5546875" style="1"/>
    <col min="10" max="11" width="26.88671875" style="1" customWidth="1"/>
    <col min="12" max="12" width="11.5546875" style="1"/>
    <col min="13" max="13" width="11.5546875" style="16"/>
    <col min="14" max="14" width="11.5546875" style="22"/>
    <col min="15" max="15" width="11.5546875" style="18"/>
  </cols>
  <sheetData>
    <row r="1" spans="1:28" x14ac:dyDescent="0.3">
      <c r="A1" s="1" t="s">
        <v>205</v>
      </c>
      <c r="B1" s="1">
        <f>COUNTA(CantoralDB[Título])</f>
        <v>1742</v>
      </c>
      <c r="G1" s="14" t="s">
        <v>641</v>
      </c>
      <c r="Y1" t="s">
        <v>2912</v>
      </c>
    </row>
    <row r="2" spans="1:28" x14ac:dyDescent="0.3">
      <c r="A2" s="1" t="s">
        <v>206</v>
      </c>
      <c r="B2" s="1">
        <f>SUM(B5:B25)</f>
        <v>482</v>
      </c>
      <c r="G2" s="14" t="s">
        <v>642</v>
      </c>
      <c r="L2" s="1">
        <f>secciones!C1</f>
        <v>6</v>
      </c>
      <c r="Y2" t="s">
        <v>2305</v>
      </c>
      <c r="Z2" t="s">
        <v>2229</v>
      </c>
      <c r="AA2" t="s">
        <v>53</v>
      </c>
      <c r="AB2">
        <v>7</v>
      </c>
    </row>
    <row r="3" spans="1:28" x14ac:dyDescent="0.3">
      <c r="D3" s="1" t="s">
        <v>474</v>
      </c>
      <c r="J3" s="3" t="s">
        <v>478</v>
      </c>
      <c r="K3" s="3" t="s">
        <v>2948</v>
      </c>
      <c r="L3" s="3" t="s">
        <v>2874</v>
      </c>
      <c r="M3" s="23" t="s">
        <v>608</v>
      </c>
      <c r="N3" s="24" t="s">
        <v>2875</v>
      </c>
      <c r="U3" s="3" t="s">
        <v>2874</v>
      </c>
      <c r="V3" s="23" t="s">
        <v>608</v>
      </c>
      <c r="W3" s="24" t="s">
        <v>2875</v>
      </c>
      <c r="Y3" t="s">
        <v>2263</v>
      </c>
      <c r="Z3" t="s">
        <v>2229</v>
      </c>
      <c r="AA3" t="s">
        <v>2261</v>
      </c>
      <c r="AB3">
        <v>2</v>
      </c>
    </row>
    <row r="4" spans="1:28" x14ac:dyDescent="0.3">
      <c r="A4" s="1" t="s">
        <v>207</v>
      </c>
      <c r="B4" s="1">
        <f>B1-B2</f>
        <v>1260</v>
      </c>
      <c r="C4" s="2">
        <f t="shared" ref="C4:C20" si="0">B4/$B$1</f>
        <v>0.72330654420206664</v>
      </c>
      <c r="D4" s="1" t="str">
        <f t="shared" ref="D4:D20" si="1">_xlfn.XLOOKUP(A4,$F$5:$F$21,$G$5:$G$21,"-")</f>
        <v>-</v>
      </c>
      <c r="G4" s="1" t="s">
        <v>475</v>
      </c>
      <c r="J4" s="1" t="s">
        <v>795</v>
      </c>
      <c r="K4" s="1" t="s">
        <v>795</v>
      </c>
      <c r="L4" s="1">
        <f>COUNTIF(CantoralDB[Autor],J4)</f>
        <v>188</v>
      </c>
      <c r="M4" s="16">
        <f>COUNTIFS(CantoralDB[Autor],J4,CantoralDB[html],"OK")</f>
        <v>46</v>
      </c>
      <c r="N4" s="22">
        <f>M4/L4</f>
        <v>0.24468085106382978</v>
      </c>
      <c r="O4" s="19">
        <f>O7/O6</f>
        <v>0.63783783783783787</v>
      </c>
      <c r="P4" s="21" t="s">
        <v>2873</v>
      </c>
      <c r="T4" t="s">
        <v>2914</v>
      </c>
      <c r="U4">
        <f>COUNTA(CantoralDB[Número antiguo])</f>
        <v>382</v>
      </c>
      <c r="V4">
        <f>COUNTIFS(CantoralDB[Número antiguo],"&lt;&gt;",CantoralDB[html],"OK")</f>
        <v>327</v>
      </c>
      <c r="W4" s="25">
        <f>V4/U4</f>
        <v>0.85602094240837701</v>
      </c>
      <c r="Y4" t="s">
        <v>2282</v>
      </c>
      <c r="Z4" t="s">
        <v>2229</v>
      </c>
      <c r="AA4" t="s">
        <v>2259</v>
      </c>
      <c r="AB4">
        <v>13</v>
      </c>
    </row>
    <row r="5" spans="1:28" x14ac:dyDescent="0.3">
      <c r="A5" s="1" t="str" cm="1">
        <f t="array" ref="A5:A23">_xlfn._xlws.SORT(_xlfn.UNIQUE(CantoralDB[Momento]))</f>
        <v>Aleluya</v>
      </c>
      <c r="B5" s="1">
        <f>COUNTIF(CantoralDB[Momento],A5)</f>
        <v>11</v>
      </c>
      <c r="C5" s="2">
        <f t="shared" si="0"/>
        <v>6.3145809414466127E-3</v>
      </c>
      <c r="D5" s="1" t="str">
        <f t="shared" si="1"/>
        <v>E</v>
      </c>
      <c r="F5" s="1" t="s">
        <v>191</v>
      </c>
      <c r="G5" s="1" t="str" cm="1">
        <f t="array" ref="G5:G21">CHAR(_xlfn.SEQUENCE(COUNTA($F$5:$F$22),1,65,1))</f>
        <v>A</v>
      </c>
      <c r="J5" s="1" t="str" cm="1">
        <f t="array" ref="J5:J264">_xlfn.DROP(_xlfn._xlws.SORT(_xlfn.UNIQUE(CantoralDB[Autor])),1)</f>
        <v>A. B. Celada Alonso</v>
      </c>
      <c r="K5" s="1" t="str" cm="1">
        <f t="array" ref="K5:K264">LOWER(SUBSTITUTE(SUBSTITUTE(SUBSTITUTE(SUBSTITUTE(SUBSTITUTE(SUBSTITUTE(SUBSTITUTE(SUBSTITUTE(SUBSTITUTE(SUBSTITUTE(SUBSTITUTE(SUBSTITUTE(_xlfn.ANCHORARRAY(J5),".",""),"á","a"),"é","e"),"í","i"),"ó","o"),"ú","u")," ","_"),"¿",""),"?",""),"¡",""),"!",""),",",""))</f>
        <v>a_b_celada_alonso</v>
      </c>
      <c r="L5" s="1" cm="1">
        <f t="array" ref="L5:L264">COUNTIF(CantoralDB[Autor],_xlfn.ANCHORARRAY(J5))</f>
        <v>1</v>
      </c>
      <c r="M5" s="16" cm="1">
        <f t="array" ref="M5:M264">COUNTIFS(CantoralDB[Autor],_xlfn.ANCHORARRAY(J5),CantoralDB[html],"OK")</f>
        <v>1</v>
      </c>
      <c r="N5" s="22" cm="1">
        <f t="array" ref="N5:N264">_xlfn.ANCHORARRAY(M5)/_xlfn.ANCHORARRAY(L5)</f>
        <v>1</v>
      </c>
      <c r="T5" t="s">
        <v>2915</v>
      </c>
      <c r="U5">
        <f>COUNTA(CantoralDB[Número])</f>
        <v>480</v>
      </c>
      <c r="V5">
        <f>COUNTIFS(CantoralDB[Número],"&lt;&gt;",CantoralDB[html],"OK")</f>
        <v>480</v>
      </c>
      <c r="W5" s="25">
        <f t="shared" ref="W5:W6" si="2">V5/U5</f>
        <v>1</v>
      </c>
      <c r="Y5" t="s">
        <v>2245</v>
      </c>
      <c r="Z5" t="s">
        <v>2229</v>
      </c>
      <c r="AA5" t="s">
        <v>2244</v>
      </c>
      <c r="AB5">
        <v>2</v>
      </c>
    </row>
    <row r="6" spans="1:28" x14ac:dyDescent="0.3">
      <c r="A6" s="1" t="str">
        <v>Antífonas</v>
      </c>
      <c r="B6" s="1">
        <f>COUNTIF(CantoralDB[Momento],A6)</f>
        <v>44</v>
      </c>
      <c r="C6" s="2">
        <f t="shared" si="0"/>
        <v>2.5258323765786451E-2</v>
      </c>
      <c r="D6" s="1" t="str">
        <f t="shared" si="1"/>
        <v>D</v>
      </c>
      <c r="F6" s="1" t="s">
        <v>192</v>
      </c>
      <c r="G6" s="1" t="str">
        <v>B</v>
      </c>
      <c r="J6" s="1" t="str">
        <v>Ain Karem</v>
      </c>
      <c r="K6" s="1" t="str">
        <v>ain_karem</v>
      </c>
      <c r="L6" s="1">
        <v>120</v>
      </c>
      <c r="M6" s="16">
        <v>115</v>
      </c>
      <c r="N6" s="22">
        <v>0.95833333333333337</v>
      </c>
      <c r="O6" s="20" cm="1">
        <f t="array" ref="O6">L4+SUM(_xlfn.ANCHORARRAY(L5))-_xlfn.XLOOKUP("Taizé en Español",_xlfn.ANCHORARRAY(J5),_xlfn.ANCHORARRAY(L5))</f>
        <v>1665</v>
      </c>
      <c r="P6" t="s">
        <v>2874</v>
      </c>
      <c r="Q6" cm="1">
        <f t="array" ref="Q6">_xlfn.XLOOKUP("Taizé en Español",_xlfn.ANCHORARRAY(J5),_xlfn.ANCHORARRAY(L5))</f>
        <v>78</v>
      </c>
      <c r="R6" t="s">
        <v>2898</v>
      </c>
      <c r="T6" t="s">
        <v>2176</v>
      </c>
      <c r="U6">
        <f>COUNTA(CantoralDB[Número RCC])</f>
        <v>451</v>
      </c>
      <c r="V6">
        <f>COUNTIFS(CantoralDB[Número RCC],"&lt;&gt;",CantoralDB[html],"OK")</f>
        <v>83</v>
      </c>
      <c r="W6" s="25">
        <f>V6/U6</f>
        <v>0.18403547671840353</v>
      </c>
      <c r="Y6" t="s">
        <v>2241</v>
      </c>
      <c r="Z6" t="s">
        <v>2229</v>
      </c>
      <c r="AA6" t="s">
        <v>2230</v>
      </c>
      <c r="AB6">
        <v>12</v>
      </c>
    </row>
    <row r="7" spans="1:28" x14ac:dyDescent="0.3">
      <c r="A7" s="1" t="str">
        <v>Comunión</v>
      </c>
      <c r="B7" s="1">
        <f>COUNTIF(CantoralDB[Momento],A7)</f>
        <v>83</v>
      </c>
      <c r="C7" s="2">
        <f t="shared" si="0"/>
        <v>4.7646383467278987E-2</v>
      </c>
      <c r="D7" s="1" t="str">
        <f t="shared" si="1"/>
        <v>K</v>
      </c>
      <c r="F7" s="1" t="s">
        <v>193</v>
      </c>
      <c r="G7" s="1" t="str">
        <v>C</v>
      </c>
      <c r="J7" s="1" t="str">
        <v>Akepsimas</v>
      </c>
      <c r="K7" s="1" t="str">
        <v>akepsimas</v>
      </c>
      <c r="L7" s="1">
        <v>2</v>
      </c>
      <c r="M7" s="16">
        <v>2</v>
      </c>
      <c r="N7" s="22">
        <v>1</v>
      </c>
      <c r="O7" s="18" cm="1">
        <f t="array" ref="O7">M4+SUM(_xlfn.ANCHORARRAY(M5))-_xlfn.XLOOKUP("Taizé en Español",_xlfn.ANCHORARRAY(J5),_xlfn.ANCHORARRAY(M5))</f>
        <v>1062</v>
      </c>
      <c r="P7" t="s">
        <v>2877</v>
      </c>
      <c r="Q7">
        <f>O6+Q6</f>
        <v>1743</v>
      </c>
      <c r="R7" t="s">
        <v>2899</v>
      </c>
      <c r="T7" t="s">
        <v>3016</v>
      </c>
      <c r="U7">
        <f>COUNTA(CantoralDB[link])</f>
        <v>49</v>
      </c>
      <c r="W7" s="25">
        <f>U7/O7</f>
        <v>4.6139359698681735E-2</v>
      </c>
      <c r="Y7" t="s">
        <v>2310</v>
      </c>
      <c r="Z7" t="s">
        <v>2229</v>
      </c>
      <c r="AA7" t="s">
        <v>2310</v>
      </c>
      <c r="AB7">
        <v>1</v>
      </c>
    </row>
    <row r="8" spans="1:28" x14ac:dyDescent="0.3">
      <c r="A8" s="1" t="str">
        <v>Cordero de Dios</v>
      </c>
      <c r="B8" s="1">
        <f>COUNTIF(CantoralDB[Momento],A8)</f>
        <v>6</v>
      </c>
      <c r="C8" s="2">
        <f t="shared" si="0"/>
        <v>3.4443168771526979E-3</v>
      </c>
      <c r="D8" s="1" t="str">
        <f t="shared" si="1"/>
        <v>J</v>
      </c>
      <c r="F8" s="1" t="s">
        <v>201</v>
      </c>
      <c r="G8" s="1" t="str">
        <v>D</v>
      </c>
      <c r="J8" s="1" t="str">
        <v>Albert Coppo</v>
      </c>
      <c r="K8" s="1" t="str">
        <v>albert_coppo</v>
      </c>
      <c r="L8" s="1">
        <v>1</v>
      </c>
      <c r="M8" s="16">
        <v>1</v>
      </c>
      <c r="N8" s="22">
        <v>1</v>
      </c>
      <c r="Q8">
        <f>O7+Q6</f>
        <v>1140</v>
      </c>
      <c r="R8" t="s">
        <v>2951</v>
      </c>
      <c r="Y8" t="s">
        <v>1874</v>
      </c>
      <c r="Z8" t="s">
        <v>2229</v>
      </c>
      <c r="AA8" t="s">
        <v>2310</v>
      </c>
      <c r="AB8">
        <v>10</v>
      </c>
    </row>
    <row r="9" spans="1:28" x14ac:dyDescent="0.3">
      <c r="A9" s="1" t="str">
        <v>Despedida</v>
      </c>
      <c r="B9" s="1">
        <f>COUNTIF(CantoralDB[Momento],A9)</f>
        <v>9</v>
      </c>
      <c r="C9" s="2">
        <f t="shared" si="0"/>
        <v>5.1664753157290473E-3</v>
      </c>
      <c r="D9" s="1" t="str">
        <f t="shared" si="1"/>
        <v>L</v>
      </c>
      <c r="F9" s="1" t="s">
        <v>194</v>
      </c>
      <c r="G9" s="1" t="str">
        <v>E</v>
      </c>
      <c r="J9" s="1" t="str">
        <v>Alberto Arija</v>
      </c>
      <c r="K9" s="1" t="str">
        <v>alberto_arija</v>
      </c>
      <c r="L9" s="1">
        <v>1</v>
      </c>
      <c r="M9" s="16">
        <v>1</v>
      </c>
      <c r="N9" s="22">
        <v>1</v>
      </c>
      <c r="Y9" t="s">
        <v>2360</v>
      </c>
      <c r="Z9" t="s">
        <v>2229</v>
      </c>
      <c r="AA9" t="s">
        <v>2354</v>
      </c>
      <c r="AB9">
        <v>16</v>
      </c>
    </row>
    <row r="10" spans="1:28" x14ac:dyDescent="0.3">
      <c r="A10" s="1" t="str">
        <v>Entrada</v>
      </c>
      <c r="B10" s="1">
        <f>COUNTIF(CantoralDB[Momento],A10)</f>
        <v>44</v>
      </c>
      <c r="C10" s="2">
        <f t="shared" si="0"/>
        <v>2.5258323765786451E-2</v>
      </c>
      <c r="D10" s="1" t="str">
        <f t="shared" si="1"/>
        <v>A</v>
      </c>
      <c r="F10" s="1" t="s">
        <v>195</v>
      </c>
      <c r="G10" s="1" t="str">
        <v>F</v>
      </c>
      <c r="J10" s="1" t="str">
        <v>Alberto Taulé</v>
      </c>
      <c r="K10" s="1" t="str">
        <v>alberto_taule</v>
      </c>
      <c r="L10" s="1">
        <v>3</v>
      </c>
      <c r="M10" s="16">
        <v>3</v>
      </c>
      <c r="N10" s="22">
        <v>1</v>
      </c>
      <c r="Y10" t="s">
        <v>2270</v>
      </c>
      <c r="Z10" t="s">
        <v>2229</v>
      </c>
      <c r="AA10" t="s">
        <v>2261</v>
      </c>
      <c r="AB10">
        <v>9</v>
      </c>
    </row>
    <row r="11" spans="1:28" x14ac:dyDescent="0.3">
      <c r="A11" s="1" t="str">
        <v>Especiales</v>
      </c>
      <c r="B11" s="1">
        <f>COUNTIF(CantoralDB[Momento],A11)</f>
        <v>6</v>
      </c>
      <c r="C11" s="2">
        <f t="shared" si="0"/>
        <v>3.4443168771526979E-3</v>
      </c>
      <c r="D11" s="1" t="str">
        <f t="shared" si="1"/>
        <v>P</v>
      </c>
      <c r="F11" s="1" t="s">
        <v>196</v>
      </c>
      <c r="G11" s="1" t="str">
        <v>G</v>
      </c>
      <c r="J11" s="1" t="str">
        <v>Alberto y Emilia</v>
      </c>
      <c r="K11" s="1" t="str">
        <v>alberto_y_emilia</v>
      </c>
      <c r="L11" s="1">
        <v>1</v>
      </c>
      <c r="M11" s="16">
        <v>1</v>
      </c>
      <c r="N11" s="22">
        <v>1</v>
      </c>
      <c r="Y11" t="s">
        <v>1937</v>
      </c>
      <c r="Z11" t="s">
        <v>2229</v>
      </c>
      <c r="AA11" t="s">
        <v>2259</v>
      </c>
      <c r="AB11">
        <v>12</v>
      </c>
    </row>
    <row r="12" spans="1:28" x14ac:dyDescent="0.3">
      <c r="A12" s="1" t="str">
        <v>Espíritu</v>
      </c>
      <c r="B12" s="1">
        <f>COUNTIF(CantoralDB[Momento],A12)</f>
        <v>5</v>
      </c>
      <c r="C12" s="2">
        <f t="shared" si="0"/>
        <v>2.8702640642939152E-3</v>
      </c>
      <c r="D12" s="1" t="str">
        <f t="shared" si="1"/>
        <v>N</v>
      </c>
      <c r="F12" s="1" t="s">
        <v>197</v>
      </c>
      <c r="G12" s="1" t="str">
        <v>H</v>
      </c>
      <c r="J12" s="1" t="str">
        <v>Alborada</v>
      </c>
      <c r="K12" s="1" t="str">
        <v>alborada</v>
      </c>
      <c r="L12" s="1">
        <v>2</v>
      </c>
      <c r="M12" s="16">
        <v>2</v>
      </c>
      <c r="N12" s="22">
        <v>1</v>
      </c>
      <c r="Y12" t="s">
        <v>313</v>
      </c>
      <c r="Z12" t="s">
        <v>2229</v>
      </c>
      <c r="AA12" t="s">
        <v>887</v>
      </c>
      <c r="AB12">
        <v>5</v>
      </c>
    </row>
    <row r="13" spans="1:28" x14ac:dyDescent="0.3">
      <c r="A13" s="1" t="str">
        <v>Gloria</v>
      </c>
      <c r="B13" s="1">
        <f>COUNTIF(CantoralDB[Momento],A13)</f>
        <v>8</v>
      </c>
      <c r="C13" s="2">
        <f t="shared" si="0"/>
        <v>4.5924225028702642E-3</v>
      </c>
      <c r="D13" s="1" t="str">
        <f t="shared" si="1"/>
        <v>C</v>
      </c>
      <c r="F13" s="1" t="s">
        <v>198</v>
      </c>
      <c r="G13" s="1" t="str">
        <v>I</v>
      </c>
      <c r="J13" s="1" t="str">
        <v>Alejandro Mejía</v>
      </c>
      <c r="K13" s="1" t="str">
        <v>alejandro_mejia</v>
      </c>
      <c r="L13" s="1">
        <v>1</v>
      </c>
      <c r="M13" s="16">
        <v>1</v>
      </c>
      <c r="N13" s="22">
        <v>1</v>
      </c>
      <c r="Y13" t="s">
        <v>1221</v>
      </c>
      <c r="Z13" t="s">
        <v>2229</v>
      </c>
      <c r="AA13" t="s">
        <v>2259</v>
      </c>
      <c r="AB13">
        <v>6</v>
      </c>
    </row>
    <row r="14" spans="1:28" x14ac:dyDescent="0.3">
      <c r="A14" s="1" t="str">
        <v>María</v>
      </c>
      <c r="B14" s="1">
        <f>COUNTIF(CantoralDB[Momento],A14)</f>
        <v>24</v>
      </c>
      <c r="C14" s="2">
        <f t="shared" si="0"/>
        <v>1.3777267508610792E-2</v>
      </c>
      <c r="D14" s="1" t="str">
        <f t="shared" si="1"/>
        <v>M</v>
      </c>
      <c r="F14" s="1" t="s">
        <v>202</v>
      </c>
      <c r="G14" s="1" t="str">
        <v>J</v>
      </c>
      <c r="J14" s="1" t="str">
        <v>Alejandro Ruiz</v>
      </c>
      <c r="K14" s="1" t="str">
        <v>alejandro_ruiz</v>
      </c>
      <c r="L14" s="1">
        <v>15</v>
      </c>
      <c r="M14" s="16">
        <v>3</v>
      </c>
      <c r="N14" s="22">
        <v>0.2</v>
      </c>
      <c r="Y14" t="s">
        <v>2254</v>
      </c>
      <c r="Z14" t="s">
        <v>2229</v>
      </c>
      <c r="AA14" t="s">
        <v>2244</v>
      </c>
      <c r="AB14">
        <v>11</v>
      </c>
    </row>
    <row r="15" spans="1:28" x14ac:dyDescent="0.3">
      <c r="A15" s="1" t="str">
        <v>Navidad</v>
      </c>
      <c r="B15" s="1">
        <f>COUNTIF(CantoralDB[Momento],A15)</f>
        <v>20</v>
      </c>
      <c r="C15" s="2">
        <f t="shared" si="0"/>
        <v>1.1481056257175661E-2</v>
      </c>
      <c r="D15" s="1" t="str">
        <f t="shared" si="1"/>
        <v>O</v>
      </c>
      <c r="F15" s="1" t="s">
        <v>993</v>
      </c>
      <c r="G15" s="1" t="str">
        <v>K</v>
      </c>
      <c r="J15" s="1" t="str">
        <v>Alfonso Luna</v>
      </c>
      <c r="K15" s="1" t="str">
        <v>alfonso_luna</v>
      </c>
      <c r="L15" s="1">
        <v>1</v>
      </c>
      <c r="M15" s="16">
        <v>1</v>
      </c>
      <c r="N15" s="22">
        <v>1</v>
      </c>
      <c r="Y15" t="s">
        <v>2334</v>
      </c>
      <c r="Z15" t="s">
        <v>2229</v>
      </c>
      <c r="AA15" t="s">
        <v>415</v>
      </c>
      <c r="AB15">
        <v>11</v>
      </c>
    </row>
    <row r="16" spans="1:28" x14ac:dyDescent="0.3">
      <c r="A16" s="1" t="str">
        <v>Ofertorio</v>
      </c>
      <c r="B16" s="1">
        <f>COUNTIF(CantoralDB[Momento],A16)</f>
        <v>20</v>
      </c>
      <c r="C16" s="2">
        <f t="shared" si="0"/>
        <v>1.1481056257175661E-2</v>
      </c>
      <c r="D16" s="1" t="str">
        <f t="shared" si="1"/>
        <v>F</v>
      </c>
      <c r="F16" s="1" t="s">
        <v>199</v>
      </c>
      <c r="G16" s="1" t="str">
        <v>L</v>
      </c>
      <c r="J16" s="1" t="str">
        <v>Alfredo García</v>
      </c>
      <c r="K16" s="1" t="str">
        <v>alfredo_garcia</v>
      </c>
      <c r="L16" s="1">
        <v>1</v>
      </c>
      <c r="M16" s="16">
        <v>0</v>
      </c>
      <c r="N16" s="22">
        <v>0</v>
      </c>
      <c r="Y16" t="s">
        <v>2316</v>
      </c>
      <c r="Z16" t="s">
        <v>2229</v>
      </c>
      <c r="AA16" t="s">
        <v>2310</v>
      </c>
      <c r="AB16">
        <v>7</v>
      </c>
    </row>
    <row r="17" spans="1:28" x14ac:dyDescent="0.3">
      <c r="A17" s="1" t="str">
        <v>Padrenuestro</v>
      </c>
      <c r="B17" s="1">
        <f>COUNTIF(CantoralDB[Momento],A17)</f>
        <v>6</v>
      </c>
      <c r="C17" s="2">
        <f t="shared" si="0"/>
        <v>3.4443168771526979E-3</v>
      </c>
      <c r="D17" s="1" t="str">
        <f t="shared" si="1"/>
        <v>H</v>
      </c>
      <c r="F17" s="1" t="s">
        <v>200</v>
      </c>
      <c r="G17" s="1" t="str">
        <v>M</v>
      </c>
      <c r="J17" s="1" t="str">
        <v>Al-Haraca</v>
      </c>
      <c r="K17" s="1" t="str">
        <v>al-haraca</v>
      </c>
      <c r="L17" s="1">
        <v>7</v>
      </c>
      <c r="M17" s="16">
        <v>5</v>
      </c>
      <c r="N17" s="22">
        <v>0.7142857142857143</v>
      </c>
      <c r="Y17" t="s">
        <v>2345</v>
      </c>
      <c r="Z17" t="s">
        <v>2229</v>
      </c>
      <c r="AA17" t="s">
        <v>2257</v>
      </c>
      <c r="AB17">
        <v>1</v>
      </c>
    </row>
    <row r="18" spans="1:28" x14ac:dyDescent="0.3">
      <c r="A18" s="1" t="str">
        <v>Paz</v>
      </c>
      <c r="B18" s="1">
        <f>COUNTIF(CantoralDB[Momento],A18)</f>
        <v>10</v>
      </c>
      <c r="C18" s="2">
        <f t="shared" si="0"/>
        <v>5.7405281285878304E-3</v>
      </c>
      <c r="D18" s="1" t="str">
        <f t="shared" si="1"/>
        <v>I</v>
      </c>
      <c r="F18" s="1" t="s">
        <v>219</v>
      </c>
      <c r="G18" s="1" t="str">
        <v>N</v>
      </c>
      <c r="J18" s="1" t="str">
        <v>Alicia Mendoza</v>
      </c>
      <c r="K18" s="1" t="str">
        <v>alicia_mendoza</v>
      </c>
      <c r="L18" s="1">
        <v>1</v>
      </c>
      <c r="M18" s="16">
        <v>1</v>
      </c>
      <c r="N18" s="22">
        <v>1</v>
      </c>
      <c r="Y18" t="s">
        <v>2337</v>
      </c>
      <c r="Z18" t="s">
        <v>2229</v>
      </c>
      <c r="AA18" t="s">
        <v>415</v>
      </c>
      <c r="AB18">
        <v>14</v>
      </c>
    </row>
    <row r="19" spans="1:28" x14ac:dyDescent="0.3">
      <c r="A19" s="1" t="str">
        <v>Perdón - Agua</v>
      </c>
      <c r="B19" s="1">
        <f>COUNTIF(CantoralDB[Momento],A19)</f>
        <v>9</v>
      </c>
      <c r="C19" s="2">
        <f t="shared" si="0"/>
        <v>5.1664753157290473E-3</v>
      </c>
      <c r="D19" s="1" t="str">
        <f t="shared" si="1"/>
        <v>B</v>
      </c>
      <c r="F19" s="1" t="s">
        <v>476</v>
      </c>
      <c r="G19" s="1" t="str">
        <v>O</v>
      </c>
      <c r="J19" s="1" t="str">
        <v>Álvaro Fraile</v>
      </c>
      <c r="K19" s="1" t="str">
        <v>álvaro_fraile</v>
      </c>
      <c r="L19" s="1">
        <v>1</v>
      </c>
      <c r="M19" s="16">
        <v>1</v>
      </c>
      <c r="N19" s="22">
        <v>1</v>
      </c>
      <c r="Y19" t="s">
        <v>2342</v>
      </c>
      <c r="Z19" t="s">
        <v>2229</v>
      </c>
      <c r="AA19" t="s">
        <v>887</v>
      </c>
      <c r="AB19">
        <v>10</v>
      </c>
    </row>
    <row r="20" spans="1:28" x14ac:dyDescent="0.3">
      <c r="A20" s="1" t="str">
        <v>Santo</v>
      </c>
      <c r="B20" s="1">
        <f>COUNTIF(CantoralDB[Momento],A20)</f>
        <v>14</v>
      </c>
      <c r="C20" s="2">
        <f t="shared" si="0"/>
        <v>8.0367393800229621E-3</v>
      </c>
      <c r="D20" s="1" t="str">
        <f t="shared" si="1"/>
        <v>G</v>
      </c>
      <c r="F20" s="1" t="s">
        <v>211</v>
      </c>
      <c r="G20" s="1" t="str">
        <v>P</v>
      </c>
      <c r="J20" s="1" t="str">
        <v>Andree Gouzes</v>
      </c>
      <c r="K20" s="1" t="str">
        <v>andree_gouzes</v>
      </c>
      <c r="L20" s="1">
        <v>1</v>
      </c>
      <c r="M20" s="16">
        <v>0</v>
      </c>
      <c r="N20" s="22">
        <v>0</v>
      </c>
      <c r="Y20" t="s">
        <v>2323</v>
      </c>
      <c r="Z20" t="s">
        <v>2229</v>
      </c>
      <c r="AA20" t="s">
        <v>2310</v>
      </c>
      <c r="AB20">
        <v>15</v>
      </c>
    </row>
    <row r="21" spans="1:28" x14ac:dyDescent="0.3">
      <c r="A21" s="1" t="str">
        <v>TaizéESP</v>
      </c>
      <c r="B21" s="1">
        <f>COUNTIF(CantoralDB[Momento],A21)</f>
        <v>78</v>
      </c>
      <c r="C21" s="2">
        <f>B21/$B$1</f>
        <v>4.4776119402985072E-2</v>
      </c>
      <c r="D21" s="1" t="s">
        <v>1024</v>
      </c>
      <c r="F21" s="1" t="s">
        <v>268</v>
      </c>
      <c r="G21" s="1" t="str">
        <v>Q</v>
      </c>
      <c r="J21" s="1" t="str">
        <v>Andrés Barriales</v>
      </c>
      <c r="K21" s="1" t="str">
        <v>andres_barriales</v>
      </c>
      <c r="L21" s="1">
        <v>3</v>
      </c>
      <c r="M21" s="16">
        <v>3</v>
      </c>
      <c r="N21" s="22">
        <v>1</v>
      </c>
      <c r="Y21" t="s">
        <v>2358</v>
      </c>
      <c r="Z21" t="s">
        <v>2229</v>
      </c>
      <c r="AA21" t="s">
        <v>2354</v>
      </c>
      <c r="AB21">
        <v>11</v>
      </c>
    </row>
    <row r="22" spans="1:28" x14ac:dyDescent="0.3">
      <c r="A22" s="1" t="str">
        <v>TaizéORIG</v>
      </c>
      <c r="B22" s="1">
        <f>COUNTIF(CantoralDB[Momento],A22)</f>
        <v>85</v>
      </c>
      <c r="C22" s="2">
        <f>B22/$B$1</f>
        <v>4.8794489092996558E-2</v>
      </c>
      <c r="D22" s="1" t="s">
        <v>1024</v>
      </c>
      <c r="J22" s="1" t="str">
        <v>Andrés Parra</v>
      </c>
      <c r="K22" s="1" t="str">
        <v>andres_parra</v>
      </c>
      <c r="L22" s="1">
        <v>1</v>
      </c>
      <c r="M22" s="16">
        <v>0</v>
      </c>
      <c r="N22" s="22">
        <v>0</v>
      </c>
      <c r="Y22" t="s">
        <v>2251</v>
      </c>
      <c r="Z22" t="s">
        <v>2229</v>
      </c>
      <c r="AA22" t="s">
        <v>2244</v>
      </c>
      <c r="AB22">
        <v>8</v>
      </c>
    </row>
    <row r="23" spans="1:28" x14ac:dyDescent="0.3">
      <c r="A23" s="1">
        <v>0</v>
      </c>
      <c r="C23" s="2"/>
      <c r="J23" s="1" t="str">
        <v>Andrew Cauchi</v>
      </c>
      <c r="K23" s="1" t="str">
        <v>andrew_cauchi</v>
      </c>
      <c r="L23" s="1">
        <v>1</v>
      </c>
      <c r="M23" s="16">
        <v>0</v>
      </c>
      <c r="N23" s="22">
        <v>0</v>
      </c>
      <c r="Y23" t="s">
        <v>2269</v>
      </c>
      <c r="Z23" t="s">
        <v>2229</v>
      </c>
      <c r="AA23" t="s">
        <v>2261</v>
      </c>
      <c r="AB23">
        <v>8</v>
      </c>
    </row>
    <row r="24" spans="1:28" x14ac:dyDescent="0.3">
      <c r="C24" s="2"/>
      <c r="J24" s="1" t="str">
        <v>Andy Carter</v>
      </c>
      <c r="K24" s="1" t="str">
        <v>andy_carter</v>
      </c>
      <c r="L24" s="1">
        <v>1</v>
      </c>
      <c r="M24" s="16">
        <v>0</v>
      </c>
      <c r="N24" s="22">
        <v>0</v>
      </c>
      <c r="Y24" t="s">
        <v>2311</v>
      </c>
      <c r="Z24" t="s">
        <v>2229</v>
      </c>
      <c r="AA24" t="s">
        <v>2310</v>
      </c>
      <c r="AB24">
        <v>2</v>
      </c>
    </row>
    <row r="25" spans="1:28" x14ac:dyDescent="0.3">
      <c r="C25" s="2"/>
      <c r="J25" s="1" t="str">
        <v>Annemarie Bambino</v>
      </c>
      <c r="K25" s="1" t="str">
        <v>annemarie_bambino</v>
      </c>
      <c r="L25" s="1">
        <v>1</v>
      </c>
      <c r="M25" s="16">
        <v>0</v>
      </c>
      <c r="N25" s="22">
        <v>0</v>
      </c>
      <c r="Y25" t="s">
        <v>2343</v>
      </c>
      <c r="Z25" t="s">
        <v>2229</v>
      </c>
      <c r="AA25" t="s">
        <v>887</v>
      </c>
      <c r="AB25">
        <v>6</v>
      </c>
    </row>
    <row r="26" spans="1:28" x14ac:dyDescent="0.3">
      <c r="J26" s="1" t="str">
        <v>Antonio Alcalde</v>
      </c>
      <c r="K26" s="1" t="str">
        <v>antonio_alcalde</v>
      </c>
      <c r="L26" s="1">
        <v>10</v>
      </c>
      <c r="M26" s="16">
        <v>6</v>
      </c>
      <c r="N26" s="22">
        <v>0.6</v>
      </c>
      <c r="Y26" t="s">
        <v>2359</v>
      </c>
      <c r="Z26" t="s">
        <v>2229</v>
      </c>
      <c r="AA26" t="s">
        <v>2354</v>
      </c>
      <c r="AB26">
        <v>14</v>
      </c>
    </row>
    <row r="27" spans="1:28" x14ac:dyDescent="0.3">
      <c r="J27" s="1" t="str">
        <v>Athenas</v>
      </c>
      <c r="K27" s="1" t="str">
        <v>athenas</v>
      </c>
      <c r="L27" s="1">
        <v>3</v>
      </c>
      <c r="M27" s="16">
        <v>3</v>
      </c>
      <c r="N27" s="22">
        <v>1</v>
      </c>
      <c r="Y27" t="s">
        <v>2279</v>
      </c>
      <c r="Z27" t="s">
        <v>2229</v>
      </c>
      <c r="AA27" t="s">
        <v>2259</v>
      </c>
      <c r="AB27">
        <v>9</v>
      </c>
    </row>
    <row r="28" spans="1:28" x14ac:dyDescent="0.3">
      <c r="J28" s="1" t="str">
        <v>Benedetto Conte</v>
      </c>
      <c r="K28" s="1" t="str">
        <v>benedetto_conte</v>
      </c>
      <c r="L28" s="1">
        <v>2</v>
      </c>
      <c r="M28" s="16">
        <v>1</v>
      </c>
      <c r="N28" s="22">
        <v>0.5</v>
      </c>
      <c r="Y28" t="s">
        <v>2287</v>
      </c>
      <c r="Z28" t="s">
        <v>2229</v>
      </c>
      <c r="AA28" t="s">
        <v>2260</v>
      </c>
      <c r="AB28">
        <v>6</v>
      </c>
    </row>
    <row r="29" spans="1:28" x14ac:dyDescent="0.3">
      <c r="J29" s="1" t="str">
        <v>Bill Sprouse</v>
      </c>
      <c r="K29" s="1" t="str">
        <v>bill_sprouse</v>
      </c>
      <c r="L29" s="1">
        <v>1</v>
      </c>
      <c r="M29" s="16">
        <v>0</v>
      </c>
      <c r="N29" s="22">
        <v>0</v>
      </c>
      <c r="Y29" t="s">
        <v>2264</v>
      </c>
      <c r="Z29" t="s">
        <v>2229</v>
      </c>
      <c r="AA29" t="s">
        <v>2261</v>
      </c>
      <c r="AB29">
        <v>3</v>
      </c>
    </row>
    <row r="30" spans="1:28" x14ac:dyDescent="0.3">
      <c r="J30" s="1" t="str">
        <v>Blest</v>
      </c>
      <c r="K30" s="1" t="str">
        <v>blest</v>
      </c>
      <c r="L30" s="1">
        <v>1</v>
      </c>
      <c r="M30" s="16">
        <v>0</v>
      </c>
      <c r="N30" s="22">
        <v>0</v>
      </c>
      <c r="Y30" t="s">
        <v>2246</v>
      </c>
      <c r="Z30" t="s">
        <v>2229</v>
      </c>
      <c r="AA30" t="s">
        <v>2244</v>
      </c>
      <c r="AB30">
        <v>3</v>
      </c>
    </row>
    <row r="31" spans="1:28" x14ac:dyDescent="0.3">
      <c r="J31" s="1" t="str">
        <v>Bob Fitts</v>
      </c>
      <c r="K31" s="1" t="str">
        <v>bob_fitts</v>
      </c>
      <c r="L31" s="1">
        <v>1</v>
      </c>
      <c r="M31" s="16">
        <v>0</v>
      </c>
      <c r="N31" s="22">
        <v>0</v>
      </c>
      <c r="Y31" t="s">
        <v>2309</v>
      </c>
      <c r="Z31" t="s">
        <v>2229</v>
      </c>
      <c r="AA31" t="s">
        <v>53</v>
      </c>
      <c r="AB31">
        <v>12</v>
      </c>
    </row>
    <row r="32" spans="1:28" x14ac:dyDescent="0.3">
      <c r="J32" s="1" t="str">
        <v>Bob Fitts y Gary Sadler</v>
      </c>
      <c r="K32" s="1" t="str">
        <v>bob_fitts_y_gary_sadler</v>
      </c>
      <c r="L32" s="1">
        <v>1</v>
      </c>
      <c r="M32" s="16">
        <v>1</v>
      </c>
      <c r="N32" s="22">
        <v>1</v>
      </c>
      <c r="Y32" t="s">
        <v>52</v>
      </c>
      <c r="Z32" t="s">
        <v>2229</v>
      </c>
      <c r="AA32" t="s">
        <v>53</v>
      </c>
      <c r="AB32">
        <v>10</v>
      </c>
    </row>
    <row r="33" spans="10:28" x14ac:dyDescent="0.3">
      <c r="J33" s="1" t="str">
        <v>Bob Probert</v>
      </c>
      <c r="K33" s="1" t="str">
        <v>bob_probert</v>
      </c>
      <c r="L33" s="1">
        <v>1</v>
      </c>
      <c r="M33" s="16">
        <v>0</v>
      </c>
      <c r="N33" s="22">
        <v>0</v>
      </c>
      <c r="Y33" t="s">
        <v>2325</v>
      </c>
      <c r="Z33" t="s">
        <v>2229</v>
      </c>
      <c r="AA33" t="s">
        <v>415</v>
      </c>
      <c r="AB33">
        <v>1</v>
      </c>
    </row>
    <row r="34" spans="10:28" x14ac:dyDescent="0.3">
      <c r="J34" s="1" t="str">
        <v>Brent Chambers</v>
      </c>
      <c r="K34" s="1" t="str">
        <v>brent_chambers</v>
      </c>
      <c r="L34" s="1">
        <v>1</v>
      </c>
      <c r="M34" s="16">
        <v>0</v>
      </c>
      <c r="N34" s="22">
        <v>0</v>
      </c>
      <c r="Y34" t="s">
        <v>2357</v>
      </c>
      <c r="Z34" t="s">
        <v>2229</v>
      </c>
      <c r="AA34" t="s">
        <v>2354</v>
      </c>
      <c r="AB34">
        <v>5</v>
      </c>
    </row>
    <row r="35" spans="10:28" x14ac:dyDescent="0.3">
      <c r="J35" s="1" t="str">
        <v>Brian Doerksen</v>
      </c>
      <c r="K35" s="1" t="str">
        <v>brian_doerksen</v>
      </c>
      <c r="L35" s="1">
        <v>1</v>
      </c>
      <c r="M35" s="16">
        <v>0</v>
      </c>
      <c r="N35" s="22">
        <v>0</v>
      </c>
      <c r="Y35" t="s">
        <v>2321</v>
      </c>
      <c r="Z35" t="s">
        <v>2229</v>
      </c>
      <c r="AA35" t="s">
        <v>2310</v>
      </c>
      <c r="AB35">
        <v>13</v>
      </c>
    </row>
    <row r="36" spans="10:28" x14ac:dyDescent="0.3">
      <c r="J36" s="1" t="str">
        <v>Brotes de Olivo</v>
      </c>
      <c r="K36" s="1" t="str">
        <v>brotes_de_olivo</v>
      </c>
      <c r="L36" s="1">
        <v>42</v>
      </c>
      <c r="M36" s="16">
        <v>36</v>
      </c>
      <c r="N36" s="22">
        <v>0.8571428571428571</v>
      </c>
      <c r="Y36" t="s">
        <v>2237</v>
      </c>
      <c r="Z36" t="s">
        <v>2229</v>
      </c>
      <c r="AA36" t="s">
        <v>2230</v>
      </c>
      <c r="AB36">
        <v>7</v>
      </c>
    </row>
    <row r="37" spans="10:28" x14ac:dyDescent="0.3">
      <c r="J37" s="1" t="str">
        <v>Bruce y Jude Borneman</v>
      </c>
      <c r="K37" s="1" t="str">
        <v>bruce_y_jude_borneman</v>
      </c>
      <c r="L37" s="1">
        <v>1</v>
      </c>
      <c r="M37" s="16">
        <v>0</v>
      </c>
      <c r="N37" s="22">
        <v>0</v>
      </c>
      <c r="Y37" t="s">
        <v>2252</v>
      </c>
      <c r="Z37" t="s">
        <v>2229</v>
      </c>
      <c r="AA37" t="s">
        <v>2244</v>
      </c>
      <c r="AB37">
        <v>9</v>
      </c>
    </row>
    <row r="38" spans="10:28" x14ac:dyDescent="0.3">
      <c r="J38" s="1" t="str">
        <v>Cantos S Cateq</v>
      </c>
      <c r="K38" s="1" t="str">
        <v>cantos_s_cateq</v>
      </c>
      <c r="L38" s="1">
        <v>2</v>
      </c>
      <c r="M38" s="16">
        <v>2</v>
      </c>
      <c r="N38" s="22">
        <v>1</v>
      </c>
      <c r="Y38" t="s">
        <v>2312</v>
      </c>
      <c r="Z38" t="s">
        <v>2229</v>
      </c>
      <c r="AA38" t="s">
        <v>2310</v>
      </c>
      <c r="AB38">
        <v>3</v>
      </c>
    </row>
    <row r="39" spans="10:28" x14ac:dyDescent="0.3">
      <c r="J39" s="1" t="str">
        <v>Carl Tuttle</v>
      </c>
      <c r="K39" s="1" t="str">
        <v>carl_tuttle</v>
      </c>
      <c r="L39" s="1">
        <v>1</v>
      </c>
      <c r="M39" s="16">
        <v>0</v>
      </c>
      <c r="N39" s="22">
        <v>0</v>
      </c>
      <c r="Y39" t="s">
        <v>2347</v>
      </c>
      <c r="Z39" t="s">
        <v>2229</v>
      </c>
      <c r="AA39" t="s">
        <v>2346</v>
      </c>
      <c r="AB39">
        <v>1</v>
      </c>
    </row>
    <row r="40" spans="10:28" x14ac:dyDescent="0.3">
      <c r="J40" s="1" t="str">
        <v>Carmelo Erdozáin</v>
      </c>
      <c r="K40" s="1" t="str">
        <v>carmelo_erdozain</v>
      </c>
      <c r="L40" s="1">
        <v>38</v>
      </c>
      <c r="M40" s="16">
        <v>37</v>
      </c>
      <c r="N40" s="22">
        <v>0.97368421052631582</v>
      </c>
      <c r="Y40" t="s">
        <v>2313</v>
      </c>
      <c r="Z40" t="s">
        <v>2229</v>
      </c>
      <c r="AA40" t="s">
        <v>2310</v>
      </c>
      <c r="AB40">
        <v>4</v>
      </c>
    </row>
    <row r="41" spans="10:28" x14ac:dyDescent="0.3">
      <c r="J41" s="1" t="str">
        <v>Carolina Martínez</v>
      </c>
      <c r="K41" s="1" t="str">
        <v>carolina_martinez</v>
      </c>
      <c r="L41" s="1">
        <v>1</v>
      </c>
      <c r="M41" s="16">
        <v>0</v>
      </c>
      <c r="N41" s="22">
        <v>0</v>
      </c>
      <c r="Y41" t="s">
        <v>2341</v>
      </c>
      <c r="Z41" t="s">
        <v>2229</v>
      </c>
      <c r="AA41" t="s">
        <v>887</v>
      </c>
      <c r="AB41">
        <v>8</v>
      </c>
    </row>
    <row r="42" spans="10:28" x14ac:dyDescent="0.3">
      <c r="J42" s="1" t="str">
        <v>César Nebot</v>
      </c>
      <c r="K42" s="1" t="str">
        <v>cesar_nebot</v>
      </c>
      <c r="L42" s="1">
        <v>3</v>
      </c>
      <c r="M42" s="16">
        <v>0</v>
      </c>
      <c r="N42" s="22">
        <v>0</v>
      </c>
      <c r="Y42" t="s">
        <v>2277</v>
      </c>
      <c r="Z42" t="s">
        <v>2229</v>
      </c>
      <c r="AA42" t="s">
        <v>2259</v>
      </c>
      <c r="AB42">
        <v>4</v>
      </c>
    </row>
    <row r="43" spans="10:28" x14ac:dyDescent="0.3">
      <c r="J43" s="1" t="str">
        <v>Cesáreo Gabarain</v>
      </c>
      <c r="K43" s="1" t="str">
        <v>cesareo_gabarain</v>
      </c>
      <c r="L43" s="1">
        <v>34</v>
      </c>
      <c r="M43" s="16">
        <v>31</v>
      </c>
      <c r="N43" s="22">
        <v>0.91176470588235292</v>
      </c>
      <c r="Y43" t="s">
        <v>2283</v>
      </c>
      <c r="Z43" t="s">
        <v>2229</v>
      </c>
      <c r="AA43" t="s">
        <v>2259</v>
      </c>
      <c r="AB43">
        <v>14</v>
      </c>
    </row>
    <row r="44" spans="10:28" x14ac:dyDescent="0.3">
      <c r="J44" s="1" t="str">
        <v>Chantal Guerret</v>
      </c>
      <c r="K44" s="1" t="str">
        <v>chantal_guerret</v>
      </c>
      <c r="L44" s="1">
        <v>1</v>
      </c>
      <c r="M44" s="16">
        <v>0</v>
      </c>
      <c r="N44" s="22">
        <v>0</v>
      </c>
      <c r="Y44" t="s">
        <v>2276</v>
      </c>
      <c r="Z44" t="s">
        <v>2229</v>
      </c>
      <c r="AA44" t="s">
        <v>2259</v>
      </c>
      <c r="AB44">
        <v>2</v>
      </c>
    </row>
    <row r="45" spans="10:28" x14ac:dyDescent="0.3">
      <c r="J45" s="1" t="str">
        <v>Charlotte Exon</v>
      </c>
      <c r="K45" s="1" t="str">
        <v>charlotte_exon</v>
      </c>
      <c r="L45" s="1">
        <v>1</v>
      </c>
      <c r="M45" s="16">
        <v>0</v>
      </c>
      <c r="N45" s="22">
        <v>0</v>
      </c>
      <c r="Y45" t="s">
        <v>2302</v>
      </c>
      <c r="Z45" t="s">
        <v>2229</v>
      </c>
      <c r="AA45" t="s">
        <v>53</v>
      </c>
      <c r="AB45">
        <v>4</v>
      </c>
    </row>
    <row r="46" spans="10:28" x14ac:dyDescent="0.3">
      <c r="J46" s="1" t="str">
        <v>Charo Moreno</v>
      </c>
      <c r="K46" s="1" t="str">
        <v>charo_moreno</v>
      </c>
      <c r="L46" s="1">
        <v>1</v>
      </c>
      <c r="M46" s="16">
        <v>0</v>
      </c>
      <c r="N46" s="22">
        <v>0</v>
      </c>
      <c r="Y46" t="s">
        <v>2328</v>
      </c>
      <c r="Z46" t="s">
        <v>2229</v>
      </c>
      <c r="AA46" t="s">
        <v>415</v>
      </c>
      <c r="AB46">
        <v>5</v>
      </c>
    </row>
    <row r="47" spans="10:28" x14ac:dyDescent="0.3">
      <c r="J47" s="1" t="str">
        <v>Chema</v>
      </c>
      <c r="K47" s="1" t="str">
        <v>chema</v>
      </c>
      <c r="L47" s="1">
        <v>1</v>
      </c>
      <c r="M47" s="16">
        <v>1</v>
      </c>
      <c r="N47" s="22">
        <v>1</v>
      </c>
      <c r="Y47" t="s">
        <v>2247</v>
      </c>
      <c r="Z47" t="s">
        <v>2229</v>
      </c>
      <c r="AA47" t="s">
        <v>2244</v>
      </c>
      <c r="AB47">
        <v>4</v>
      </c>
    </row>
    <row r="48" spans="10:28" x14ac:dyDescent="0.3">
      <c r="J48" s="1" t="str">
        <v>Chiquito Villalba</v>
      </c>
      <c r="K48" s="1" t="str">
        <v>chiquito_villalba</v>
      </c>
      <c r="L48" s="1">
        <v>1</v>
      </c>
      <c r="M48" s="16">
        <v>0</v>
      </c>
      <c r="N48" s="22">
        <v>0</v>
      </c>
      <c r="Y48" t="s">
        <v>2278</v>
      </c>
      <c r="Z48" t="s">
        <v>2229</v>
      </c>
      <c r="AA48" t="s">
        <v>2259</v>
      </c>
      <c r="AB48">
        <v>5</v>
      </c>
    </row>
    <row r="49" spans="10:28" x14ac:dyDescent="0.3">
      <c r="J49" s="1" t="str">
        <v>Claude Fraysse</v>
      </c>
      <c r="K49" s="1" t="str">
        <v>claude_fraysse</v>
      </c>
      <c r="L49" s="1">
        <v>1</v>
      </c>
      <c r="M49" s="16">
        <v>0</v>
      </c>
      <c r="N49" s="22">
        <v>0</v>
      </c>
      <c r="Y49" t="s">
        <v>591</v>
      </c>
      <c r="Z49" t="s">
        <v>2229</v>
      </c>
      <c r="AA49" t="s">
        <v>2259</v>
      </c>
      <c r="AB49">
        <v>7</v>
      </c>
    </row>
    <row r="50" spans="10:28" x14ac:dyDescent="0.3">
      <c r="J50" s="1" t="str">
        <v>Clint Brown</v>
      </c>
      <c r="K50" s="1" t="str">
        <v>clint_brown</v>
      </c>
      <c r="L50" s="1">
        <v>1</v>
      </c>
      <c r="M50" s="16">
        <v>0</v>
      </c>
      <c r="N50" s="22">
        <v>0</v>
      </c>
      <c r="Y50" t="s">
        <v>2272</v>
      </c>
      <c r="Z50" t="s">
        <v>2229</v>
      </c>
      <c r="AA50" t="s">
        <v>2261</v>
      </c>
      <c r="AB50">
        <v>12</v>
      </c>
    </row>
    <row r="51" spans="10:28" x14ac:dyDescent="0.3">
      <c r="J51" s="1" t="str">
        <v>Comunidad San Pedro</v>
      </c>
      <c r="K51" s="1" t="str">
        <v>comunidad_san_pedro</v>
      </c>
      <c r="L51" s="1">
        <v>2</v>
      </c>
      <c r="M51" s="16">
        <v>2</v>
      </c>
      <c r="N51" s="22">
        <v>1</v>
      </c>
      <c r="Y51" t="s">
        <v>1820</v>
      </c>
      <c r="Z51" t="s">
        <v>2229</v>
      </c>
      <c r="AA51" t="s">
        <v>2261</v>
      </c>
      <c r="AB51">
        <v>10</v>
      </c>
    </row>
    <row r="52" spans="10:28" x14ac:dyDescent="0.3">
      <c r="J52" s="1" t="str">
        <v>Coral Católica Juvenil</v>
      </c>
      <c r="K52" s="1" t="str">
        <v>coral_catolica_juvenil</v>
      </c>
      <c r="L52" s="1">
        <v>1</v>
      </c>
      <c r="M52" s="16">
        <v>1</v>
      </c>
      <c r="N52" s="22">
        <v>1</v>
      </c>
      <c r="Y52" t="s">
        <v>2281</v>
      </c>
      <c r="Z52" t="s">
        <v>2229</v>
      </c>
      <c r="AA52" t="s">
        <v>2259</v>
      </c>
      <c r="AB52">
        <v>11</v>
      </c>
    </row>
    <row r="53" spans="10:28" x14ac:dyDescent="0.3">
      <c r="J53" s="1" t="str">
        <v>Coro Niño Jesús (Cádiz)</v>
      </c>
      <c r="K53" s="1" t="str">
        <v>coro_niño_jesus_(cadiz)</v>
      </c>
      <c r="L53" s="1">
        <v>1</v>
      </c>
      <c r="M53" s="16">
        <v>1</v>
      </c>
      <c r="N53" s="22">
        <v>1</v>
      </c>
      <c r="Y53" t="s">
        <v>1544</v>
      </c>
      <c r="Z53" t="s">
        <v>2229</v>
      </c>
      <c r="AA53" t="s">
        <v>2259</v>
      </c>
      <c r="AB53">
        <v>3</v>
      </c>
    </row>
    <row r="54" spans="10:28" x14ac:dyDescent="0.3">
      <c r="J54" s="1" t="str">
        <v>Coro Parroquial San Miguel</v>
      </c>
      <c r="K54" s="1" t="str">
        <v>coro_parroquial_san_miguel</v>
      </c>
      <c r="L54" s="1">
        <v>1</v>
      </c>
      <c r="M54" s="16">
        <v>1</v>
      </c>
      <c r="N54" s="22">
        <v>1</v>
      </c>
      <c r="Y54" t="s">
        <v>2236</v>
      </c>
      <c r="Z54" t="s">
        <v>2229</v>
      </c>
      <c r="AA54" t="s">
        <v>2230</v>
      </c>
      <c r="AB54">
        <v>6</v>
      </c>
    </row>
    <row r="55" spans="10:28" x14ac:dyDescent="0.3">
      <c r="J55" s="1" t="str">
        <v>Daniel Iverson</v>
      </c>
      <c r="K55" s="1" t="str">
        <v>daniel_iverson</v>
      </c>
      <c r="L55" s="1">
        <v>1</v>
      </c>
      <c r="M55" s="16">
        <v>0</v>
      </c>
      <c r="N55" s="22">
        <v>0</v>
      </c>
      <c r="Y55" t="s">
        <v>200</v>
      </c>
      <c r="Z55" t="s">
        <v>2229</v>
      </c>
      <c r="AA55" t="s">
        <v>2259</v>
      </c>
      <c r="AB55">
        <v>8</v>
      </c>
    </row>
    <row r="56" spans="10:28" x14ac:dyDescent="0.3">
      <c r="J56" s="1" t="str">
        <v>Darlene Zschech</v>
      </c>
      <c r="K56" s="1" t="str">
        <v>darlene_zschech</v>
      </c>
      <c r="L56" s="1">
        <v>1</v>
      </c>
      <c r="M56" s="16">
        <v>0</v>
      </c>
      <c r="N56" s="22">
        <v>0</v>
      </c>
      <c r="Y56" t="s">
        <v>2256</v>
      </c>
      <c r="Z56" t="s">
        <v>2229</v>
      </c>
      <c r="AA56" t="s">
        <v>2244</v>
      </c>
      <c r="AB56">
        <v>13</v>
      </c>
    </row>
    <row r="57" spans="10:28" x14ac:dyDescent="0.3">
      <c r="J57" s="1" t="str">
        <v>David Graham</v>
      </c>
      <c r="K57" s="1" t="str">
        <v>david_graham</v>
      </c>
      <c r="L57" s="1">
        <v>1</v>
      </c>
      <c r="M57" s="16">
        <v>0</v>
      </c>
      <c r="N57" s="22">
        <v>0</v>
      </c>
      <c r="Y57" t="s">
        <v>2330</v>
      </c>
      <c r="Z57" t="s">
        <v>2229</v>
      </c>
      <c r="AA57" t="s">
        <v>415</v>
      </c>
      <c r="AB57">
        <v>7</v>
      </c>
    </row>
    <row r="58" spans="10:28" x14ac:dyDescent="0.3">
      <c r="J58" s="1" t="str">
        <v>David Julien</v>
      </c>
      <c r="K58" s="1" t="str">
        <v>david_julien</v>
      </c>
      <c r="L58" s="1">
        <v>1</v>
      </c>
      <c r="M58" s="16">
        <v>1</v>
      </c>
      <c r="N58" s="22">
        <v>1</v>
      </c>
      <c r="Y58" t="s">
        <v>2232</v>
      </c>
      <c r="Z58" t="s">
        <v>2229</v>
      </c>
      <c r="AA58" t="s">
        <v>2230</v>
      </c>
      <c r="AB58">
        <v>2</v>
      </c>
    </row>
    <row r="59" spans="10:28" x14ac:dyDescent="0.3">
      <c r="J59" s="1" t="str">
        <v>Debbye Graafsma</v>
      </c>
      <c r="K59" s="1" t="str">
        <v>debbye_graafsma</v>
      </c>
      <c r="L59" s="1">
        <v>1</v>
      </c>
      <c r="M59" s="16">
        <v>1</v>
      </c>
      <c r="N59" s="22">
        <v>1</v>
      </c>
      <c r="Y59" t="s">
        <v>2285</v>
      </c>
      <c r="Z59" t="s">
        <v>2229</v>
      </c>
      <c r="AA59" t="s">
        <v>2260</v>
      </c>
      <c r="AB59">
        <v>3</v>
      </c>
    </row>
    <row r="60" spans="10:28" x14ac:dyDescent="0.3">
      <c r="J60" s="1" t="str">
        <v>Don Harris</v>
      </c>
      <c r="K60" s="1" t="str">
        <v>don_harris</v>
      </c>
      <c r="L60" s="1">
        <v>1</v>
      </c>
      <c r="M60" s="16">
        <v>0</v>
      </c>
      <c r="N60" s="22">
        <v>0</v>
      </c>
      <c r="Y60" t="s">
        <v>2250</v>
      </c>
      <c r="Z60" t="s">
        <v>2229</v>
      </c>
      <c r="AA60" t="s">
        <v>2244</v>
      </c>
      <c r="AB60">
        <v>7</v>
      </c>
    </row>
    <row r="61" spans="10:28" x14ac:dyDescent="0.3">
      <c r="J61" s="1" t="str">
        <v>Don Moen</v>
      </c>
      <c r="K61" s="1" t="str">
        <v>don_moen</v>
      </c>
      <c r="L61" s="1">
        <v>1</v>
      </c>
      <c r="M61" s="16">
        <v>0</v>
      </c>
      <c r="N61" s="22">
        <v>0</v>
      </c>
      <c r="Y61" t="s">
        <v>2266</v>
      </c>
      <c r="Z61" t="s">
        <v>2229</v>
      </c>
      <c r="AA61" t="s">
        <v>2261</v>
      </c>
      <c r="AB61">
        <v>5</v>
      </c>
    </row>
    <row r="62" spans="10:28" x14ac:dyDescent="0.3">
      <c r="J62" s="1" t="str">
        <v>Donald Fishel</v>
      </c>
      <c r="K62" s="1" t="str">
        <v>donald_fishel</v>
      </c>
      <c r="L62" s="1">
        <v>1</v>
      </c>
      <c r="M62" s="16">
        <v>1</v>
      </c>
      <c r="N62" s="22">
        <v>1</v>
      </c>
      <c r="Y62" t="s">
        <v>2235</v>
      </c>
      <c r="Z62" t="s">
        <v>2229</v>
      </c>
      <c r="AA62" t="s">
        <v>2230</v>
      </c>
      <c r="AB62">
        <v>5</v>
      </c>
    </row>
    <row r="63" spans="10:28" x14ac:dyDescent="0.3">
      <c r="J63" s="1" t="str">
        <v>Doug Horley</v>
      </c>
      <c r="K63" s="1" t="str">
        <v>doug_horley</v>
      </c>
      <c r="L63" s="1">
        <v>1</v>
      </c>
      <c r="M63" s="16">
        <v>0</v>
      </c>
      <c r="N63" s="22">
        <v>0</v>
      </c>
      <c r="Y63" t="s">
        <v>2353</v>
      </c>
      <c r="Z63" t="s">
        <v>2229</v>
      </c>
      <c r="AA63" t="s">
        <v>2346</v>
      </c>
      <c r="AB63">
        <v>12</v>
      </c>
    </row>
    <row r="64" spans="10:28" x14ac:dyDescent="0.3">
      <c r="J64" s="1" t="str">
        <v>Dubé</v>
      </c>
      <c r="K64" s="1" t="str">
        <v>dube</v>
      </c>
      <c r="L64" s="1">
        <v>1</v>
      </c>
      <c r="M64" s="16">
        <v>0</v>
      </c>
      <c r="N64" s="22">
        <v>0</v>
      </c>
      <c r="Y64" t="s">
        <v>2320</v>
      </c>
      <c r="Z64" t="s">
        <v>2229</v>
      </c>
      <c r="AA64" t="s">
        <v>2310</v>
      </c>
      <c r="AB64">
        <v>12</v>
      </c>
    </row>
    <row r="65" spans="10:28" x14ac:dyDescent="0.3">
      <c r="J65" s="1" t="str">
        <v>Edith McNeill</v>
      </c>
      <c r="K65" s="1" t="str">
        <v>edith_mcneill</v>
      </c>
      <c r="L65" s="1">
        <v>1</v>
      </c>
      <c r="M65" s="16">
        <v>0</v>
      </c>
      <c r="N65" s="22">
        <v>0</v>
      </c>
      <c r="Y65" t="s">
        <v>2333</v>
      </c>
      <c r="Z65" t="s">
        <v>2229</v>
      </c>
      <c r="AA65" t="s">
        <v>415</v>
      </c>
      <c r="AB65">
        <v>10</v>
      </c>
    </row>
    <row r="66" spans="10:28" x14ac:dyDescent="0.3">
      <c r="J66" s="1" t="str">
        <v>Eduardo Meana</v>
      </c>
      <c r="K66" s="1" t="str">
        <v>eduardo_meana</v>
      </c>
      <c r="L66" s="1">
        <v>2</v>
      </c>
      <c r="M66" s="16">
        <v>2</v>
      </c>
      <c r="N66" s="22">
        <v>1</v>
      </c>
      <c r="Y66" t="s">
        <v>2300</v>
      </c>
      <c r="Z66" t="s">
        <v>2229</v>
      </c>
      <c r="AA66" t="s">
        <v>53</v>
      </c>
      <c r="AB66">
        <v>2</v>
      </c>
    </row>
    <row r="67" spans="10:28" x14ac:dyDescent="0.3">
      <c r="J67" s="1" t="str">
        <v>Eduardo Ortiz</v>
      </c>
      <c r="K67" s="1" t="str">
        <v>eduardo_ortiz</v>
      </c>
      <c r="L67" s="1">
        <v>1</v>
      </c>
      <c r="M67" s="16">
        <v>1</v>
      </c>
      <c r="N67" s="22">
        <v>1</v>
      </c>
      <c r="Y67" t="s">
        <v>2290</v>
      </c>
      <c r="Z67" t="s">
        <v>2229</v>
      </c>
      <c r="AA67" t="s">
        <v>2260</v>
      </c>
      <c r="AB67">
        <v>9</v>
      </c>
    </row>
    <row r="68" spans="10:28" x14ac:dyDescent="0.3">
      <c r="J68" s="1" t="str">
        <v>Elena Andrés</v>
      </c>
      <c r="K68" s="1" t="str">
        <v>elena_andres</v>
      </c>
      <c r="L68" s="1">
        <v>2</v>
      </c>
      <c r="M68" s="16">
        <v>0</v>
      </c>
      <c r="N68" s="22">
        <v>0</v>
      </c>
      <c r="Y68" t="s">
        <v>415</v>
      </c>
      <c r="Z68" t="s">
        <v>2229</v>
      </c>
      <c r="AA68" t="s">
        <v>415</v>
      </c>
      <c r="AB68">
        <v>2</v>
      </c>
    </row>
    <row r="69" spans="10:28" x14ac:dyDescent="0.3">
      <c r="J69" s="1" t="str">
        <v>Elena Ráfales</v>
      </c>
      <c r="K69" s="1" t="str">
        <v>elena_rafales</v>
      </c>
      <c r="L69" s="1">
        <v>1</v>
      </c>
      <c r="M69" s="16">
        <v>1</v>
      </c>
      <c r="N69" s="22">
        <v>1</v>
      </c>
      <c r="Y69" t="s">
        <v>2349</v>
      </c>
      <c r="Z69" t="s">
        <v>2229</v>
      </c>
      <c r="AA69" t="s">
        <v>2346</v>
      </c>
      <c r="AB69">
        <v>5</v>
      </c>
    </row>
    <row r="70" spans="10:28" x14ac:dyDescent="0.3">
      <c r="J70" s="1" t="str">
        <v>Emilio Vicente Mateu</v>
      </c>
      <c r="K70" s="1" t="str">
        <v>emilio_vicente_mateu</v>
      </c>
      <c r="L70" s="1">
        <v>12</v>
      </c>
      <c r="M70" s="16">
        <v>9</v>
      </c>
      <c r="N70" s="22">
        <v>0.75</v>
      </c>
      <c r="Y70" t="s">
        <v>2253</v>
      </c>
      <c r="Z70" t="s">
        <v>2229</v>
      </c>
      <c r="AA70" t="s">
        <v>2244</v>
      </c>
      <c r="AB70">
        <v>10</v>
      </c>
    </row>
    <row r="71" spans="10:28" x14ac:dyDescent="0.3">
      <c r="J71" s="1" t="str">
        <v>Enrique García Vélez</v>
      </c>
      <c r="K71" s="1" t="str">
        <v>enrique_garcia_velez</v>
      </c>
      <c r="L71" s="1">
        <v>1</v>
      </c>
      <c r="M71" s="16">
        <v>1</v>
      </c>
      <c r="N71" s="22">
        <v>1</v>
      </c>
      <c r="Y71" t="s">
        <v>2280</v>
      </c>
      <c r="Z71" t="s">
        <v>2229</v>
      </c>
      <c r="AA71" t="s">
        <v>2259</v>
      </c>
      <c r="AB71">
        <v>10</v>
      </c>
    </row>
    <row r="72" spans="10:28" x14ac:dyDescent="0.3">
      <c r="J72" s="1" t="str">
        <v>Eric Nuzum</v>
      </c>
      <c r="K72" s="1" t="str">
        <v>eric_nuzum</v>
      </c>
      <c r="L72" s="1">
        <v>1</v>
      </c>
      <c r="M72" s="16">
        <v>0</v>
      </c>
      <c r="N72" s="22">
        <v>0</v>
      </c>
      <c r="Y72" t="s">
        <v>2267</v>
      </c>
      <c r="Z72" t="s">
        <v>2229</v>
      </c>
      <c r="AA72" t="s">
        <v>2261</v>
      </c>
      <c r="AB72">
        <v>7</v>
      </c>
    </row>
    <row r="73" spans="10:28" x14ac:dyDescent="0.3">
      <c r="J73" s="1" t="str">
        <v>Esther Watanabe</v>
      </c>
      <c r="K73" s="1" t="str">
        <v>esther_watanabe</v>
      </c>
      <c r="L73" s="1">
        <v>1</v>
      </c>
      <c r="M73" s="16">
        <v>1</v>
      </c>
      <c r="N73" s="22">
        <v>1</v>
      </c>
      <c r="Y73" t="s">
        <v>2265</v>
      </c>
      <c r="Z73" t="s">
        <v>2229</v>
      </c>
      <c r="AA73" t="s">
        <v>2261</v>
      </c>
      <c r="AB73">
        <v>4</v>
      </c>
    </row>
    <row r="74" spans="10:28" x14ac:dyDescent="0.3">
      <c r="J74" s="1" t="str">
        <v>Eugene Greco</v>
      </c>
      <c r="K74" s="1" t="str">
        <v>eugene_greco</v>
      </c>
      <c r="L74" s="1">
        <v>1</v>
      </c>
      <c r="M74" s="16">
        <v>0</v>
      </c>
      <c r="N74" s="22">
        <v>0</v>
      </c>
      <c r="Y74" t="s">
        <v>2314</v>
      </c>
      <c r="Z74" t="s">
        <v>2229</v>
      </c>
      <c r="AA74" t="s">
        <v>2310</v>
      </c>
      <c r="AB74">
        <v>5</v>
      </c>
    </row>
    <row r="75" spans="10:28" x14ac:dyDescent="0.3">
      <c r="J75" s="1" t="str">
        <v>Fausto Pflucker</v>
      </c>
      <c r="K75" s="1" t="str">
        <v>fausto_pflucker</v>
      </c>
      <c r="L75" s="1">
        <v>1</v>
      </c>
      <c r="M75" s="16">
        <v>0</v>
      </c>
      <c r="N75" s="22">
        <v>0</v>
      </c>
      <c r="Y75" t="s">
        <v>2335</v>
      </c>
      <c r="Z75" t="s">
        <v>2229</v>
      </c>
      <c r="AA75" t="s">
        <v>415</v>
      </c>
      <c r="AB75">
        <v>12</v>
      </c>
    </row>
    <row r="76" spans="10:28" x14ac:dyDescent="0.3">
      <c r="J76" s="1" t="str">
        <v>Fermín García</v>
      </c>
      <c r="K76" s="1" t="str">
        <v>fermin_garcia</v>
      </c>
      <c r="L76" s="1">
        <v>1</v>
      </c>
      <c r="M76" s="16">
        <v>0</v>
      </c>
      <c r="N76" s="22">
        <v>0</v>
      </c>
      <c r="Y76" t="s">
        <v>2262</v>
      </c>
      <c r="Z76" t="s">
        <v>2229</v>
      </c>
      <c r="AA76" t="s">
        <v>2261</v>
      </c>
      <c r="AB76">
        <v>1</v>
      </c>
    </row>
    <row r="77" spans="10:28" x14ac:dyDescent="0.3">
      <c r="J77" s="1" t="str">
        <v>Fernando Viejo</v>
      </c>
      <c r="K77" s="1" t="str">
        <v>fernando_viejo</v>
      </c>
      <c r="L77" s="1">
        <v>6</v>
      </c>
      <c r="M77" s="16">
        <v>6</v>
      </c>
      <c r="N77" s="22">
        <v>1</v>
      </c>
      <c r="Y77" t="s">
        <v>2271</v>
      </c>
      <c r="Z77" t="s">
        <v>2229</v>
      </c>
      <c r="AA77" t="s">
        <v>2261</v>
      </c>
      <c r="AB77">
        <v>11</v>
      </c>
    </row>
    <row r="78" spans="10:28" x14ac:dyDescent="0.3">
      <c r="J78" s="1" t="str">
        <v>Francisco Alvarado (Schönstatt)</v>
      </c>
      <c r="K78" s="1" t="str">
        <v>francisco_alvarado_(schönstatt)</v>
      </c>
      <c r="L78" s="1">
        <v>1</v>
      </c>
      <c r="M78" s="16">
        <v>1</v>
      </c>
      <c r="N78" s="22">
        <v>1</v>
      </c>
      <c r="Y78" t="s">
        <v>2273</v>
      </c>
      <c r="Z78" t="s">
        <v>2229</v>
      </c>
      <c r="AA78" t="s">
        <v>2261</v>
      </c>
      <c r="AB78">
        <v>13</v>
      </c>
    </row>
    <row r="79" spans="10:28" x14ac:dyDescent="0.3">
      <c r="J79" s="1" t="str">
        <v>Francisco de Asís</v>
      </c>
      <c r="K79" s="1" t="str">
        <v>francisco_de_asis</v>
      </c>
      <c r="L79" s="1">
        <v>1</v>
      </c>
      <c r="M79" s="16">
        <v>1</v>
      </c>
      <c r="N79" s="22">
        <v>1</v>
      </c>
      <c r="Y79" t="s">
        <v>2293</v>
      </c>
      <c r="Z79" t="s">
        <v>2229</v>
      </c>
      <c r="AA79" t="s">
        <v>2260</v>
      </c>
      <c r="AB79">
        <v>12</v>
      </c>
    </row>
    <row r="80" spans="10:28" x14ac:dyDescent="0.3">
      <c r="J80" s="1" t="str">
        <v>Francisco Palazón</v>
      </c>
      <c r="K80" s="1" t="str">
        <v>francisco_palazon</v>
      </c>
      <c r="L80" s="1">
        <v>129</v>
      </c>
      <c r="M80" s="16">
        <v>83</v>
      </c>
      <c r="N80" s="22">
        <v>0.64341085271317833</v>
      </c>
      <c r="Y80" t="s">
        <v>2258</v>
      </c>
      <c r="Z80" t="s">
        <v>2229</v>
      </c>
      <c r="AA80" t="s">
        <v>53</v>
      </c>
      <c r="AB80">
        <v>8</v>
      </c>
    </row>
    <row r="81" spans="10:28" x14ac:dyDescent="0.3">
      <c r="J81" s="1" t="str">
        <v>Frank Hernández</v>
      </c>
      <c r="K81" s="1" t="str">
        <v>frank_hernandez</v>
      </c>
      <c r="L81" s="1">
        <v>1</v>
      </c>
      <c r="M81" s="16">
        <v>0</v>
      </c>
      <c r="N81" s="22">
        <v>0</v>
      </c>
      <c r="Y81" t="s">
        <v>2268</v>
      </c>
      <c r="Z81" t="s">
        <v>2229</v>
      </c>
      <c r="AA81" t="s">
        <v>2261</v>
      </c>
      <c r="AB81">
        <v>6</v>
      </c>
    </row>
    <row r="82" spans="10:28" x14ac:dyDescent="0.3">
      <c r="J82" s="1" t="str">
        <v>Fray André Gouze - Gocam</v>
      </c>
      <c r="K82" s="1" t="str">
        <v>fray_andre_gouze_-_gocam</v>
      </c>
      <c r="L82" s="1">
        <v>2</v>
      </c>
      <c r="M82" s="16">
        <v>0</v>
      </c>
      <c r="N82" s="22">
        <v>0</v>
      </c>
      <c r="Y82" t="s">
        <v>2288</v>
      </c>
      <c r="Z82" t="s">
        <v>2229</v>
      </c>
      <c r="AA82" t="s">
        <v>2260</v>
      </c>
      <c r="AB82">
        <v>7</v>
      </c>
    </row>
    <row r="83" spans="10:28" x14ac:dyDescent="0.3">
      <c r="J83" s="1" t="str">
        <v>Fray Nacho</v>
      </c>
      <c r="K83" s="1" t="str">
        <v>fray_nacho</v>
      </c>
      <c r="L83" s="1">
        <v>1</v>
      </c>
      <c r="M83" s="16">
        <v>0</v>
      </c>
      <c r="N83" s="22">
        <v>0</v>
      </c>
      <c r="Y83" t="s">
        <v>2327</v>
      </c>
      <c r="Z83" t="s">
        <v>2229</v>
      </c>
      <c r="AA83" t="s">
        <v>415</v>
      </c>
      <c r="AB83">
        <v>4</v>
      </c>
    </row>
    <row r="84" spans="10:28" x14ac:dyDescent="0.3">
      <c r="J84" s="1" t="str">
        <v>G Gancho</v>
      </c>
      <c r="K84" s="1" t="str">
        <v>g_gancho</v>
      </c>
      <c r="L84" s="1">
        <v>1</v>
      </c>
      <c r="M84" s="16">
        <v>0</v>
      </c>
      <c r="N84" s="22">
        <v>0</v>
      </c>
      <c r="Y84" t="s">
        <v>2332</v>
      </c>
      <c r="Z84" t="s">
        <v>2229</v>
      </c>
      <c r="AA84" t="s">
        <v>415</v>
      </c>
      <c r="AB84">
        <v>9</v>
      </c>
    </row>
    <row r="85" spans="10:28" x14ac:dyDescent="0.3">
      <c r="J85" s="1" t="str">
        <v>Gary Oliver</v>
      </c>
      <c r="K85" s="1" t="str">
        <v>gary_oliver</v>
      </c>
      <c r="L85" s="1">
        <v>1</v>
      </c>
      <c r="M85" s="16">
        <v>0</v>
      </c>
      <c r="N85" s="22">
        <v>0</v>
      </c>
      <c r="Y85" t="s">
        <v>2338</v>
      </c>
      <c r="Z85" t="s">
        <v>2229</v>
      </c>
      <c r="AA85" t="s">
        <v>415</v>
      </c>
      <c r="AB85">
        <v>15</v>
      </c>
    </row>
    <row r="86" spans="10:28" x14ac:dyDescent="0.3">
      <c r="J86" s="1" t="str">
        <v>Gen Rosso</v>
      </c>
      <c r="K86" s="1" t="str">
        <v>gen_rosso</v>
      </c>
      <c r="L86" s="1">
        <v>2</v>
      </c>
      <c r="M86" s="16">
        <v>2</v>
      </c>
      <c r="N86" s="22">
        <v>1</v>
      </c>
      <c r="Y86" t="s">
        <v>2340</v>
      </c>
      <c r="Z86" t="s">
        <v>2229</v>
      </c>
      <c r="AA86" t="s">
        <v>887</v>
      </c>
      <c r="AB86">
        <v>7</v>
      </c>
    </row>
    <row r="87" spans="10:28" x14ac:dyDescent="0.3">
      <c r="J87" s="1" t="str">
        <v>Gen Verde</v>
      </c>
      <c r="K87" s="1" t="str">
        <v>gen_verde</v>
      </c>
      <c r="L87" s="1">
        <v>1</v>
      </c>
      <c r="M87" s="16">
        <v>1</v>
      </c>
      <c r="N87" s="22">
        <v>1</v>
      </c>
      <c r="Y87" t="s">
        <v>2274</v>
      </c>
      <c r="Z87" t="s">
        <v>2229</v>
      </c>
      <c r="AA87" t="s">
        <v>2261</v>
      </c>
      <c r="AB87">
        <v>14</v>
      </c>
    </row>
    <row r="88" spans="10:28" x14ac:dyDescent="0.3">
      <c r="J88" s="1" t="str">
        <v>Georg Friedrich Händel</v>
      </c>
      <c r="K88" s="1" t="str">
        <v>georg_friedrich_händel</v>
      </c>
      <c r="L88" s="1">
        <v>1</v>
      </c>
      <c r="M88" s="16">
        <v>1</v>
      </c>
      <c r="N88" s="22">
        <v>1</v>
      </c>
      <c r="Y88" t="s">
        <v>2324</v>
      </c>
      <c r="Z88" t="s">
        <v>2229</v>
      </c>
      <c r="AA88" t="s">
        <v>2310</v>
      </c>
      <c r="AB88">
        <v>16</v>
      </c>
    </row>
    <row r="89" spans="10:28" x14ac:dyDescent="0.3">
      <c r="J89" s="1" t="str">
        <v>Getsemaní</v>
      </c>
      <c r="K89" s="1" t="str">
        <v>getsemani</v>
      </c>
      <c r="L89" s="1">
        <v>1</v>
      </c>
      <c r="M89" s="16">
        <v>1</v>
      </c>
      <c r="N89" s="22">
        <v>1</v>
      </c>
      <c r="Y89" t="s">
        <v>2356</v>
      </c>
      <c r="Z89" t="s">
        <v>2229</v>
      </c>
      <c r="AA89" t="s">
        <v>2354</v>
      </c>
      <c r="AB89">
        <v>4</v>
      </c>
    </row>
    <row r="90" spans="10:28" x14ac:dyDescent="0.3">
      <c r="J90" s="1" t="str">
        <v>Gian Franco Pagliardo</v>
      </c>
      <c r="K90" s="1" t="str">
        <v>gian_franco_pagliardo</v>
      </c>
      <c r="L90" s="1">
        <v>1</v>
      </c>
      <c r="M90" s="16">
        <v>1</v>
      </c>
      <c r="N90" s="22">
        <v>1</v>
      </c>
      <c r="Y90" t="s">
        <v>2261</v>
      </c>
      <c r="Z90" t="s">
        <v>2229</v>
      </c>
      <c r="AA90" t="s">
        <v>2261</v>
      </c>
      <c r="AB90">
        <v>15</v>
      </c>
    </row>
    <row r="91" spans="10:28" x14ac:dyDescent="0.3">
      <c r="J91" s="1" t="str">
        <v>Gina Fernández</v>
      </c>
      <c r="K91" s="1" t="str">
        <v>gina_fernandez</v>
      </c>
      <c r="L91" s="1">
        <v>1</v>
      </c>
      <c r="M91" s="16">
        <v>1</v>
      </c>
      <c r="N91" s="22">
        <v>1</v>
      </c>
      <c r="Y91" t="s">
        <v>2249</v>
      </c>
      <c r="Z91" t="s">
        <v>2229</v>
      </c>
      <c r="AA91" t="s">
        <v>2244</v>
      </c>
      <c r="AB91">
        <v>6</v>
      </c>
    </row>
    <row r="92" spans="10:28" x14ac:dyDescent="0.3">
      <c r="J92" s="1" t="str">
        <v>Gonzalo González</v>
      </c>
      <c r="K92" s="1" t="str">
        <v>gonzalo_gonzalez</v>
      </c>
      <c r="L92" s="1">
        <v>1</v>
      </c>
      <c r="M92" s="16">
        <v>1</v>
      </c>
      <c r="N92" s="22">
        <v>1</v>
      </c>
      <c r="Y92" t="s">
        <v>2350</v>
      </c>
      <c r="Z92" t="s">
        <v>2229</v>
      </c>
      <c r="AA92" t="s">
        <v>2346</v>
      </c>
      <c r="AB92">
        <v>6</v>
      </c>
    </row>
    <row r="93" spans="10:28" x14ac:dyDescent="0.3">
      <c r="J93" s="1" t="str">
        <v>Graham Kendrick</v>
      </c>
      <c r="K93" s="1" t="str">
        <v>graham_kendrick</v>
      </c>
      <c r="L93" s="1">
        <v>2</v>
      </c>
      <c r="M93" s="16">
        <v>2</v>
      </c>
      <c r="N93" s="22">
        <v>1</v>
      </c>
      <c r="Y93" t="s">
        <v>2308</v>
      </c>
      <c r="Z93" t="s">
        <v>2229</v>
      </c>
      <c r="AA93" t="s">
        <v>53</v>
      </c>
      <c r="AB93">
        <v>9</v>
      </c>
    </row>
    <row r="94" spans="10:28" x14ac:dyDescent="0.3">
      <c r="J94" s="1" t="str">
        <v>Gregorio Fernández</v>
      </c>
      <c r="K94" s="1" t="str">
        <v>gregorio_fernandez</v>
      </c>
      <c r="L94" s="1">
        <v>5</v>
      </c>
      <c r="M94" s="16">
        <v>4</v>
      </c>
      <c r="N94" s="22">
        <v>0.8</v>
      </c>
      <c r="Y94" t="s">
        <v>2239</v>
      </c>
      <c r="Z94" t="s">
        <v>2229</v>
      </c>
      <c r="AA94" t="s">
        <v>2230</v>
      </c>
      <c r="AB94">
        <v>9</v>
      </c>
    </row>
    <row r="95" spans="10:28" x14ac:dyDescent="0.3">
      <c r="J95" s="1" t="str">
        <v>Grupo Betsaida</v>
      </c>
      <c r="K95" s="1" t="str">
        <v>grupo_betsaida</v>
      </c>
      <c r="L95" s="1">
        <v>1</v>
      </c>
      <c r="M95" s="16">
        <v>1</v>
      </c>
      <c r="N95" s="22">
        <v>1</v>
      </c>
      <c r="Y95" t="s">
        <v>2284</v>
      </c>
      <c r="Z95" t="s">
        <v>2229</v>
      </c>
      <c r="AA95" t="s">
        <v>2260</v>
      </c>
      <c r="AB95">
        <v>1</v>
      </c>
    </row>
    <row r="96" spans="10:28" x14ac:dyDescent="0.3">
      <c r="J96" s="1" t="str">
        <v>Grupo Gente Nueva</v>
      </c>
      <c r="K96" s="1" t="str">
        <v>grupo_gente_nueva</v>
      </c>
      <c r="L96" s="1">
        <v>1</v>
      </c>
      <c r="M96" s="16">
        <v>1</v>
      </c>
      <c r="N96" s="22">
        <v>1</v>
      </c>
      <c r="Y96" t="s">
        <v>2233</v>
      </c>
      <c r="Z96" t="s">
        <v>2229</v>
      </c>
      <c r="AA96" t="s">
        <v>2230</v>
      </c>
      <c r="AB96">
        <v>3</v>
      </c>
    </row>
    <row r="97" spans="10:28" x14ac:dyDescent="0.3">
      <c r="J97" s="1" t="str">
        <v>Grupo Loyola Valladolid</v>
      </c>
      <c r="K97" s="1" t="str">
        <v>grupo_loyola_valladolid</v>
      </c>
      <c r="L97" s="1">
        <v>1</v>
      </c>
      <c r="M97" s="16">
        <v>1</v>
      </c>
      <c r="N97" s="22">
        <v>1</v>
      </c>
      <c r="Y97" t="s">
        <v>2255</v>
      </c>
      <c r="Z97" t="s">
        <v>2229</v>
      </c>
      <c r="AA97" t="s">
        <v>2244</v>
      </c>
      <c r="AB97">
        <v>12</v>
      </c>
    </row>
    <row r="98" spans="10:28" x14ac:dyDescent="0.3">
      <c r="J98" s="1" t="str">
        <v>Grupo Nueva Vida</v>
      </c>
      <c r="K98" s="1" t="str">
        <v>grupo_nueva_vida</v>
      </c>
      <c r="L98" s="1">
        <v>1</v>
      </c>
      <c r="M98" s="16">
        <v>1</v>
      </c>
      <c r="N98" s="22">
        <v>1</v>
      </c>
      <c r="Y98" t="s">
        <v>2317</v>
      </c>
      <c r="Z98" t="s">
        <v>2229</v>
      </c>
      <c r="AA98" t="s">
        <v>2310</v>
      </c>
      <c r="AB98">
        <v>8</v>
      </c>
    </row>
    <row r="99" spans="10:28" x14ac:dyDescent="0.3">
      <c r="J99" s="1" t="str">
        <v>Hakuna</v>
      </c>
      <c r="K99" s="1" t="str">
        <v>hakuna</v>
      </c>
      <c r="L99" s="1">
        <v>95</v>
      </c>
      <c r="M99" s="16">
        <v>94</v>
      </c>
      <c r="N99" s="22">
        <v>0.98947368421052628</v>
      </c>
      <c r="Y99" t="s">
        <v>2318</v>
      </c>
      <c r="Z99" t="s">
        <v>2229</v>
      </c>
      <c r="AA99" t="s">
        <v>2310</v>
      </c>
      <c r="AB99">
        <v>9</v>
      </c>
    </row>
    <row r="100" spans="10:28" x14ac:dyDescent="0.3">
      <c r="J100" s="1" t="str">
        <v>Héctor Hermosillo</v>
      </c>
      <c r="K100" s="1" t="str">
        <v>hector_hermosillo</v>
      </c>
      <c r="L100" s="1">
        <v>1</v>
      </c>
      <c r="M100" s="16">
        <v>0</v>
      </c>
      <c r="N100" s="22">
        <v>0</v>
      </c>
      <c r="Y100" t="s">
        <v>2331</v>
      </c>
      <c r="Z100" t="s">
        <v>2229</v>
      </c>
      <c r="AA100" t="s">
        <v>415</v>
      </c>
      <c r="AB100">
        <v>8</v>
      </c>
    </row>
    <row r="101" spans="10:28" x14ac:dyDescent="0.3">
      <c r="J101" s="1" t="str">
        <v>Henry Smith</v>
      </c>
      <c r="K101" s="1" t="str">
        <v>henry_smith</v>
      </c>
      <c r="L101" s="1">
        <v>1</v>
      </c>
      <c r="M101" s="16">
        <v>0</v>
      </c>
      <c r="N101" s="22">
        <v>0</v>
      </c>
      <c r="Y101" t="s">
        <v>887</v>
      </c>
      <c r="Z101" t="s">
        <v>2229</v>
      </c>
      <c r="AA101" t="s">
        <v>887</v>
      </c>
      <c r="AB101">
        <v>2</v>
      </c>
    </row>
    <row r="102" spans="10:28" x14ac:dyDescent="0.3">
      <c r="J102" s="1" t="str">
        <v>Hermana Glenda</v>
      </c>
      <c r="K102" s="1" t="str">
        <v>hermana_glenda</v>
      </c>
      <c r="L102" s="1">
        <v>12</v>
      </c>
      <c r="M102" s="16">
        <v>2</v>
      </c>
      <c r="N102" s="22">
        <v>0.16666666666666666</v>
      </c>
      <c r="Y102" t="s">
        <v>2322</v>
      </c>
      <c r="Z102" t="s">
        <v>2229</v>
      </c>
      <c r="AA102" t="s">
        <v>2310</v>
      </c>
      <c r="AB102">
        <v>14</v>
      </c>
    </row>
    <row r="103" spans="10:28" x14ac:dyDescent="0.3">
      <c r="J103" s="1" t="str">
        <v>Ignacio Busca de Sagastizábal</v>
      </c>
      <c r="K103" s="1" t="str">
        <v>ignacio_busca_de_sagastizabal</v>
      </c>
      <c r="L103" s="1">
        <v>1</v>
      </c>
      <c r="M103" s="16">
        <v>1</v>
      </c>
      <c r="N103" s="22">
        <v>1</v>
      </c>
      <c r="Y103" t="s">
        <v>2351</v>
      </c>
      <c r="Z103" t="s">
        <v>2229</v>
      </c>
      <c r="AA103" t="s">
        <v>2346</v>
      </c>
      <c r="AB103">
        <v>8</v>
      </c>
    </row>
    <row r="104" spans="10:28" x14ac:dyDescent="0.3">
      <c r="J104" s="1" t="str">
        <v>Inmaculada Estévez</v>
      </c>
      <c r="K104" s="1" t="str">
        <v>inmaculada_estevez</v>
      </c>
      <c r="L104" s="1">
        <v>1</v>
      </c>
      <c r="M104" s="16">
        <v>0</v>
      </c>
      <c r="N104" s="22">
        <v>0</v>
      </c>
      <c r="Y104" t="s">
        <v>2348</v>
      </c>
      <c r="Z104" t="s">
        <v>2229</v>
      </c>
      <c r="AA104" t="s">
        <v>2346</v>
      </c>
      <c r="AB104">
        <v>3</v>
      </c>
    </row>
    <row r="105" spans="10:28" x14ac:dyDescent="0.3">
      <c r="J105" s="1" t="str">
        <v>IS Pastoral</v>
      </c>
      <c r="K105" s="1" t="str">
        <v>is_pastoral</v>
      </c>
      <c r="L105" s="1">
        <v>1</v>
      </c>
      <c r="M105" s="16">
        <v>0</v>
      </c>
      <c r="N105" s="22">
        <v>0</v>
      </c>
      <c r="Y105" t="s">
        <v>2326</v>
      </c>
      <c r="Z105" t="s">
        <v>2229</v>
      </c>
      <c r="AA105" t="s">
        <v>415</v>
      </c>
      <c r="AB105">
        <v>3</v>
      </c>
    </row>
    <row r="106" spans="10:28" x14ac:dyDescent="0.3">
      <c r="J106" s="1" t="str">
        <v>Ixcís</v>
      </c>
      <c r="K106" s="1" t="str">
        <v>ixcis</v>
      </c>
      <c r="L106" s="1">
        <v>4</v>
      </c>
      <c r="M106" s="16">
        <v>4</v>
      </c>
      <c r="N106" s="22">
        <v>1</v>
      </c>
      <c r="Y106" t="s">
        <v>2336</v>
      </c>
      <c r="Z106" t="s">
        <v>2229</v>
      </c>
      <c r="AA106" t="s">
        <v>415</v>
      </c>
      <c r="AB106">
        <v>13</v>
      </c>
    </row>
    <row r="107" spans="10:28" x14ac:dyDescent="0.3">
      <c r="J107" s="1" t="str">
        <v>J F Martínez</v>
      </c>
      <c r="K107" s="1" t="str">
        <v>j_f_martinez</v>
      </c>
      <c r="L107" s="1">
        <v>1</v>
      </c>
      <c r="M107" s="16">
        <v>0</v>
      </c>
      <c r="N107" s="22">
        <v>0</v>
      </c>
      <c r="Y107" t="s">
        <v>2294</v>
      </c>
      <c r="Z107" t="s">
        <v>2229</v>
      </c>
      <c r="AA107" t="s">
        <v>2260</v>
      </c>
      <c r="AB107">
        <v>13</v>
      </c>
    </row>
    <row r="108" spans="10:28" x14ac:dyDescent="0.3">
      <c r="J108" s="1" t="str">
        <v>Jack Hayford</v>
      </c>
      <c r="K108" s="1" t="str">
        <v>jack_hayford</v>
      </c>
      <c r="L108" s="1">
        <v>1</v>
      </c>
      <c r="M108" s="16">
        <v>0</v>
      </c>
      <c r="N108" s="22">
        <v>0</v>
      </c>
      <c r="Y108" t="s">
        <v>2339</v>
      </c>
      <c r="Z108" t="s">
        <v>2229</v>
      </c>
      <c r="AA108" t="s">
        <v>887</v>
      </c>
      <c r="AB108">
        <v>4</v>
      </c>
    </row>
    <row r="109" spans="10:28" x14ac:dyDescent="0.3">
      <c r="J109" s="1" t="str">
        <v>Jaime Espino</v>
      </c>
      <c r="K109" s="1" t="str">
        <v>jaime_espino</v>
      </c>
      <c r="L109" s="1">
        <v>1</v>
      </c>
      <c r="M109" s="16">
        <v>1</v>
      </c>
      <c r="N109" s="22">
        <v>1</v>
      </c>
      <c r="Y109" t="s">
        <v>2301</v>
      </c>
      <c r="Z109" t="s">
        <v>2229</v>
      </c>
      <c r="AA109" t="s">
        <v>53</v>
      </c>
      <c r="AB109">
        <v>3</v>
      </c>
    </row>
    <row r="110" spans="10:28" x14ac:dyDescent="0.3">
      <c r="J110" s="1" t="str">
        <v>Jaime Olguín</v>
      </c>
      <c r="K110" s="1" t="str">
        <v>jaime_olguin</v>
      </c>
      <c r="L110" s="1">
        <v>2</v>
      </c>
      <c r="M110" s="16">
        <v>2</v>
      </c>
      <c r="N110" s="22">
        <v>1</v>
      </c>
      <c r="Y110" t="s">
        <v>2303</v>
      </c>
      <c r="Z110" t="s">
        <v>2229</v>
      </c>
      <c r="AA110" t="s">
        <v>53</v>
      </c>
      <c r="AB110">
        <v>5</v>
      </c>
    </row>
    <row r="111" spans="10:28" x14ac:dyDescent="0.3">
      <c r="J111" s="1" t="str">
        <v>Janet Lunt</v>
      </c>
      <c r="K111" s="1" t="str">
        <v>janet_lunt</v>
      </c>
      <c r="L111" s="1">
        <v>1</v>
      </c>
      <c r="M111" s="16">
        <v>0</v>
      </c>
      <c r="N111" s="22">
        <v>0</v>
      </c>
      <c r="Y111" t="s">
        <v>2248</v>
      </c>
      <c r="Z111" t="s">
        <v>2229</v>
      </c>
      <c r="AA111" t="s">
        <v>2244</v>
      </c>
      <c r="AB111">
        <v>5</v>
      </c>
    </row>
    <row r="112" spans="10:28" x14ac:dyDescent="0.3">
      <c r="J112" s="1" t="str">
        <v>Javier Gacías</v>
      </c>
      <c r="K112" s="1" t="str">
        <v>javier_gacias</v>
      </c>
      <c r="L112" s="1">
        <v>1</v>
      </c>
      <c r="M112" s="16">
        <v>1</v>
      </c>
      <c r="N112" s="22">
        <v>1</v>
      </c>
      <c r="Y112" t="s">
        <v>2319</v>
      </c>
      <c r="Z112" t="s">
        <v>2229</v>
      </c>
      <c r="AA112" t="s">
        <v>2310</v>
      </c>
      <c r="AB112">
        <v>11</v>
      </c>
    </row>
    <row r="113" spans="10:28" x14ac:dyDescent="0.3">
      <c r="J113" s="1" t="str">
        <v>Javier Rodríguez</v>
      </c>
      <c r="K113" s="1" t="str">
        <v>javier_rodriguez</v>
      </c>
      <c r="L113" s="1">
        <v>1</v>
      </c>
      <c r="M113" s="16">
        <v>0</v>
      </c>
      <c r="N113" s="22">
        <v>0</v>
      </c>
      <c r="Y113" t="s">
        <v>2352</v>
      </c>
      <c r="Z113" t="s">
        <v>2229</v>
      </c>
      <c r="AA113" t="s">
        <v>2346</v>
      </c>
      <c r="AB113">
        <v>11</v>
      </c>
    </row>
    <row r="114" spans="10:28" x14ac:dyDescent="0.3">
      <c r="J114" s="1" t="str">
        <v>JEC</v>
      </c>
      <c r="K114" s="1" t="str">
        <v>jec</v>
      </c>
      <c r="L114" s="1">
        <v>1</v>
      </c>
      <c r="M114" s="16">
        <v>0</v>
      </c>
      <c r="N114" s="22">
        <v>0</v>
      </c>
      <c r="Y114" t="s">
        <v>2304</v>
      </c>
      <c r="Z114" t="s">
        <v>2229</v>
      </c>
      <c r="AA114" t="s">
        <v>53</v>
      </c>
      <c r="AB114">
        <v>6</v>
      </c>
    </row>
    <row r="115" spans="10:28" x14ac:dyDescent="0.3">
      <c r="J115" s="1" t="str">
        <v>Jesucristo Superstar</v>
      </c>
      <c r="K115" s="1" t="str">
        <v>jesucristo_superstar</v>
      </c>
      <c r="L115" s="1">
        <v>1</v>
      </c>
      <c r="M115" s="16">
        <v>1</v>
      </c>
      <c r="N115" s="22">
        <v>1</v>
      </c>
      <c r="Y115" t="s">
        <v>2298</v>
      </c>
      <c r="Z115" t="s">
        <v>2229</v>
      </c>
      <c r="AA115" t="s">
        <v>2260</v>
      </c>
      <c r="AB115">
        <v>17</v>
      </c>
    </row>
    <row r="116" spans="10:28" x14ac:dyDescent="0.3">
      <c r="J116" s="1" t="str">
        <v>Jesús Adrián Romero</v>
      </c>
      <c r="K116" s="1" t="str">
        <v>jesus_adrian_romero</v>
      </c>
      <c r="L116" s="1">
        <v>3</v>
      </c>
      <c r="M116" s="16">
        <v>1</v>
      </c>
      <c r="N116" s="22">
        <v>0.33333333333333331</v>
      </c>
      <c r="Y116" t="s">
        <v>2289</v>
      </c>
      <c r="Z116" t="s">
        <v>2229</v>
      </c>
      <c r="AA116" t="s">
        <v>2260</v>
      </c>
      <c r="AB116">
        <v>8</v>
      </c>
    </row>
    <row r="117" spans="10:28" x14ac:dyDescent="0.3">
      <c r="J117" s="1" t="str">
        <v>Jesús Cardeñoso</v>
      </c>
      <c r="K117" s="1" t="str">
        <v>jesus_cardeñoso</v>
      </c>
      <c r="L117" s="1">
        <v>1</v>
      </c>
      <c r="M117" s="16">
        <v>1</v>
      </c>
      <c r="N117" s="22">
        <v>1</v>
      </c>
      <c r="Y117" t="s">
        <v>2297</v>
      </c>
      <c r="Z117" t="s">
        <v>2229</v>
      </c>
      <c r="AA117" t="s">
        <v>2260</v>
      </c>
      <c r="AB117">
        <v>16</v>
      </c>
    </row>
    <row r="118" spans="10:28" x14ac:dyDescent="0.3">
      <c r="J118" s="1" t="str">
        <v>Joanne Boyce</v>
      </c>
      <c r="K118" s="1" t="str">
        <v>joanne_boyce</v>
      </c>
      <c r="L118" s="1">
        <v>1</v>
      </c>
      <c r="M118" s="16">
        <v>0</v>
      </c>
      <c r="N118" s="22">
        <v>0</v>
      </c>
      <c r="Y118" t="s">
        <v>2291</v>
      </c>
      <c r="Z118" t="s">
        <v>2229</v>
      </c>
      <c r="AA118" t="s">
        <v>2260</v>
      </c>
      <c r="AB118">
        <v>10</v>
      </c>
    </row>
    <row r="119" spans="10:28" x14ac:dyDescent="0.3">
      <c r="J119" s="1" t="str">
        <v>Joaquín Madurga</v>
      </c>
      <c r="K119" s="1" t="str">
        <v>joaquin_madurga</v>
      </c>
      <c r="L119" s="1">
        <v>9</v>
      </c>
      <c r="M119" s="16">
        <v>9</v>
      </c>
      <c r="N119" s="22">
        <v>1</v>
      </c>
      <c r="Y119" t="s">
        <v>2240</v>
      </c>
      <c r="Z119" t="s">
        <v>2229</v>
      </c>
      <c r="AA119" t="s">
        <v>2230</v>
      </c>
      <c r="AB119">
        <v>10</v>
      </c>
    </row>
    <row r="120" spans="10:28" x14ac:dyDescent="0.3">
      <c r="J120" s="1" t="str">
        <v>Joaquín Santos</v>
      </c>
      <c r="K120" s="1" t="str">
        <v>joaquin_santos</v>
      </c>
      <c r="L120" s="1">
        <v>1</v>
      </c>
      <c r="M120" s="16">
        <v>1</v>
      </c>
      <c r="N120" s="22">
        <v>1</v>
      </c>
      <c r="Y120" t="s">
        <v>2355</v>
      </c>
      <c r="Z120" t="s">
        <v>2229</v>
      </c>
      <c r="AA120" t="s">
        <v>2354</v>
      </c>
      <c r="AB120">
        <v>3</v>
      </c>
    </row>
    <row r="121" spans="10:28" x14ac:dyDescent="0.3">
      <c r="J121" s="1" t="str">
        <v>John Newton</v>
      </c>
      <c r="K121" s="1" t="str">
        <v>john_newton</v>
      </c>
      <c r="L121" s="1">
        <v>1</v>
      </c>
      <c r="M121" s="16">
        <v>0</v>
      </c>
      <c r="N121" s="22">
        <v>0</v>
      </c>
      <c r="Y121" t="s">
        <v>2231</v>
      </c>
      <c r="Z121" t="s">
        <v>2229</v>
      </c>
      <c r="AA121" t="s">
        <v>2230</v>
      </c>
      <c r="AB121">
        <v>1</v>
      </c>
    </row>
    <row r="122" spans="10:28" x14ac:dyDescent="0.3">
      <c r="J122" s="1" t="str">
        <v>John Wimber</v>
      </c>
      <c r="K122" s="1" t="str">
        <v>john_wimber</v>
      </c>
      <c r="L122" s="1">
        <v>1</v>
      </c>
      <c r="M122" s="16">
        <v>0</v>
      </c>
      <c r="N122" s="22">
        <v>0</v>
      </c>
      <c r="Y122" t="s">
        <v>2242</v>
      </c>
      <c r="Z122" t="s">
        <v>2229</v>
      </c>
      <c r="AA122" t="s">
        <v>2230</v>
      </c>
      <c r="AB122">
        <v>13</v>
      </c>
    </row>
    <row r="123" spans="10:28" x14ac:dyDescent="0.3">
      <c r="J123" s="1" t="str">
        <v>José Antonio Labordeta</v>
      </c>
      <c r="K123" s="1" t="str">
        <v>jose_antonio_labordeta</v>
      </c>
      <c r="L123" s="1">
        <v>1</v>
      </c>
      <c r="M123" s="16">
        <v>0</v>
      </c>
      <c r="N123" s="22">
        <v>0</v>
      </c>
      <c r="Y123" t="s">
        <v>1538</v>
      </c>
      <c r="Z123" t="s">
        <v>2229</v>
      </c>
      <c r="AA123" t="s">
        <v>2230</v>
      </c>
      <c r="AB123">
        <v>11</v>
      </c>
    </row>
    <row r="124" spans="10:28" x14ac:dyDescent="0.3">
      <c r="J124" s="1" t="str">
        <v>José Antonio Poblete</v>
      </c>
      <c r="K124" s="1" t="str">
        <v>jose_antonio_poblete</v>
      </c>
      <c r="L124" s="1">
        <v>1</v>
      </c>
      <c r="M124" s="16">
        <v>1</v>
      </c>
      <c r="N124" s="22">
        <v>1</v>
      </c>
      <c r="Y124" t="s">
        <v>2234</v>
      </c>
      <c r="Z124" t="s">
        <v>2229</v>
      </c>
      <c r="AA124" t="s">
        <v>2230</v>
      </c>
      <c r="AB124">
        <v>4</v>
      </c>
    </row>
    <row r="125" spans="10:28" x14ac:dyDescent="0.3">
      <c r="J125" s="1" t="str">
        <v>José Luis Perales</v>
      </c>
      <c r="K125" s="1" t="str">
        <v>jose_luis_perales</v>
      </c>
      <c r="L125" s="1">
        <v>2</v>
      </c>
      <c r="M125" s="16">
        <v>2</v>
      </c>
      <c r="N125" s="22">
        <v>1</v>
      </c>
      <c r="Y125" t="s">
        <v>2315</v>
      </c>
      <c r="Z125" t="s">
        <v>2229</v>
      </c>
      <c r="AA125" t="s">
        <v>2310</v>
      </c>
      <c r="AB125">
        <v>6</v>
      </c>
    </row>
    <row r="126" spans="10:28" x14ac:dyDescent="0.3">
      <c r="J126" s="1" t="str">
        <v>José Luis Reyes</v>
      </c>
      <c r="K126" s="1" t="str">
        <v>jose_luis_reyes</v>
      </c>
      <c r="L126" s="1">
        <v>1</v>
      </c>
      <c r="M126" s="16">
        <v>1</v>
      </c>
      <c r="N126" s="22">
        <v>1</v>
      </c>
      <c r="Y126" t="s">
        <v>2344</v>
      </c>
      <c r="Z126" t="s">
        <v>2229</v>
      </c>
      <c r="AA126" t="s">
        <v>887</v>
      </c>
      <c r="AB126">
        <v>11</v>
      </c>
    </row>
    <row r="127" spans="10:28" x14ac:dyDescent="0.3">
      <c r="J127" s="1" t="str">
        <v>José Luis Villalaín</v>
      </c>
      <c r="K127" s="1" t="str">
        <v>jose_luis_villalain</v>
      </c>
      <c r="L127" s="1">
        <v>1</v>
      </c>
      <c r="M127" s="16">
        <v>0</v>
      </c>
      <c r="N127" s="22">
        <v>0</v>
      </c>
      <c r="Y127" t="s">
        <v>2329</v>
      </c>
      <c r="Z127" t="s">
        <v>2229</v>
      </c>
      <c r="AA127" t="s">
        <v>415</v>
      </c>
      <c r="AB127">
        <v>6</v>
      </c>
    </row>
    <row r="128" spans="10:28" x14ac:dyDescent="0.3">
      <c r="J128" s="1" t="str">
        <v>José Manuel Culebras</v>
      </c>
      <c r="K128" s="1" t="str">
        <v>jose_manuel_culebras</v>
      </c>
      <c r="L128" s="1">
        <v>3</v>
      </c>
      <c r="M128" s="16">
        <v>0</v>
      </c>
      <c r="N128" s="22">
        <v>0</v>
      </c>
    </row>
    <row r="129" spans="10:14" x14ac:dyDescent="0.3">
      <c r="J129" s="1" t="str">
        <v>José María Monedero</v>
      </c>
      <c r="K129" s="1" t="str">
        <v>jose_maria_monedero</v>
      </c>
      <c r="L129" s="1">
        <v>2</v>
      </c>
      <c r="M129" s="16">
        <v>0</v>
      </c>
      <c r="N129" s="22">
        <v>0</v>
      </c>
    </row>
    <row r="130" spans="10:14" x14ac:dyDescent="0.3">
      <c r="J130" s="1" t="str">
        <v>José María Olaizola</v>
      </c>
      <c r="K130" s="1" t="str">
        <v>jose_maria_olaizola</v>
      </c>
      <c r="L130" s="1">
        <v>1</v>
      </c>
      <c r="M130" s="16">
        <v>1</v>
      </c>
      <c r="N130" s="22">
        <v>1</v>
      </c>
    </row>
    <row r="131" spans="10:14" x14ac:dyDescent="0.3">
      <c r="J131" s="1" t="str">
        <v>José Pedro Martins</v>
      </c>
      <c r="K131" s="1" t="str">
        <v>jose_pedro_martins</v>
      </c>
      <c r="L131" s="1">
        <v>4</v>
      </c>
      <c r="M131" s="16">
        <v>3</v>
      </c>
      <c r="N131" s="22">
        <v>0.75</v>
      </c>
    </row>
    <row r="132" spans="10:14" x14ac:dyDescent="0.3">
      <c r="J132" s="1" t="str">
        <v>José Vives</v>
      </c>
      <c r="K132" s="1" t="str">
        <v>jose_vives</v>
      </c>
      <c r="L132" s="1">
        <v>1</v>
      </c>
      <c r="M132" s="16">
        <v>1</v>
      </c>
      <c r="N132" s="22">
        <v>1</v>
      </c>
    </row>
    <row r="133" spans="10:14" x14ac:dyDescent="0.3">
      <c r="J133" s="1" t="str">
        <v>Josep Asunción</v>
      </c>
      <c r="K133" s="1" t="str">
        <v>josep_asuncion</v>
      </c>
      <c r="L133" s="1">
        <v>11</v>
      </c>
      <c r="M133" s="16">
        <v>2</v>
      </c>
      <c r="N133" s="22">
        <v>0.18181818181818182</v>
      </c>
    </row>
    <row r="134" spans="10:14" x14ac:dyDescent="0.3">
      <c r="J134" s="1" t="str">
        <v>Juan Alfonso Greis</v>
      </c>
      <c r="K134" s="1" t="str">
        <v>juan_alfonso_greis</v>
      </c>
      <c r="L134" s="1">
        <v>1</v>
      </c>
      <c r="M134" s="16">
        <v>0</v>
      </c>
      <c r="N134" s="22">
        <v>0</v>
      </c>
    </row>
    <row r="135" spans="10:14" x14ac:dyDescent="0.3">
      <c r="J135" s="1" t="str">
        <v>Juan Antonio Espinosa</v>
      </c>
      <c r="K135" s="1" t="str">
        <v>juan_antonio_espinosa</v>
      </c>
      <c r="L135" s="1">
        <v>31</v>
      </c>
      <c r="M135" s="16">
        <v>31</v>
      </c>
      <c r="N135" s="22">
        <v>1</v>
      </c>
    </row>
    <row r="136" spans="10:14" x14ac:dyDescent="0.3">
      <c r="J136" s="1" t="str">
        <v>Juan Carlos Ayala</v>
      </c>
      <c r="K136" s="1" t="str">
        <v>juan_carlos_ayala</v>
      </c>
      <c r="L136" s="1">
        <v>1</v>
      </c>
      <c r="M136" s="16">
        <v>1</v>
      </c>
      <c r="N136" s="22">
        <v>1</v>
      </c>
    </row>
    <row r="137" spans="10:14" x14ac:dyDescent="0.3">
      <c r="J137" s="1" t="str">
        <v>Juan Erasmo Mochi</v>
      </c>
      <c r="K137" s="1" t="str">
        <v>juan_erasmo_mochi</v>
      </c>
      <c r="L137" s="1">
        <v>1</v>
      </c>
      <c r="M137" s="16">
        <v>1</v>
      </c>
      <c r="N137" s="22">
        <v>1</v>
      </c>
    </row>
    <row r="138" spans="10:14" x14ac:dyDescent="0.3">
      <c r="J138" s="1" t="str">
        <v>Juan Jáuregui</v>
      </c>
      <c r="K138" s="1" t="str">
        <v>juan_jauregui</v>
      </c>
      <c r="L138" s="1">
        <v>5</v>
      </c>
      <c r="M138" s="16">
        <v>3</v>
      </c>
      <c r="N138" s="22">
        <v>0.6</v>
      </c>
    </row>
    <row r="139" spans="10:14" x14ac:dyDescent="0.3">
      <c r="J139" s="1" t="str">
        <v>Juan Manuel Martín</v>
      </c>
      <c r="K139" s="1" t="str">
        <v>juan_manuel_martin</v>
      </c>
      <c r="L139" s="1">
        <v>1</v>
      </c>
      <c r="M139" s="16">
        <v>0</v>
      </c>
      <c r="N139" s="22">
        <v>0</v>
      </c>
    </row>
    <row r="140" spans="10:14" x14ac:dyDescent="0.3">
      <c r="J140" s="1" t="str">
        <v>Juan Pablo Culebras</v>
      </c>
      <c r="K140" s="1" t="str">
        <v>juan_pablo_culebras</v>
      </c>
      <c r="L140" s="1">
        <v>1</v>
      </c>
      <c r="M140" s="16">
        <v>0</v>
      </c>
      <c r="N140" s="22">
        <v>0</v>
      </c>
    </row>
    <row r="141" spans="10:14" x14ac:dyDescent="0.3">
      <c r="J141" s="1" t="str">
        <v>Juan Salinas</v>
      </c>
      <c r="K141" s="1" t="str">
        <v>juan_salinas</v>
      </c>
      <c r="L141" s="1">
        <v>1</v>
      </c>
      <c r="M141" s="16">
        <v>0</v>
      </c>
      <c r="N141" s="22">
        <v>0</v>
      </c>
    </row>
    <row r="142" spans="10:14" x14ac:dyDescent="0.3">
      <c r="J142" s="1" t="str">
        <v>Juanjo Elezkano</v>
      </c>
      <c r="K142" s="1" t="str">
        <v>juanjo_elezkano</v>
      </c>
      <c r="L142" s="1">
        <v>10</v>
      </c>
      <c r="M142" s="16">
        <v>4</v>
      </c>
      <c r="N142" s="22">
        <v>0.4</v>
      </c>
    </row>
    <row r="143" spans="10:14" x14ac:dyDescent="0.3">
      <c r="J143" s="1" t="str">
        <v>Juanjo F</v>
      </c>
      <c r="K143" s="1" t="str">
        <v>juanjo_f</v>
      </c>
      <c r="L143" s="1">
        <v>1</v>
      </c>
      <c r="M143" s="16">
        <v>0</v>
      </c>
      <c r="N143" s="22">
        <v>0</v>
      </c>
    </row>
    <row r="144" spans="10:14" x14ac:dyDescent="0.3">
      <c r="J144" s="1" t="str">
        <v>Julián Huete</v>
      </c>
      <c r="K144" s="1" t="str">
        <v>julian_huete</v>
      </c>
      <c r="L144" s="1">
        <v>2</v>
      </c>
      <c r="M144" s="16">
        <v>0</v>
      </c>
      <c r="N144" s="22">
        <v>0</v>
      </c>
    </row>
    <row r="145" spans="10:14" x14ac:dyDescent="0.3">
      <c r="J145" s="1" t="str">
        <v>Kairoi</v>
      </c>
      <c r="K145" s="1" t="str">
        <v>kairoi</v>
      </c>
      <c r="L145" s="1">
        <v>270</v>
      </c>
      <c r="M145" s="16">
        <v>144</v>
      </c>
      <c r="N145" s="22">
        <v>0.53333333333333333</v>
      </c>
    </row>
    <row r="146" spans="10:14" x14ac:dyDescent="0.3">
      <c r="J146" s="1" t="str">
        <v>Keith Routledge</v>
      </c>
      <c r="K146" s="1" t="str">
        <v>keith_routledge</v>
      </c>
      <c r="L146" s="1">
        <v>1</v>
      </c>
      <c r="M146" s="16">
        <v>0</v>
      </c>
      <c r="N146" s="22">
        <v>0</v>
      </c>
    </row>
    <row r="147" spans="10:14" x14ac:dyDescent="0.3">
      <c r="J147" s="1" t="str">
        <v>Kiko Argüello</v>
      </c>
      <c r="K147" s="1" t="str">
        <v>kiko_argüello</v>
      </c>
      <c r="L147" s="1">
        <v>1</v>
      </c>
      <c r="M147" s="16">
        <v>1</v>
      </c>
      <c r="N147" s="22">
        <v>1</v>
      </c>
    </row>
    <row r="148" spans="10:14" x14ac:dyDescent="0.3">
      <c r="J148" s="1" t="str">
        <v>Laurie Klein</v>
      </c>
      <c r="K148" s="1" t="str">
        <v>laurie_klein</v>
      </c>
      <c r="L148" s="1">
        <v>1</v>
      </c>
      <c r="M148" s="16">
        <v>0</v>
      </c>
      <c r="N148" s="22">
        <v>0</v>
      </c>
    </row>
    <row r="149" spans="10:14" x14ac:dyDescent="0.3">
      <c r="J149" s="1" t="str">
        <v>Lázaro Iparraguirre</v>
      </c>
      <c r="K149" s="1" t="str">
        <v>lazaro_iparraguirre</v>
      </c>
      <c r="L149" s="1">
        <v>14</v>
      </c>
      <c r="M149" s="16">
        <v>1</v>
      </c>
      <c r="N149" s="22">
        <v>7.1428571428571425E-2</v>
      </c>
    </row>
    <row r="150" spans="10:14" x14ac:dyDescent="0.3">
      <c r="J150" s="1" t="str">
        <v>Leona von Brethorst</v>
      </c>
      <c r="K150" s="1" t="str">
        <v>leona_von_brethorst</v>
      </c>
      <c r="L150" s="1">
        <v>1</v>
      </c>
      <c r="M150" s="16">
        <v>0</v>
      </c>
      <c r="N150" s="22">
        <v>0</v>
      </c>
    </row>
    <row r="151" spans="10:14" x14ac:dyDescent="0.3">
      <c r="J151" s="1" t="str">
        <v>Leonard Cohen</v>
      </c>
      <c r="K151" s="1" t="str">
        <v>leonard_cohen</v>
      </c>
      <c r="L151" s="1">
        <v>1</v>
      </c>
      <c r="M151" s="16">
        <v>1</v>
      </c>
      <c r="N151" s="22">
        <v>1</v>
      </c>
    </row>
    <row r="152" spans="10:14" x14ac:dyDescent="0.3">
      <c r="J152" s="1" t="str">
        <v>Leonard Smith</v>
      </c>
      <c r="K152" s="1" t="str">
        <v>leonard_smith</v>
      </c>
      <c r="L152" s="1">
        <v>1</v>
      </c>
      <c r="M152" s="16">
        <v>0</v>
      </c>
      <c r="N152" s="22">
        <v>0</v>
      </c>
    </row>
    <row r="153" spans="10:14" x14ac:dyDescent="0.3">
      <c r="J153" s="1" t="str">
        <v>Lewis Jones</v>
      </c>
      <c r="K153" s="1" t="str">
        <v>lewis_jones</v>
      </c>
      <c r="L153" s="1">
        <v>1</v>
      </c>
      <c r="M153" s="16">
        <v>0</v>
      </c>
      <c r="N153" s="22">
        <v>0</v>
      </c>
    </row>
    <row r="154" spans="10:14" x14ac:dyDescent="0.3">
      <c r="J154" s="1" t="str">
        <v>Lili Zaidín</v>
      </c>
      <c r="K154" s="1" t="str">
        <v>lili_zaidin</v>
      </c>
      <c r="L154" s="1">
        <v>1</v>
      </c>
      <c r="M154" s="16">
        <v>1</v>
      </c>
      <c r="N154" s="22">
        <v>1</v>
      </c>
    </row>
    <row r="155" spans="10:14" x14ac:dyDescent="0.3">
      <c r="J155" s="1" t="str">
        <v>Linda Duval</v>
      </c>
      <c r="K155" s="1" t="str">
        <v>linda_duval</v>
      </c>
      <c r="L155" s="1">
        <v>1</v>
      </c>
      <c r="M155" s="16">
        <v>1</v>
      </c>
      <c r="N155" s="22">
        <v>1</v>
      </c>
    </row>
    <row r="156" spans="10:14" x14ac:dyDescent="0.3">
      <c r="J156" s="1" t="str">
        <v>Linda Stassen</v>
      </c>
      <c r="K156" s="1" t="str">
        <v>linda_stassen</v>
      </c>
      <c r="L156" s="1">
        <v>1</v>
      </c>
      <c r="M156" s="16">
        <v>1</v>
      </c>
      <c r="N156" s="22">
        <v>1</v>
      </c>
    </row>
    <row r="157" spans="10:14" x14ac:dyDescent="0.3">
      <c r="J157" s="1" t="str">
        <v>Lluís Llach</v>
      </c>
      <c r="K157" s="1" t="str">
        <v>lluis_llach</v>
      </c>
      <c r="L157" s="1">
        <v>1</v>
      </c>
      <c r="M157" s="16">
        <v>1</v>
      </c>
      <c r="N157" s="22">
        <v>1</v>
      </c>
    </row>
    <row r="158" spans="10:14" x14ac:dyDescent="0.3">
      <c r="J158" s="1" t="str">
        <v>Lola Tomillo</v>
      </c>
      <c r="K158" s="1" t="str">
        <v>lola_tomillo</v>
      </c>
      <c r="L158" s="1">
        <v>1</v>
      </c>
      <c r="M158" s="16">
        <v>0</v>
      </c>
      <c r="N158" s="22">
        <v>0</v>
      </c>
    </row>
    <row r="159" spans="10:14" x14ac:dyDescent="0.3">
      <c r="J159" s="1" t="str">
        <v>Lori Black Mathis</v>
      </c>
      <c r="K159" s="1" t="str">
        <v>lori_black_mathis</v>
      </c>
      <c r="L159" s="1">
        <v>1</v>
      </c>
      <c r="M159" s="16">
        <v>0</v>
      </c>
      <c r="N159" s="22">
        <v>0</v>
      </c>
    </row>
    <row r="160" spans="10:14" x14ac:dyDescent="0.3">
      <c r="J160" s="1" t="str">
        <v>Lourdes Fonteriz</v>
      </c>
      <c r="K160" s="1" t="str">
        <v>lourdes_fonteriz</v>
      </c>
      <c r="L160" s="1">
        <v>1</v>
      </c>
      <c r="M160" s="16">
        <v>0</v>
      </c>
      <c r="N160" s="22">
        <v>0</v>
      </c>
    </row>
    <row r="161" spans="10:14" x14ac:dyDescent="0.3">
      <c r="J161" s="1" t="str">
        <v>Lucas Casaert</v>
      </c>
      <c r="K161" s="1" t="str">
        <v>lucas_casaert</v>
      </c>
      <c r="L161" s="1">
        <v>4</v>
      </c>
      <c r="M161" s="16">
        <v>0</v>
      </c>
      <c r="N161" s="22">
        <v>0</v>
      </c>
    </row>
    <row r="162" spans="10:14" x14ac:dyDescent="0.3">
      <c r="J162" s="1" t="str">
        <v>Lucía Asturias</v>
      </c>
      <c r="K162" s="1" t="str">
        <v>lucia_asturias</v>
      </c>
      <c r="L162" s="1">
        <v>1</v>
      </c>
      <c r="M162" s="16">
        <v>0</v>
      </c>
      <c r="N162" s="22">
        <v>0</v>
      </c>
    </row>
    <row r="163" spans="10:14" x14ac:dyDescent="0.3">
      <c r="J163" s="1" t="str">
        <v>Lucien Deiss</v>
      </c>
      <c r="K163" s="1" t="str">
        <v>lucien_deiss</v>
      </c>
      <c r="L163" s="1">
        <v>4</v>
      </c>
      <c r="M163" s="16">
        <v>4</v>
      </c>
      <c r="N163" s="22">
        <v>1</v>
      </c>
    </row>
    <row r="164" spans="10:14" x14ac:dyDescent="0.3">
      <c r="J164" s="1" t="str">
        <v>Luis Alberto González</v>
      </c>
      <c r="K164" s="1" t="str">
        <v>luis_alberto_gonzalez</v>
      </c>
      <c r="L164" s="1">
        <v>1</v>
      </c>
      <c r="M164" s="16">
        <v>0</v>
      </c>
      <c r="N164" s="22">
        <v>0</v>
      </c>
    </row>
    <row r="165" spans="10:14" x14ac:dyDescent="0.3">
      <c r="J165" s="1" t="str">
        <v>Luis Alfredo Díaz</v>
      </c>
      <c r="K165" s="1" t="str">
        <v>luis_alfredo_diaz</v>
      </c>
      <c r="L165" s="1">
        <v>20</v>
      </c>
      <c r="M165" s="16">
        <v>5</v>
      </c>
      <c r="N165" s="22">
        <v>0.25</v>
      </c>
    </row>
    <row r="166" spans="10:14" x14ac:dyDescent="0.3">
      <c r="J166" s="1" t="str">
        <v>Luis Enrique Ascoy</v>
      </c>
      <c r="K166" s="1" t="str">
        <v>luis_enrique_ascoy</v>
      </c>
      <c r="L166" s="1">
        <v>1</v>
      </c>
      <c r="M166" s="16">
        <v>0</v>
      </c>
      <c r="N166" s="22">
        <v>0</v>
      </c>
    </row>
    <row r="167" spans="10:14" x14ac:dyDescent="0.3">
      <c r="J167" s="1" t="str">
        <v>Luis Guitarra</v>
      </c>
      <c r="K167" s="1" t="str">
        <v>luis_guitarra</v>
      </c>
      <c r="L167" s="1">
        <v>1</v>
      </c>
      <c r="M167" s="16">
        <v>1</v>
      </c>
      <c r="N167" s="22">
        <v>1</v>
      </c>
    </row>
    <row r="168" spans="10:14" x14ac:dyDescent="0.3">
      <c r="J168" s="1" t="str">
        <v>Luispo</v>
      </c>
      <c r="K168" s="1" t="str">
        <v>luispo</v>
      </c>
      <c r="L168" s="1">
        <v>3</v>
      </c>
      <c r="M168" s="16">
        <v>3</v>
      </c>
      <c r="N168" s="22">
        <v>1</v>
      </c>
    </row>
    <row r="169" spans="10:14" x14ac:dyDescent="0.3">
      <c r="J169" s="1" t="str">
        <v>Lynn Baird</v>
      </c>
      <c r="K169" s="1" t="str">
        <v>lynn_baird</v>
      </c>
      <c r="L169" s="1">
        <v>1</v>
      </c>
      <c r="M169" s="16">
        <v>0</v>
      </c>
      <c r="N169" s="22">
        <v>0</v>
      </c>
    </row>
    <row r="170" spans="10:14" x14ac:dyDescent="0.3">
      <c r="J170" s="1" t="str">
        <v>Maite López</v>
      </c>
      <c r="K170" s="1" t="str">
        <v>maite_lopez</v>
      </c>
      <c r="L170" s="1">
        <v>1</v>
      </c>
      <c r="M170" s="16">
        <v>1</v>
      </c>
      <c r="N170" s="22">
        <v>1</v>
      </c>
    </row>
    <row r="171" spans="10:14" x14ac:dyDescent="0.3">
      <c r="J171" s="1" t="str">
        <v>Manuel Rosa</v>
      </c>
      <c r="K171" s="1" t="str">
        <v>manuel_rosa</v>
      </c>
      <c r="L171" s="1">
        <v>2</v>
      </c>
      <c r="M171" s="16">
        <v>0</v>
      </c>
      <c r="N171" s="22">
        <v>0</v>
      </c>
    </row>
    <row r="172" spans="10:14" x14ac:dyDescent="0.3">
      <c r="J172" s="1" t="str">
        <v>Maranatha</v>
      </c>
      <c r="K172" s="1" t="str">
        <v>maranatha</v>
      </c>
      <c r="L172" s="1">
        <v>3</v>
      </c>
      <c r="M172" s="16">
        <v>1</v>
      </c>
      <c r="N172" s="22">
        <v>0.33333333333333331</v>
      </c>
    </row>
    <row r="173" spans="10:14" x14ac:dyDescent="0.3">
      <c r="J173" s="1" t="str">
        <v>Marcela de María</v>
      </c>
      <c r="K173" s="1" t="str">
        <v>marcela_de_maria</v>
      </c>
      <c r="L173" s="1">
        <v>1</v>
      </c>
      <c r="M173" s="16">
        <v>1</v>
      </c>
      <c r="N173" s="22">
        <v>1</v>
      </c>
    </row>
    <row r="174" spans="10:14" x14ac:dyDescent="0.3">
      <c r="J174" s="1" t="str">
        <v>Marcela Jobe</v>
      </c>
      <c r="K174" s="1" t="str">
        <v>marcela_jobe</v>
      </c>
      <c r="L174" s="1">
        <v>1</v>
      </c>
      <c r="M174" s="16">
        <v>0</v>
      </c>
      <c r="N174" s="22">
        <v>0</v>
      </c>
    </row>
    <row r="175" spans="10:14" x14ac:dyDescent="0.3">
      <c r="J175" s="1" t="str">
        <v>Marcelino García</v>
      </c>
      <c r="K175" s="1" t="str">
        <v>marcelino_garcia</v>
      </c>
      <c r="L175" s="1">
        <v>1</v>
      </c>
      <c r="M175" s="16">
        <v>0</v>
      </c>
      <c r="N175" s="22">
        <v>0</v>
      </c>
    </row>
    <row r="176" spans="10:14" x14ac:dyDescent="0.3">
      <c r="J176" s="1" t="str">
        <v>Marco Barrientos</v>
      </c>
      <c r="K176" s="1" t="str">
        <v>marco_barrientos</v>
      </c>
      <c r="L176" s="1">
        <v>2</v>
      </c>
      <c r="M176" s="16">
        <v>0</v>
      </c>
      <c r="N176" s="22">
        <v>0</v>
      </c>
    </row>
    <row r="177" spans="10:14" x14ac:dyDescent="0.3">
      <c r="J177" s="1" t="str">
        <v>Marco López</v>
      </c>
      <c r="K177" s="1" t="str">
        <v>marco_lopez</v>
      </c>
      <c r="L177" s="1">
        <v>1</v>
      </c>
      <c r="M177" s="16">
        <v>1</v>
      </c>
      <c r="N177" s="22">
        <v>1</v>
      </c>
    </row>
    <row r="178" spans="10:14" x14ac:dyDescent="0.3">
      <c r="J178" s="1" t="str">
        <v>Marcos Frisina</v>
      </c>
      <c r="K178" s="1" t="str">
        <v>marcos_frisina</v>
      </c>
      <c r="L178" s="1">
        <v>1</v>
      </c>
      <c r="M178" s="16">
        <v>1</v>
      </c>
      <c r="N178" s="22">
        <v>1</v>
      </c>
    </row>
    <row r="179" spans="10:14" x14ac:dyDescent="0.3">
      <c r="J179" s="1" t="str">
        <v>Marcos Witt</v>
      </c>
      <c r="K179" s="1" t="str">
        <v>marcos_witt</v>
      </c>
      <c r="L179" s="1">
        <v>8</v>
      </c>
      <c r="M179" s="16">
        <v>0</v>
      </c>
      <c r="N179" s="22">
        <v>0</v>
      </c>
    </row>
    <row r="180" spans="10:14" x14ac:dyDescent="0.3">
      <c r="J180" s="1" t="str">
        <v>Marga Trufero</v>
      </c>
      <c r="K180" s="1" t="str">
        <v>marga_trufero</v>
      </c>
      <c r="L180" s="1">
        <v>1</v>
      </c>
      <c r="M180" s="16">
        <v>0</v>
      </c>
      <c r="N180" s="22">
        <v>0</v>
      </c>
    </row>
    <row r="181" spans="10:14" x14ac:dyDescent="0.3">
      <c r="J181" s="1" t="str">
        <v>Mari Puy Montaner</v>
      </c>
      <c r="K181" s="1" t="str">
        <v>mari_puy_montaner</v>
      </c>
      <c r="L181" s="1">
        <v>1</v>
      </c>
      <c r="M181" s="16">
        <v>0</v>
      </c>
      <c r="N181" s="22">
        <v>0</v>
      </c>
    </row>
    <row r="182" spans="10:14" x14ac:dyDescent="0.3">
      <c r="J182" s="1" t="str">
        <v>María Parkinson</v>
      </c>
      <c r="K182" s="1" t="str">
        <v>maria_parkinson</v>
      </c>
      <c r="L182" s="1">
        <v>1</v>
      </c>
      <c r="M182" s="16">
        <v>0</v>
      </c>
      <c r="N182" s="22">
        <v>0</v>
      </c>
    </row>
    <row r="183" spans="10:14" x14ac:dyDescent="0.3">
      <c r="J183" s="1" t="str">
        <v>Mariano Fuertes</v>
      </c>
      <c r="K183" s="1" t="str">
        <v>mariano_fuertes</v>
      </c>
      <c r="L183" s="1">
        <v>1</v>
      </c>
      <c r="M183" s="16">
        <v>1</v>
      </c>
      <c r="N183" s="22">
        <v>1</v>
      </c>
    </row>
    <row r="184" spans="10:14" x14ac:dyDescent="0.3">
      <c r="J184" s="1" t="str">
        <v>Marie Barnett</v>
      </c>
      <c r="K184" s="1" t="str">
        <v>marie_barnett</v>
      </c>
      <c r="L184" s="1">
        <v>1</v>
      </c>
      <c r="M184" s="16">
        <v>0</v>
      </c>
      <c r="N184" s="22">
        <v>0</v>
      </c>
    </row>
    <row r="185" spans="10:14" x14ac:dyDescent="0.3">
      <c r="J185" s="1" t="str">
        <v>Marisa Cecilia</v>
      </c>
      <c r="K185" s="1" t="str">
        <v>marisa_cecilia</v>
      </c>
      <c r="L185" s="1">
        <v>1</v>
      </c>
      <c r="M185" s="16">
        <v>0</v>
      </c>
      <c r="N185" s="22">
        <v>0</v>
      </c>
    </row>
    <row r="186" spans="10:14" x14ac:dyDescent="0.3">
      <c r="J186" s="1" t="str">
        <v>Marisa Liste</v>
      </c>
      <c r="K186" s="1" t="str">
        <v>marisa_liste</v>
      </c>
      <c r="L186" s="1">
        <v>1</v>
      </c>
      <c r="M186" s="16">
        <v>0</v>
      </c>
      <c r="N186" s="22">
        <v>0</v>
      </c>
    </row>
    <row r="187" spans="10:14" x14ac:dyDescent="0.3">
      <c r="J187" s="1" t="str">
        <v>Marisa y Noemí</v>
      </c>
      <c r="K187" s="1" t="str">
        <v>marisa_y_noemi</v>
      </c>
      <c r="L187" s="1">
        <v>2</v>
      </c>
      <c r="M187" s="16">
        <v>0</v>
      </c>
      <c r="N187" s="22">
        <v>0</v>
      </c>
    </row>
    <row r="188" spans="10:14" x14ac:dyDescent="0.3">
      <c r="J188" s="1" t="str">
        <v>Mark Altragge</v>
      </c>
      <c r="K188" s="1" t="str">
        <v>mark_altragge</v>
      </c>
      <c r="L188" s="1">
        <v>1</v>
      </c>
      <c r="M188" s="16">
        <v>0</v>
      </c>
      <c r="N188" s="22">
        <v>0</v>
      </c>
    </row>
    <row r="189" spans="10:14" x14ac:dyDescent="0.3">
      <c r="J189" s="1" t="str">
        <v>Marta Calvo</v>
      </c>
      <c r="K189" s="1" t="str">
        <v>marta_calvo</v>
      </c>
      <c r="L189" s="1">
        <v>1</v>
      </c>
      <c r="M189" s="16">
        <v>0</v>
      </c>
      <c r="N189" s="22">
        <v>0</v>
      </c>
    </row>
    <row r="190" spans="10:14" x14ac:dyDescent="0.3">
      <c r="J190" s="1" t="str">
        <v>Marta Gil-Delgado</v>
      </c>
      <c r="K190" s="1" t="str">
        <v>marta_gil-delgado</v>
      </c>
      <c r="L190" s="1">
        <v>10</v>
      </c>
      <c r="M190" s="16">
        <v>0</v>
      </c>
      <c r="N190" s="22">
        <v>0</v>
      </c>
    </row>
    <row r="191" spans="10:14" x14ac:dyDescent="0.3">
      <c r="J191" s="1" t="str">
        <v>Martín Mancilla</v>
      </c>
      <c r="K191" s="1" t="str">
        <v>martin_mancilla</v>
      </c>
      <c r="L191" s="1">
        <v>1</v>
      </c>
      <c r="M191" s="16">
        <v>0</v>
      </c>
      <c r="N191" s="22">
        <v>0</v>
      </c>
    </row>
    <row r="192" spans="10:14" x14ac:dyDescent="0.3">
      <c r="J192" s="1" t="str">
        <v>Martín Valverde</v>
      </c>
      <c r="K192" s="1" t="str">
        <v>martin_valverde</v>
      </c>
      <c r="L192" s="1">
        <v>3</v>
      </c>
      <c r="M192" s="16">
        <v>1</v>
      </c>
      <c r="N192" s="22">
        <v>0.33333333333333331</v>
      </c>
    </row>
    <row r="193" spans="10:14" x14ac:dyDescent="0.3">
      <c r="J193" s="1" t="str">
        <v>Marvin Frey</v>
      </c>
      <c r="K193" s="1" t="str">
        <v>marvin_frey</v>
      </c>
      <c r="L193" s="1">
        <v>1</v>
      </c>
      <c r="M193" s="16">
        <v>0</v>
      </c>
      <c r="N193" s="22">
        <v>0</v>
      </c>
    </row>
    <row r="194" spans="10:14" x14ac:dyDescent="0.3">
      <c r="J194" s="1" t="str">
        <v>Mercedes González</v>
      </c>
      <c r="K194" s="1" t="str">
        <v>mercedes_gonzalez</v>
      </c>
      <c r="L194" s="1">
        <v>3</v>
      </c>
      <c r="M194" s="16">
        <v>0</v>
      </c>
      <c r="N194" s="22">
        <v>0</v>
      </c>
    </row>
    <row r="195" spans="10:14" x14ac:dyDescent="0.3">
      <c r="J195" s="1" t="str">
        <v>Merla Watson</v>
      </c>
      <c r="K195" s="1" t="str">
        <v>merla_watson</v>
      </c>
      <c r="L195" s="1">
        <v>1</v>
      </c>
      <c r="M195" s="16">
        <v>0</v>
      </c>
      <c r="N195" s="22">
        <v>0</v>
      </c>
    </row>
    <row r="196" spans="10:14" x14ac:dyDescent="0.3">
      <c r="J196" s="1" t="str">
        <v>Michael O'Shields</v>
      </c>
      <c r="K196" s="1" t="str">
        <v>michael_o'shields</v>
      </c>
      <c r="L196" s="1">
        <v>1</v>
      </c>
      <c r="M196" s="16">
        <v>0</v>
      </c>
      <c r="N196" s="22">
        <v>0</v>
      </c>
    </row>
    <row r="197" spans="10:14" x14ac:dyDescent="0.3">
      <c r="J197" s="1" t="str">
        <v>Michael W. Smith</v>
      </c>
      <c r="K197" s="1" t="str">
        <v>michael_w_smith</v>
      </c>
      <c r="L197" s="1">
        <v>1</v>
      </c>
      <c r="M197" s="16">
        <v>0</v>
      </c>
      <c r="N197" s="22">
        <v>0</v>
      </c>
    </row>
    <row r="198" spans="10:14" x14ac:dyDescent="0.3">
      <c r="J198" s="1" t="str">
        <v>Miguel Casina</v>
      </c>
      <c r="K198" s="1" t="str">
        <v>miguel_casina</v>
      </c>
      <c r="L198" s="1">
        <v>2</v>
      </c>
      <c r="M198" s="16">
        <v>0</v>
      </c>
      <c r="N198" s="22">
        <v>0</v>
      </c>
    </row>
    <row r="199" spans="10:14" x14ac:dyDescent="0.3">
      <c r="J199" s="1" t="str">
        <v>Miguel Manzano</v>
      </c>
      <c r="K199" s="1" t="str">
        <v>miguel_manzano</v>
      </c>
      <c r="L199" s="1">
        <v>19</v>
      </c>
      <c r="M199" s="16">
        <v>15</v>
      </c>
      <c r="N199" s="22">
        <v>0.78947368421052633</v>
      </c>
    </row>
    <row r="200" spans="10:14" x14ac:dyDescent="0.3">
      <c r="J200" s="1" t="str">
        <v>Migueli</v>
      </c>
      <c r="K200" s="1" t="str">
        <v>migueli</v>
      </c>
      <c r="L200" s="1">
        <v>4</v>
      </c>
      <c r="M200" s="16">
        <v>4</v>
      </c>
      <c r="N200" s="22">
        <v>1</v>
      </c>
    </row>
    <row r="201" spans="10:14" x14ac:dyDescent="0.3">
      <c r="J201" s="1" t="str">
        <v>Milagros Rosa</v>
      </c>
      <c r="K201" s="1" t="str">
        <v>milagros_rosa</v>
      </c>
      <c r="L201" s="1">
        <v>1</v>
      </c>
      <c r="M201" s="16">
        <v>0</v>
      </c>
      <c r="N201" s="22">
        <v>0</v>
      </c>
    </row>
    <row r="202" spans="10:14" x14ac:dyDescent="0.3">
      <c r="J202" s="1" t="str">
        <v>Misa nicaragüense</v>
      </c>
      <c r="K202" s="1" t="str">
        <v>misa_nicaragüense</v>
      </c>
      <c r="L202" s="1">
        <v>3</v>
      </c>
      <c r="M202" s="16">
        <v>2</v>
      </c>
      <c r="N202" s="22">
        <v>0.66666666666666663</v>
      </c>
    </row>
    <row r="203" spans="10:14" x14ac:dyDescent="0.3">
      <c r="J203" s="1" t="str">
        <v>Misa salvadoreña</v>
      </c>
      <c r="K203" s="1" t="str">
        <v>misa_salvadoreña</v>
      </c>
      <c r="L203" s="1">
        <v>2</v>
      </c>
      <c r="M203" s="16">
        <v>2</v>
      </c>
      <c r="N203" s="22">
        <v>1</v>
      </c>
    </row>
    <row r="204" spans="10:14" x14ac:dyDescent="0.3">
      <c r="J204" s="1" t="str">
        <v>Misioneros de la Esperanza</v>
      </c>
      <c r="K204" s="1" t="str">
        <v>misioneros_de_la_esperanza</v>
      </c>
      <c r="L204" s="1">
        <v>1</v>
      </c>
      <c r="M204" s="16">
        <v>1</v>
      </c>
      <c r="N204" s="22">
        <v>1</v>
      </c>
    </row>
    <row r="205" spans="10:14" x14ac:dyDescent="0.3">
      <c r="J205" s="1" t="str">
        <v>Mocedades</v>
      </c>
      <c r="K205" s="1" t="str">
        <v>mocedades</v>
      </c>
      <c r="L205" s="1">
        <v>1</v>
      </c>
      <c r="M205" s="16">
        <v>1</v>
      </c>
      <c r="N205" s="22">
        <v>1</v>
      </c>
    </row>
    <row r="206" spans="10:14" x14ac:dyDescent="0.3">
      <c r="J206" s="1" t="str">
        <v>Nico Montero</v>
      </c>
      <c r="K206" s="1" t="str">
        <v>nico_montero</v>
      </c>
      <c r="L206" s="1">
        <v>2</v>
      </c>
      <c r="M206" s="16">
        <v>2</v>
      </c>
      <c r="N206" s="22">
        <v>1</v>
      </c>
    </row>
    <row r="207" spans="10:14" x14ac:dyDescent="0.3">
      <c r="J207" s="1" t="str">
        <v>Noemí Liste</v>
      </c>
      <c r="K207" s="1" t="str">
        <v>noemi_liste</v>
      </c>
      <c r="L207" s="1">
        <v>1</v>
      </c>
      <c r="M207" s="16">
        <v>0</v>
      </c>
      <c r="N207" s="22">
        <v>0</v>
      </c>
    </row>
    <row r="208" spans="10:14" x14ac:dyDescent="0.3">
      <c r="J208" s="1" t="str">
        <v>Oscar Palomares</v>
      </c>
      <c r="K208" s="1" t="str">
        <v>oscar_palomares</v>
      </c>
      <c r="L208" s="1">
        <v>1</v>
      </c>
      <c r="M208" s="16">
        <v>1</v>
      </c>
      <c r="N208" s="22">
        <v>1</v>
      </c>
    </row>
    <row r="209" spans="10:14" x14ac:dyDescent="0.3">
      <c r="J209" s="1" t="str">
        <v>P Buen Pastor</v>
      </c>
      <c r="K209" s="1" t="str">
        <v>p_buen_pastor</v>
      </c>
      <c r="L209" s="1">
        <v>2</v>
      </c>
      <c r="M209" s="16">
        <v>2</v>
      </c>
      <c r="N209" s="22">
        <v>1</v>
      </c>
    </row>
    <row r="210" spans="10:14" x14ac:dyDescent="0.3">
      <c r="J210" s="1" t="str">
        <v>Pablo Cebrián</v>
      </c>
      <c r="K210" s="1" t="str">
        <v>pablo_cebrian</v>
      </c>
      <c r="L210" s="1">
        <v>1</v>
      </c>
      <c r="M210" s="16">
        <v>1</v>
      </c>
      <c r="N210" s="22">
        <v>1</v>
      </c>
    </row>
    <row r="211" spans="10:14" x14ac:dyDescent="0.3">
      <c r="J211" s="1" t="str">
        <v>Pablo Coloma</v>
      </c>
      <c r="K211" s="1" t="str">
        <v>pablo_coloma</v>
      </c>
      <c r="L211" s="1">
        <v>1</v>
      </c>
      <c r="M211" s="16">
        <v>1</v>
      </c>
      <c r="N211" s="22">
        <v>1</v>
      </c>
    </row>
    <row r="212" spans="10:14" x14ac:dyDescent="0.3">
      <c r="J212" s="1" t="str">
        <v>Padre Ernesto</v>
      </c>
      <c r="K212" s="1" t="str">
        <v>padre_ernesto</v>
      </c>
      <c r="L212" s="1">
        <v>1</v>
      </c>
      <c r="M212" s="16">
        <v>1</v>
      </c>
      <c r="N212" s="22">
        <v>1</v>
      </c>
    </row>
    <row r="213" spans="10:14" x14ac:dyDescent="0.3">
      <c r="J213" s="1" t="str">
        <v>Paloma Falconi</v>
      </c>
      <c r="K213" s="1" t="str">
        <v>paloma_falconi</v>
      </c>
      <c r="L213" s="1">
        <v>1</v>
      </c>
      <c r="M213" s="16">
        <v>1</v>
      </c>
      <c r="N213" s="22">
        <v>1</v>
      </c>
    </row>
    <row r="214" spans="10:14" x14ac:dyDescent="0.3">
      <c r="J214" s="1" t="str">
        <v>Parroquia San Juan de Ávila</v>
      </c>
      <c r="K214" s="1" t="str">
        <v>parroquia_san_juan_de_ávila</v>
      </c>
      <c r="L214" s="1">
        <v>1</v>
      </c>
      <c r="M214" s="16">
        <v>1</v>
      </c>
      <c r="N214" s="22">
        <v>1</v>
      </c>
    </row>
    <row r="215" spans="10:14" x14ac:dyDescent="0.3">
      <c r="J215" s="1" t="str">
        <v>Paul S. Morton</v>
      </c>
      <c r="K215" s="1" t="str">
        <v>paul_s_morton</v>
      </c>
      <c r="L215" s="1">
        <v>1</v>
      </c>
      <c r="M215" s="16">
        <v>0</v>
      </c>
      <c r="N215" s="22">
        <v>0</v>
      </c>
    </row>
    <row r="216" spans="10:14" x14ac:dyDescent="0.3">
      <c r="J216" s="1" t="str">
        <v>Paul Smith</v>
      </c>
      <c r="K216" s="1" t="str">
        <v>paul_smith</v>
      </c>
      <c r="L216" s="1">
        <v>1</v>
      </c>
      <c r="M216" s="16">
        <v>0</v>
      </c>
      <c r="N216" s="22">
        <v>0</v>
      </c>
    </row>
    <row r="217" spans="10:14" x14ac:dyDescent="0.3">
      <c r="J217" s="1" t="str">
        <v>Pauline Michael Mills</v>
      </c>
      <c r="K217" s="1" t="str">
        <v>pauline_michael_mills</v>
      </c>
      <c r="L217" s="1">
        <v>1</v>
      </c>
      <c r="M217" s="16">
        <v>0</v>
      </c>
      <c r="N217" s="22">
        <v>0</v>
      </c>
    </row>
    <row r="218" spans="10:14" x14ac:dyDescent="0.3">
      <c r="J218" s="1" t="str">
        <v>Pedro Antonio Garza</v>
      </c>
      <c r="K218" s="1" t="str">
        <v>pedro_antonio_garza</v>
      </c>
      <c r="L218" s="1">
        <v>1</v>
      </c>
      <c r="M218" s="16">
        <v>1</v>
      </c>
      <c r="N218" s="22">
        <v>1</v>
      </c>
    </row>
    <row r="219" spans="10:14" x14ac:dyDescent="0.3">
      <c r="J219" s="1" t="str">
        <v>Pedro Luis Asturias</v>
      </c>
      <c r="K219" s="1" t="str">
        <v>pedro_luis_asturias</v>
      </c>
      <c r="L219" s="1">
        <v>1</v>
      </c>
      <c r="M219" s="16">
        <v>0</v>
      </c>
      <c r="N219" s="22">
        <v>0</v>
      </c>
    </row>
    <row r="220" spans="10:14" x14ac:dyDescent="0.3">
      <c r="J220" s="1" t="str">
        <v>Pedro Núñez</v>
      </c>
      <c r="K220" s="1" t="str">
        <v>pedro_nuñez</v>
      </c>
      <c r="L220" s="1">
        <v>5</v>
      </c>
      <c r="M220" s="16">
        <v>4</v>
      </c>
      <c r="N220" s="22">
        <v>0.8</v>
      </c>
    </row>
    <row r="221" spans="10:14" x14ac:dyDescent="0.3">
      <c r="J221" s="1" t="str">
        <v>Pelayo Sánchez</v>
      </c>
      <c r="K221" s="1" t="str">
        <v>pelayo_sanchez</v>
      </c>
      <c r="L221" s="1">
        <v>10</v>
      </c>
      <c r="M221" s="16">
        <v>4</v>
      </c>
      <c r="N221" s="22">
        <v>0.4</v>
      </c>
    </row>
    <row r="222" spans="10:14" x14ac:dyDescent="0.3">
      <c r="J222" s="1" t="str">
        <v>Perpetuo Socorro</v>
      </c>
      <c r="K222" s="1" t="str">
        <v>perpetuo_socorro</v>
      </c>
      <c r="L222" s="1">
        <v>6</v>
      </c>
      <c r="M222" s="16">
        <v>5</v>
      </c>
      <c r="N222" s="22">
        <v>0.83333333333333337</v>
      </c>
    </row>
    <row r="223" spans="10:14" x14ac:dyDescent="0.3">
      <c r="J223" s="1" t="str">
        <v>Rafael de la Hoz</v>
      </c>
      <c r="K223" s="1" t="str">
        <v>rafael_de_la_hoz</v>
      </c>
      <c r="L223" s="1">
        <v>2</v>
      </c>
      <c r="M223" s="16">
        <v>0</v>
      </c>
      <c r="N223" s="22">
        <v>0</v>
      </c>
    </row>
    <row r="224" spans="10:14" x14ac:dyDescent="0.3">
      <c r="J224" s="1" t="str">
        <v>Rafael Espinosa</v>
      </c>
      <c r="K224" s="1" t="str">
        <v>rafael_espinosa</v>
      </c>
      <c r="L224" s="1">
        <v>1</v>
      </c>
      <c r="M224" s="16">
        <v>1</v>
      </c>
      <c r="N224" s="22">
        <v>1</v>
      </c>
    </row>
    <row r="225" spans="10:14" x14ac:dyDescent="0.3">
      <c r="J225" s="1" t="str">
        <v>Ramón Capilla</v>
      </c>
      <c r="K225" s="1" t="str">
        <v>ramon_capilla</v>
      </c>
      <c r="L225" s="1">
        <v>4</v>
      </c>
      <c r="M225" s="16">
        <v>3</v>
      </c>
      <c r="N225" s="22">
        <v>0.75</v>
      </c>
    </row>
    <row r="226" spans="10:14" x14ac:dyDescent="0.3">
      <c r="J226" s="1" t="str">
        <v>Randal Calderón</v>
      </c>
      <c r="K226" s="1" t="str">
        <v>randal_calderon</v>
      </c>
      <c r="L226" s="1">
        <v>1</v>
      </c>
      <c r="M226" s="16">
        <v>0</v>
      </c>
      <c r="N226" s="22">
        <v>0</v>
      </c>
    </row>
    <row r="227" spans="10:14" x14ac:dyDescent="0.3">
      <c r="J227" s="1" t="str">
        <v>RCCE</v>
      </c>
      <c r="K227" s="1" t="str">
        <v>rcce</v>
      </c>
      <c r="L227" s="1">
        <v>4</v>
      </c>
      <c r="M227" s="16">
        <v>4</v>
      </c>
      <c r="N227" s="22">
        <v>1</v>
      </c>
    </row>
    <row r="228" spans="10:14" x14ac:dyDescent="0.3">
      <c r="J228" s="1" t="str">
        <v>Renato Vizuet</v>
      </c>
      <c r="K228" s="1" t="str">
        <v>renato_vizuet</v>
      </c>
      <c r="L228" s="1">
        <v>1</v>
      </c>
      <c r="M228" s="16">
        <v>0</v>
      </c>
      <c r="N228" s="22">
        <v>0</v>
      </c>
    </row>
    <row r="229" spans="10:14" x14ac:dyDescent="0.3">
      <c r="J229" s="1" t="str">
        <v>Reuben Morgan</v>
      </c>
      <c r="K229" s="1" t="str">
        <v>reuben_morgan</v>
      </c>
      <c r="L229" s="1">
        <v>1</v>
      </c>
      <c r="M229" s="16">
        <v>1</v>
      </c>
      <c r="N229" s="22">
        <v>1</v>
      </c>
    </row>
    <row r="230" spans="10:14" x14ac:dyDescent="0.3">
      <c r="J230" s="1" t="str">
        <v>Ribcah Anafah</v>
      </c>
      <c r="K230" s="1" t="str">
        <v>ribcah_anafah</v>
      </c>
      <c r="L230" s="1">
        <v>1</v>
      </c>
      <c r="M230" s="16">
        <v>0</v>
      </c>
      <c r="N230" s="22">
        <v>0</v>
      </c>
    </row>
    <row r="231" spans="10:14" x14ac:dyDescent="0.3">
      <c r="J231" s="1" t="str">
        <v>Ricardo Cantalapiedra</v>
      </c>
      <c r="K231" s="1" t="str">
        <v>ricardo_cantalapiedra</v>
      </c>
      <c r="L231" s="1">
        <v>12</v>
      </c>
      <c r="M231" s="16">
        <v>10</v>
      </c>
      <c r="N231" s="22">
        <v>0.83333333333333337</v>
      </c>
    </row>
    <row r="232" spans="10:14" x14ac:dyDescent="0.3">
      <c r="J232" s="1" t="str">
        <v>Ricardo de la Fuente</v>
      </c>
      <c r="K232" s="1" t="str">
        <v>ricardo_de_la_fuente</v>
      </c>
      <c r="L232" s="1">
        <v>1</v>
      </c>
      <c r="M232" s="16">
        <v>1</v>
      </c>
      <c r="N232" s="22">
        <v>1</v>
      </c>
    </row>
    <row r="233" spans="10:14" x14ac:dyDescent="0.3">
      <c r="J233" s="1" t="str">
        <v>Ricardo Solans</v>
      </c>
      <c r="K233" s="1" t="str">
        <v>ricardo_solans</v>
      </c>
      <c r="L233" s="1">
        <v>2</v>
      </c>
      <c r="M233" s="16">
        <v>0</v>
      </c>
      <c r="N233" s="22">
        <v>0</v>
      </c>
    </row>
    <row r="234" spans="10:14" x14ac:dyDescent="0.3">
      <c r="J234" s="1" t="str">
        <v>Ron Colie</v>
      </c>
      <c r="K234" s="1" t="str">
        <v>ron_colie</v>
      </c>
      <c r="L234" s="1">
        <v>1</v>
      </c>
      <c r="M234" s="16">
        <v>0</v>
      </c>
      <c r="N234" s="22">
        <v>0</v>
      </c>
    </row>
    <row r="235" spans="10:14" x14ac:dyDescent="0.3">
      <c r="J235" s="1" t="str">
        <v>Ron Kenoly</v>
      </c>
      <c r="K235" s="1" t="str">
        <v>ron_kenoly</v>
      </c>
      <c r="L235" s="1">
        <v>1</v>
      </c>
      <c r="M235" s="16">
        <v>0</v>
      </c>
      <c r="N235" s="22">
        <v>0</v>
      </c>
    </row>
    <row r="236" spans="10:14" x14ac:dyDescent="0.3">
      <c r="J236" s="1" t="str">
        <v>Rosa Cruz</v>
      </c>
      <c r="K236" s="1" t="str">
        <v>rosa_cruz</v>
      </c>
      <c r="L236" s="1">
        <v>12</v>
      </c>
      <c r="M236" s="16">
        <v>0</v>
      </c>
      <c r="N236" s="22">
        <v>0</v>
      </c>
    </row>
    <row r="237" spans="10:14" x14ac:dyDescent="0.3">
      <c r="J237" s="1" t="str">
        <v>Ruah</v>
      </c>
      <c r="K237" s="1" t="str">
        <v>ruah</v>
      </c>
      <c r="L237" s="1">
        <v>53</v>
      </c>
      <c r="M237" s="16">
        <v>50</v>
      </c>
      <c r="N237" s="22">
        <v>0.94339622641509435</v>
      </c>
    </row>
    <row r="238" spans="10:14" x14ac:dyDescent="0.3">
      <c r="J238" s="1" t="str">
        <v>Sagrada Familia</v>
      </c>
      <c r="K238" s="1" t="str">
        <v>sagrada_familia</v>
      </c>
      <c r="L238" s="1">
        <v>1</v>
      </c>
      <c r="M238" s="16">
        <v>1</v>
      </c>
      <c r="N238" s="22">
        <v>1</v>
      </c>
    </row>
    <row r="239" spans="10:14" x14ac:dyDescent="0.3">
      <c r="J239" s="1" t="str">
        <v>Sagrario Ruiz</v>
      </c>
      <c r="K239" s="1" t="str">
        <v>sagrario_ruiz</v>
      </c>
      <c r="L239" s="1">
        <v>1</v>
      </c>
      <c r="M239" s="16">
        <v>0</v>
      </c>
      <c r="N239" s="22">
        <v>0</v>
      </c>
    </row>
    <row r="240" spans="10:14" x14ac:dyDescent="0.3">
      <c r="J240" s="1" t="str">
        <v>Salomé Arricibita</v>
      </c>
      <c r="K240" s="1" t="str">
        <v>salome_arricibita</v>
      </c>
      <c r="L240" s="1">
        <v>2</v>
      </c>
      <c r="M240" s="16">
        <v>2</v>
      </c>
      <c r="N240" s="22">
        <v>1</v>
      </c>
    </row>
    <row r="241" spans="10:14" x14ac:dyDescent="0.3">
      <c r="J241" s="1" t="str">
        <v>Salvatore Martínez</v>
      </c>
      <c r="K241" s="1" t="str">
        <v>salvatore_martinez</v>
      </c>
      <c r="L241" s="1">
        <v>2</v>
      </c>
      <c r="M241" s="16">
        <v>2</v>
      </c>
      <c r="N241" s="22">
        <v>1</v>
      </c>
    </row>
    <row r="242" spans="10:14" x14ac:dyDescent="0.3">
      <c r="J242" s="1" t="str">
        <v>Sarah Flower Adams</v>
      </c>
      <c r="K242" s="1" t="str">
        <v>sarah_flower_adams</v>
      </c>
      <c r="L242" s="1">
        <v>1</v>
      </c>
      <c r="M242" s="16">
        <v>1</v>
      </c>
      <c r="N242" s="22">
        <v>1</v>
      </c>
    </row>
    <row r="243" spans="10:14" x14ac:dyDescent="0.3">
      <c r="J243" s="1" t="str">
        <v>Sebastián Temple</v>
      </c>
      <c r="K243" s="1" t="str">
        <v>sebastian_temple</v>
      </c>
      <c r="L243" s="1">
        <v>1</v>
      </c>
      <c r="M243" s="16">
        <v>0</v>
      </c>
      <c r="N243" s="22">
        <v>0</v>
      </c>
    </row>
    <row r="244" spans="10:14" x14ac:dyDescent="0.3">
      <c r="J244" s="1" t="str">
        <v>Simon y Garfunkel</v>
      </c>
      <c r="K244" s="1" t="str">
        <v>simon_y_garfunkel</v>
      </c>
      <c r="L244" s="1">
        <v>1</v>
      </c>
      <c r="M244" s="16">
        <v>1</v>
      </c>
      <c r="N244" s="22">
        <v>1</v>
      </c>
    </row>
    <row r="245" spans="10:14" x14ac:dyDescent="0.3">
      <c r="J245" s="1" t="str">
        <v>Sor Trini - Hijas de la Caridad</v>
      </c>
      <c r="K245" s="1" t="str">
        <v>sor_trini_-_hijas_de_la_caridad</v>
      </c>
      <c r="L245" s="1">
        <v>1</v>
      </c>
      <c r="M245" s="16">
        <v>1</v>
      </c>
      <c r="N245" s="22">
        <v>1</v>
      </c>
    </row>
    <row r="246" spans="10:14" x14ac:dyDescent="0.3">
      <c r="J246" s="1" t="str">
        <v>Stephen Schwartz</v>
      </c>
      <c r="K246" s="1" t="str">
        <v>stephen_schwartz</v>
      </c>
      <c r="L246" s="1">
        <v>1</v>
      </c>
      <c r="M246" s="16">
        <v>1</v>
      </c>
      <c r="N246" s="22">
        <v>1</v>
      </c>
    </row>
    <row r="247" spans="10:14" x14ac:dyDescent="0.3">
      <c r="J247" s="1" t="str">
        <v>Steve McEwan</v>
      </c>
      <c r="K247" s="1" t="str">
        <v>steve_mcewan</v>
      </c>
      <c r="L247" s="1">
        <v>1</v>
      </c>
      <c r="M247" s="16">
        <v>0</v>
      </c>
      <c r="N247" s="22">
        <v>0</v>
      </c>
    </row>
    <row r="248" spans="10:14" x14ac:dyDescent="0.3">
      <c r="J248" s="1" t="str">
        <v>Steve Merkel</v>
      </c>
      <c r="K248" s="1" t="str">
        <v>steve_merkel</v>
      </c>
      <c r="L248" s="1">
        <v>1</v>
      </c>
      <c r="M248" s="16">
        <v>1</v>
      </c>
      <c r="N248" s="22">
        <v>1</v>
      </c>
    </row>
    <row r="249" spans="10:14" x14ac:dyDescent="0.3">
      <c r="J249" s="1" t="str">
        <v>Suzanne Toolan</v>
      </c>
      <c r="K249" s="1" t="str">
        <v>suzanne_toolan</v>
      </c>
      <c r="L249" s="1">
        <v>1</v>
      </c>
      <c r="M249" s="16">
        <v>1</v>
      </c>
      <c r="N249" s="22">
        <v>1</v>
      </c>
    </row>
    <row r="250" spans="10:14" x14ac:dyDescent="0.3">
      <c r="J250" s="1" t="str">
        <v>Taizé</v>
      </c>
      <c r="K250" s="1" t="str">
        <v>taize</v>
      </c>
      <c r="L250" s="1">
        <v>3</v>
      </c>
      <c r="M250" s="16">
        <v>2</v>
      </c>
      <c r="N250" s="22">
        <v>0.66666666666666663</v>
      </c>
    </row>
    <row r="251" spans="10:14" x14ac:dyDescent="0.3">
      <c r="J251" s="1" t="str">
        <v>Taizé en español</v>
      </c>
      <c r="K251" s="1" t="str">
        <v>taize_en_español</v>
      </c>
      <c r="L251" s="1">
        <v>78</v>
      </c>
      <c r="M251" s="16">
        <v>78</v>
      </c>
      <c r="N251" s="22">
        <v>1</v>
      </c>
    </row>
    <row r="252" spans="10:14" x14ac:dyDescent="0.3">
      <c r="J252" s="1" t="str">
        <v>Taizé original</v>
      </c>
      <c r="K252" s="1" t="str">
        <v>taize_original</v>
      </c>
      <c r="L252" s="1">
        <v>84</v>
      </c>
      <c r="M252" s="16">
        <v>84</v>
      </c>
      <c r="N252" s="22">
        <v>1</v>
      </c>
    </row>
    <row r="253" spans="10:14" x14ac:dyDescent="0.3">
      <c r="J253" s="1" t="str">
        <v>Terrye Coelho</v>
      </c>
      <c r="K253" s="1" t="str">
        <v>terrye_coelho</v>
      </c>
      <c r="L253" s="1">
        <v>1</v>
      </c>
      <c r="M253" s="16">
        <v>0</v>
      </c>
      <c r="N253" s="22">
        <v>0</v>
      </c>
    </row>
    <row r="254" spans="10:14" x14ac:dyDescent="0.3">
      <c r="J254" s="1" t="str">
        <v>The Beatles</v>
      </c>
      <c r="K254" s="1" t="str">
        <v>the_beatles</v>
      </c>
      <c r="L254" s="1">
        <v>1</v>
      </c>
      <c r="M254" s="16">
        <v>1</v>
      </c>
      <c r="N254" s="22">
        <v>1</v>
      </c>
    </row>
    <row r="255" spans="10:14" x14ac:dyDescent="0.3">
      <c r="J255" s="1" t="str">
        <v>Tim Hughes</v>
      </c>
      <c r="K255" s="1" t="str">
        <v>tim_hughes</v>
      </c>
      <c r="L255" s="1">
        <v>1</v>
      </c>
      <c r="M255" s="16">
        <v>0</v>
      </c>
      <c r="N255" s="22">
        <v>0</v>
      </c>
    </row>
    <row r="256" spans="10:14" x14ac:dyDescent="0.3">
      <c r="J256" s="1" t="str">
        <v>Tim Smith</v>
      </c>
      <c r="K256" s="1" t="str">
        <v>tim_smith</v>
      </c>
      <c r="L256" s="1">
        <v>1</v>
      </c>
      <c r="M256" s="16">
        <v>0</v>
      </c>
      <c r="N256" s="22">
        <v>0</v>
      </c>
    </row>
    <row r="257" spans="10:14" x14ac:dyDescent="0.3">
      <c r="J257" s="1" t="str">
        <v>Tomás Aragüés</v>
      </c>
      <c r="K257" s="1" t="str">
        <v>tomas_aragües</v>
      </c>
      <c r="L257" s="1">
        <v>2</v>
      </c>
      <c r="M257" s="16">
        <v>2</v>
      </c>
      <c r="N257" s="22">
        <v>1</v>
      </c>
    </row>
    <row r="258" spans="10:14" x14ac:dyDescent="0.3">
      <c r="J258" s="1" t="str">
        <v>Toño Casado</v>
      </c>
      <c r="K258" s="1" t="str">
        <v>toño_casado</v>
      </c>
      <c r="L258" s="1">
        <v>44</v>
      </c>
      <c r="M258" s="16">
        <v>44</v>
      </c>
      <c r="N258" s="22">
        <v>1</v>
      </c>
    </row>
    <row r="259" spans="10:14" x14ac:dyDescent="0.3">
      <c r="J259" s="1" t="str">
        <v>TSNC</v>
      </c>
      <c r="K259" s="1" t="str">
        <v>tsnc</v>
      </c>
      <c r="L259" s="1">
        <v>3</v>
      </c>
      <c r="M259" s="16">
        <v>3</v>
      </c>
      <c r="N259" s="22">
        <v>1</v>
      </c>
    </row>
    <row r="260" spans="10:14" x14ac:dyDescent="0.3">
      <c r="J260" s="1" t="str">
        <v>Twila Paris</v>
      </c>
      <c r="K260" s="1" t="str">
        <v>twila_paris</v>
      </c>
      <c r="L260" s="1">
        <v>1</v>
      </c>
      <c r="M260" s="16">
        <v>0</v>
      </c>
      <c r="N260" s="22">
        <v>0</v>
      </c>
    </row>
    <row r="261" spans="10:14" x14ac:dyDescent="0.3">
      <c r="J261" s="1" t="str">
        <v>Valentín Elizalde</v>
      </c>
      <c r="K261" s="1" t="str">
        <v>valentin_elizalde</v>
      </c>
      <c r="L261" s="1">
        <v>1</v>
      </c>
      <c r="M261" s="16">
        <v>0</v>
      </c>
      <c r="N261" s="22">
        <v>0</v>
      </c>
    </row>
    <row r="262" spans="10:14" x14ac:dyDescent="0.3">
      <c r="J262" s="1" t="str">
        <v>Valmaseda</v>
      </c>
      <c r="K262" s="1" t="str">
        <v>valmaseda</v>
      </c>
      <c r="L262" s="1">
        <v>2</v>
      </c>
      <c r="M262" s="16">
        <v>0</v>
      </c>
      <c r="N262" s="22">
        <v>0</v>
      </c>
    </row>
    <row r="263" spans="10:14" x14ac:dyDescent="0.3">
      <c r="J263" s="1" t="str">
        <v>Villancicos</v>
      </c>
      <c r="K263" s="1" t="str">
        <v>villancicos</v>
      </c>
      <c r="L263" s="1">
        <v>19</v>
      </c>
      <c r="M263" s="16">
        <v>19</v>
      </c>
      <c r="N263" s="22">
        <v>1</v>
      </c>
    </row>
    <row r="264" spans="10:14" x14ac:dyDescent="0.3">
      <c r="J264" s="1" t="str">
        <v>Vincent</v>
      </c>
      <c r="K264" s="1" t="str">
        <v>vincent</v>
      </c>
      <c r="L264" s="1">
        <v>1</v>
      </c>
      <c r="M264" s="16">
        <v>0</v>
      </c>
      <c r="N264" s="22">
        <v>0</v>
      </c>
    </row>
  </sheetData>
  <conditionalFormatting sqref="N1:N1048576 O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:W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G1" r:id="rId1" xr:uid="{3D3A2C83-3710-42B3-BE50-8A98D17655DA}"/>
    <hyperlink ref="G2" r:id="rId2" xr:uid="{27C56294-50FB-4757-9D94-0B76BC09325E}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FB9A-9337-4F59-865C-61EAB83FC532}">
  <dimension ref="A1:AE441"/>
  <sheetViews>
    <sheetView workbookViewId="0">
      <selection activeCell="I3" sqref="I3"/>
    </sheetView>
  </sheetViews>
  <sheetFormatPr baseColWidth="10" defaultRowHeight="14.4" x14ac:dyDescent="0.3"/>
  <cols>
    <col min="1" max="4" width="11.5546875" style="16"/>
    <col min="8" max="8" width="11.5546875" style="16"/>
    <col min="9" max="15" width="11.5546875" style="17"/>
    <col min="16" max="16" width="11.5546875" style="17" customWidth="1"/>
    <col min="17" max="31" width="11.5546875" style="17"/>
  </cols>
  <sheetData>
    <row r="1" spans="1:31" x14ac:dyDescent="0.3">
      <c r="A1" s="23" t="s">
        <v>2946</v>
      </c>
      <c r="B1" s="26" t="s">
        <v>2945</v>
      </c>
      <c r="C1" s="26">
        <v>6</v>
      </c>
      <c r="H1" s="16">
        <f>SUM(I1:AE1)-Resumen!$Q$6</f>
        <v>1062</v>
      </c>
      <c r="I1" s="17">
        <f>COUNTA(_xlfn.ANCHORARRAY(I3))</f>
        <v>113</v>
      </c>
      <c r="J1" s="17">
        <f t="shared" ref="J1:X1" si="0">COUNTA(_xlfn.ANCHORARRAY(J3))</f>
        <v>25</v>
      </c>
      <c r="K1" s="17">
        <f t="shared" si="0"/>
        <v>1</v>
      </c>
      <c r="L1" s="17">
        <f t="shared" si="0"/>
        <v>1</v>
      </c>
      <c r="M1" s="17">
        <f t="shared" si="0"/>
        <v>55</v>
      </c>
      <c r="N1" s="17">
        <f t="shared" si="0"/>
        <v>91</v>
      </c>
      <c r="O1" s="17">
        <f t="shared" si="0"/>
        <v>2</v>
      </c>
      <c r="P1" s="17">
        <f t="shared" si="0"/>
        <v>113</v>
      </c>
      <c r="Q1" s="17">
        <f t="shared" si="0"/>
        <v>439</v>
      </c>
      <c r="R1" s="17">
        <f t="shared" si="0"/>
        <v>19</v>
      </c>
      <c r="S1" s="17">
        <f t="shared" si="0"/>
        <v>23</v>
      </c>
      <c r="T1" s="17">
        <f t="shared" si="0"/>
        <v>50</v>
      </c>
      <c r="U1" s="17">
        <f t="shared" si="0"/>
        <v>78</v>
      </c>
      <c r="V1" s="17">
        <f t="shared" si="0"/>
        <v>84</v>
      </c>
      <c r="W1" s="17">
        <f t="shared" si="0"/>
        <v>27</v>
      </c>
      <c r="X1" s="17">
        <f t="shared" si="0"/>
        <v>19</v>
      </c>
    </row>
    <row r="2" spans="1:31" x14ac:dyDescent="0.3">
      <c r="A2" s="23" t="s">
        <v>478</v>
      </c>
      <c r="B2" s="23" t="s">
        <v>2948</v>
      </c>
      <c r="C2" s="23" t="s">
        <v>2874</v>
      </c>
      <c r="D2" s="23" t="s">
        <v>608</v>
      </c>
      <c r="F2" s="29" t="s">
        <v>2949</v>
      </c>
      <c r="G2" s="30">
        <v>0</v>
      </c>
      <c r="H2" s="23" t="s">
        <v>2946</v>
      </c>
      <c r="I2" s="28" t="str" cm="1">
        <f t="array" ref="I2:X2">TRANSPOSE(_xlfn._xlws.SORT(_xlfn.UNIQUE(CantoralDB[Sección])))</f>
        <v>ain_karem</v>
      </c>
      <c r="J2" s="28" t="str">
        <v>brotes_de_olivo</v>
      </c>
      <c r="K2" s="28" t="str">
        <v>carmelo_erdozain</v>
      </c>
      <c r="L2" s="28" t="str">
        <v>cesareo_gabarain</v>
      </c>
      <c r="M2" s="28" t="str">
        <v>francisco_palazon</v>
      </c>
      <c r="N2" s="28" t="str">
        <v>hakuna</v>
      </c>
      <c r="O2" s="28" t="str">
        <v>hermana_glenda</v>
      </c>
      <c r="P2" s="28" t="str">
        <v>kairoi</v>
      </c>
      <c r="Q2" s="28" t="str">
        <v>nsb</v>
      </c>
      <c r="R2" s="28" t="str">
        <v>nuevas</v>
      </c>
      <c r="S2" s="28" t="str">
        <v>rcce</v>
      </c>
      <c r="T2" s="28" t="str">
        <v>ruah</v>
      </c>
      <c r="U2" s="28" t="str">
        <v>taize_esp</v>
      </c>
      <c r="V2" s="28" t="str">
        <v>taize_orig</v>
      </c>
      <c r="W2" s="28" t="str">
        <v>toño_casado</v>
      </c>
      <c r="X2" s="28" t="str">
        <v>villancicos</v>
      </c>
      <c r="Y2" s="28"/>
      <c r="Z2" s="28"/>
      <c r="AA2" s="28"/>
      <c r="AB2" s="28"/>
      <c r="AC2" s="28"/>
      <c r="AD2" s="28"/>
      <c r="AE2" s="28"/>
    </row>
    <row r="3" spans="1:31" x14ac:dyDescent="0.3">
      <c r="A3" s="16" t="str" cm="1">
        <f t="array" ref="A3:D33">_xlfn._xlws.FILTER(_xlfn.HSTACK(_xlfn.ANCHORARRAY(Resumen!J5),_xlfn.ANCHORARRAY(Resumen!K5),_xlfn.ANCHORARRAY(Resumen!L5),_xlfn.ANCHORARRAY(Resumen!M5)),_xlfn.ANCHORARRAY(Resumen!L5)&gt;=C1)</f>
        <v>Ain Karem</v>
      </c>
      <c r="B3" s="16" t="str">
        <v>ain_karem</v>
      </c>
      <c r="C3" s="16">
        <v>120</v>
      </c>
      <c r="D3" s="16">
        <v>115</v>
      </c>
      <c r="F3" s="31" t="s">
        <v>2950</v>
      </c>
      <c r="G3" s="30">
        <v>1</v>
      </c>
      <c r="I3" s="17" cm="1">
        <f t="array" ref="I3:I115">IF($G$2=1,
_xlfn.CHOOSECOLS(_xlfn._xlws.FILTER(CantoralDB[],CantoralDB[Sección]=secciones!I2),IF($G$3=1,21,2)),
_xlfn.CHOOSECOLS(_xlfn._xlws.FILTER(CantoralDB[],(CantoralDB[Sección]=secciones!I2)*(CantoralDB[html]="OK")),IF($G$3=1,21,2)))</f>
        <v>0</v>
      </c>
      <c r="J3" s="17" cm="1">
        <f t="array" ref="J3:J27">IF($G$2=1,
_xlfn.CHOOSECOLS(_xlfn._xlws.FILTER(CantoralDB[],CantoralDB[Sección]=secciones!J2),IF($G$3=1,21,2)),
_xlfn.CHOOSECOLS(_xlfn._xlws.FILTER(CantoralDB[],(CantoralDB[Sección]=secciones!J2)*(CantoralDB[html]="OK")),IF($G$3=1,21,2)))</f>
        <v>0</v>
      </c>
      <c r="K3" s="17" t="str" cm="1">
        <f t="array" ref="K3">IF($G$2=1,
_xlfn.CHOOSECOLS(_xlfn._xlws.FILTER(CantoralDB[],CantoralDB[Sección]=secciones!K2),IF($G$3=1,21,2)),
_xlfn.CHOOSECOLS(_xlfn._xlws.FILTER(CantoralDB[],(CantoralDB[Sección]=secciones!K2)*(CantoralDB[html]="OK")),IF($G$3=1,21,2)))</f>
        <v>https://www.youtube.com/watch?v=9M7iJL9dGr4</v>
      </c>
      <c r="L3" s="17" cm="1">
        <f t="array" ref="L3">IF($G$2=1,
_xlfn.CHOOSECOLS(_xlfn._xlws.FILTER(CantoralDB[],CantoralDB[Sección]=secciones!L2),IF($G$3=1,21,2)),
_xlfn.CHOOSECOLS(_xlfn._xlws.FILTER(CantoralDB[],(CantoralDB[Sección]=secciones!L2)*(CantoralDB[html]="OK")),IF($G$3=1,21,2)))</f>
        <v>0</v>
      </c>
      <c r="M3" s="17" cm="1">
        <f t="array" ref="M3:M57">IF($G$2=1,
_xlfn.CHOOSECOLS(_xlfn._xlws.FILTER(CantoralDB[],CantoralDB[Sección]=secciones!M2),IF($G$3=1,21,2)),
_xlfn.CHOOSECOLS(_xlfn._xlws.FILTER(CantoralDB[],(CantoralDB[Sección]=secciones!M2)*(CantoralDB[html]="OK")),IF($G$3=1,21,2)))</f>
        <v>0</v>
      </c>
      <c r="N3" s="17" cm="1">
        <f t="array" ref="N3:N93">IF($G$2=1,
_xlfn.CHOOSECOLS(_xlfn._xlws.FILTER(CantoralDB[],CantoralDB[Sección]=secciones!N2),IF($G$3=1,21,2)),
_xlfn.CHOOSECOLS(_xlfn._xlws.FILTER(CantoralDB[],(CantoralDB[Sección]=secciones!N2)*(CantoralDB[html]="OK")),IF($G$3=1,21,2)))</f>
        <v>0</v>
      </c>
      <c r="O3" s="17" cm="1">
        <f t="array" ref="O3:O4">IF($G$2=1,
_xlfn.CHOOSECOLS(_xlfn._xlws.FILTER(CantoralDB[],CantoralDB[Sección]=secciones!O2),IF($G$3=1,21,2)),
_xlfn.CHOOSECOLS(_xlfn._xlws.FILTER(CantoralDB[],(CantoralDB[Sección]=secciones!O2)*(CantoralDB[html]="OK")),IF($G$3=1,21,2)))</f>
        <v>0</v>
      </c>
      <c r="P3" s="17" cm="1">
        <f t="array" ref="P3:P115">IF($G$2=1,
_xlfn.CHOOSECOLS(_xlfn._xlws.FILTER(CantoralDB[],CantoralDB[Sección]=secciones!P2),IF($G$3=1,21,2)),
_xlfn.CHOOSECOLS(_xlfn._xlws.FILTER(CantoralDB[],(CantoralDB[Sección]=secciones!P2)*(CantoralDB[html]="OK")),IF($G$3=1,21,2)))</f>
        <v>0</v>
      </c>
      <c r="Q3" s="17" cm="1">
        <f t="array" ref="Q3:Q441">IF($G$2=1,
_xlfn.CHOOSECOLS(_xlfn._xlws.FILTER(CantoralDB[],CantoralDB[Sección]=secciones!Q2),IF($G$3=1,21,2)),
_xlfn.CHOOSECOLS(_xlfn._xlws.FILTER(CantoralDB[],(CantoralDB[Sección]=secciones!Q2)*(CantoralDB[html]="OK")),IF($G$3=1,21,2)))</f>
        <v>0</v>
      </c>
      <c r="R3" s="17" cm="1">
        <f t="array" ref="R3:R21">IF($G$2=1,
_xlfn.CHOOSECOLS(_xlfn._xlws.FILTER(CantoralDB[],CantoralDB[Sección]=secciones!R2),IF($G$3=1,21,2)),
_xlfn.CHOOSECOLS(_xlfn._xlws.FILTER(CantoralDB[],(CantoralDB[Sección]=secciones!R2)*(CantoralDB[html]="OK")),IF($G$3=1,21,2)))</f>
        <v>0</v>
      </c>
      <c r="S3" s="17" cm="1">
        <f t="array" ref="S3:S25">IF($G$2=1,
_xlfn.CHOOSECOLS(_xlfn._xlws.FILTER(CantoralDB[],CantoralDB[Sección]=secciones!S2),IF($G$3=1,21,2)),
_xlfn.CHOOSECOLS(_xlfn._xlws.FILTER(CantoralDB[],(CantoralDB[Sección]=secciones!S2)*(CantoralDB[html]="OK")),IF($G$3=1,21,2)))</f>
        <v>0</v>
      </c>
      <c r="T3" s="17" cm="1">
        <f t="array" ref="T3:T52">IF($G$2=1,
_xlfn.CHOOSECOLS(_xlfn._xlws.FILTER(CantoralDB[],CantoralDB[Sección]=secciones!T2),IF($G$3=1,21,2)),
_xlfn.CHOOSECOLS(_xlfn._xlws.FILTER(CantoralDB[],(CantoralDB[Sección]=secciones!T2)*(CantoralDB[html]="OK")),IF($G$3=1,21,2)))</f>
        <v>0</v>
      </c>
      <c r="U3" s="17" cm="1">
        <f t="array" ref="U3:U80">IF($G$2=1,
_xlfn.CHOOSECOLS(_xlfn._xlws.FILTER(CantoralDB[],CantoralDB[Sección]=secciones!U2),IF($G$3=1,21,2)),
_xlfn.CHOOSECOLS(_xlfn._xlws.FILTER(CantoralDB[],(CantoralDB[Sección]=secciones!U2)*(CantoralDB[html]="OK")),IF($G$3=1,21,2)))</f>
        <v>0</v>
      </c>
      <c r="V3" s="17" cm="1">
        <f t="array" ref="V3:V86">IF($G$2=1,
_xlfn.CHOOSECOLS(_xlfn._xlws.FILTER(CantoralDB[],CantoralDB[Sección]=secciones!V2),IF($G$3=1,21,2)),
_xlfn.CHOOSECOLS(_xlfn._xlws.FILTER(CantoralDB[],(CantoralDB[Sección]=secciones!V2)*(CantoralDB[html]="OK")),IF($G$3=1,21,2)))</f>
        <v>0</v>
      </c>
      <c r="W3" s="17" cm="1">
        <f t="array" ref="W3:W29">IF($G$2=1,
_xlfn.CHOOSECOLS(_xlfn._xlws.FILTER(CantoralDB[],CantoralDB[Sección]=secciones!W2),IF($G$3=1,21,2)),
_xlfn.CHOOSECOLS(_xlfn._xlws.FILTER(CantoralDB[],(CantoralDB[Sección]=secciones!W2)*(CantoralDB[html]="OK")),IF($G$3=1,21,2)))</f>
        <v>0</v>
      </c>
      <c r="X3" s="17" cm="1">
        <f t="array" ref="X3:X21">IF($G$2=1,
_xlfn.CHOOSECOLS(_xlfn._xlws.FILTER(CantoralDB[],CantoralDB[Sección]=secciones!X2),IF($G$3=1,21,2)),
_xlfn.CHOOSECOLS(_xlfn._xlws.FILTER(CantoralDB[],(CantoralDB[Sección]=secciones!X2)*(CantoralDB[html]="OK")),IF($G$3=1,21,2)))</f>
        <v>0</v>
      </c>
    </row>
    <row r="4" spans="1:31" x14ac:dyDescent="0.3">
      <c r="A4" s="16" t="str">
        <v>Alejandro Ruiz</v>
      </c>
      <c r="B4" s="16" t="str">
        <v>alejandro_ruiz</v>
      </c>
      <c r="C4" s="16">
        <v>15</v>
      </c>
      <c r="D4" s="16">
        <v>3</v>
      </c>
      <c r="I4" s="17">
        <v>0</v>
      </c>
      <c r="J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 t="str">
        <v>https://www.youtube.com/watch?v=DcnvRmnrm0s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</row>
    <row r="5" spans="1:31" x14ac:dyDescent="0.3">
      <c r="A5" s="16" t="str">
        <v>Al-Haraca</v>
      </c>
      <c r="B5" s="16" t="str">
        <v>al-haraca</v>
      </c>
      <c r="C5" s="16">
        <v>7</v>
      </c>
      <c r="D5" s="16">
        <v>5</v>
      </c>
      <c r="I5" s="17">
        <v>0</v>
      </c>
      <c r="J5" s="17">
        <v>0</v>
      </c>
      <c r="M5" s="17">
        <v>0</v>
      </c>
      <c r="N5" s="17">
        <v>0</v>
      </c>
      <c r="P5" s="17">
        <v>0</v>
      </c>
      <c r="Q5" s="17">
        <v>0</v>
      </c>
      <c r="R5" s="17" t="str">
        <v>https://www.youtube.com/watch?v=k8ibpJ4NKTU</v>
      </c>
      <c r="S5" s="17" t="str">
        <v>https://www.youtube.com/watch?v=Kpyl0DDOr1M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</row>
    <row r="6" spans="1:31" x14ac:dyDescent="0.3">
      <c r="A6" s="16" t="str">
        <v>Antonio Alcalde</v>
      </c>
      <c r="B6" s="16" t="str">
        <v>antonio_alcalde</v>
      </c>
      <c r="C6" s="16">
        <v>10</v>
      </c>
      <c r="D6" s="16">
        <v>6</v>
      </c>
      <c r="I6" s="17">
        <v>0</v>
      </c>
      <c r="J6" s="17">
        <v>0</v>
      </c>
      <c r="M6" s="17">
        <v>0</v>
      </c>
      <c r="N6" s="17">
        <v>0</v>
      </c>
      <c r="P6" s="17">
        <v>0</v>
      </c>
      <c r="Q6" s="17" t="str">
        <v>https://www.youtube.com/watch?v=fwSvlqMZsDQ</v>
      </c>
      <c r="R6" s="17">
        <v>0</v>
      </c>
      <c r="S6" s="17" t="str">
        <v>https://www.youtube.com/watch?v=88t9_VW5z6o</v>
      </c>
      <c r="T6" s="17">
        <v>0</v>
      </c>
      <c r="U6" s="17">
        <v>0</v>
      </c>
      <c r="V6" s="17">
        <v>0</v>
      </c>
      <c r="W6" s="17">
        <v>0</v>
      </c>
      <c r="X6" s="17">
        <v>0</v>
      </c>
    </row>
    <row r="7" spans="1:31" x14ac:dyDescent="0.3">
      <c r="A7" s="16" t="str">
        <v>Brotes de Olivo</v>
      </c>
      <c r="B7" s="16" t="str">
        <v>brotes_de_olivo</v>
      </c>
      <c r="C7" s="16">
        <v>42</v>
      </c>
      <c r="D7" s="16">
        <v>36</v>
      </c>
      <c r="I7" s="17">
        <v>0</v>
      </c>
      <c r="J7" s="17">
        <v>0</v>
      </c>
      <c r="M7" s="17">
        <v>0</v>
      </c>
      <c r="N7" s="17">
        <v>0</v>
      </c>
      <c r="P7" s="17">
        <v>0</v>
      </c>
      <c r="Q7" s="17">
        <v>0</v>
      </c>
      <c r="R7" s="17" t="str">
        <v>https://www.youtube.com/watch?v=rpwi0PjxShU</v>
      </c>
      <c r="S7" s="17" t="str">
        <v>https://www.youtube.com/watch?v=oJ8DIOKwxhU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</row>
    <row r="8" spans="1:31" x14ac:dyDescent="0.3">
      <c r="A8" s="16" t="str">
        <v>Carmelo Erdozáin</v>
      </c>
      <c r="B8" s="16" t="str">
        <v>carmelo_erdozain</v>
      </c>
      <c r="C8" s="16">
        <v>38</v>
      </c>
      <c r="D8" s="16">
        <v>37</v>
      </c>
      <c r="I8" s="17">
        <v>0</v>
      </c>
      <c r="J8" s="17">
        <v>0</v>
      </c>
      <c r="M8" s="17">
        <v>0</v>
      </c>
      <c r="N8" s="17">
        <v>0</v>
      </c>
      <c r="P8" s="17">
        <v>0</v>
      </c>
      <c r="Q8" s="17">
        <v>0</v>
      </c>
      <c r="R8" s="17">
        <v>0</v>
      </c>
      <c r="S8" s="17" t="str">
        <v>https://www.youtube.com/watch?v=KwQwKNU8Q1I</v>
      </c>
      <c r="T8" s="17">
        <v>0</v>
      </c>
      <c r="U8" s="17">
        <v>0</v>
      </c>
      <c r="V8" s="17">
        <v>0</v>
      </c>
      <c r="W8" s="17">
        <v>0</v>
      </c>
      <c r="X8" s="17">
        <v>0</v>
      </c>
    </row>
    <row r="9" spans="1:31" x14ac:dyDescent="0.3">
      <c r="A9" s="16" t="str">
        <v>Cesáreo Gabarain</v>
      </c>
      <c r="B9" s="16" t="str">
        <v>cesareo_gabarain</v>
      </c>
      <c r="C9" s="16">
        <v>34</v>
      </c>
      <c r="D9" s="16">
        <v>31</v>
      </c>
      <c r="I9" s="17">
        <v>0</v>
      </c>
      <c r="J9" s="17">
        <v>0</v>
      </c>
      <c r="M9" s="17">
        <v>0</v>
      </c>
      <c r="N9" s="17">
        <v>0</v>
      </c>
      <c r="P9" s="17">
        <v>0</v>
      </c>
      <c r="Q9" s="17">
        <v>0</v>
      </c>
      <c r="R9" s="17" t="str">
        <v>https://www.youtube.com/watch?v=XuoPNqY5n9A</v>
      </c>
      <c r="S9" s="17">
        <v>0</v>
      </c>
      <c r="T9" s="17">
        <v>0</v>
      </c>
      <c r="U9" s="17">
        <v>0</v>
      </c>
      <c r="V9" s="17">
        <v>0</v>
      </c>
      <c r="W9" s="17">
        <v>0</v>
      </c>
      <c r="X9" s="17">
        <v>0</v>
      </c>
    </row>
    <row r="10" spans="1:31" x14ac:dyDescent="0.3">
      <c r="A10" s="16" t="str">
        <v>Emilio Vicente Mateu</v>
      </c>
      <c r="B10" s="16" t="str">
        <v>emilio_vicente_mateu</v>
      </c>
      <c r="C10" s="16">
        <v>12</v>
      </c>
      <c r="D10" s="16">
        <v>9</v>
      </c>
      <c r="I10" s="17">
        <v>0</v>
      </c>
      <c r="J10" s="17">
        <v>0</v>
      </c>
      <c r="M10" s="17">
        <v>0</v>
      </c>
      <c r="N10" s="17">
        <v>0</v>
      </c>
      <c r="P10" s="17">
        <v>0</v>
      </c>
      <c r="Q10" s="17">
        <v>0</v>
      </c>
      <c r="R10" s="17" t="str">
        <v>https://www.youtube.com/watch?v=yiRuZloI6d0</v>
      </c>
      <c r="S10" s="17">
        <v>0</v>
      </c>
      <c r="T10" s="17">
        <v>0</v>
      </c>
      <c r="U10" s="17">
        <v>0</v>
      </c>
      <c r="V10" s="17">
        <v>0</v>
      </c>
      <c r="W10" s="17">
        <v>0</v>
      </c>
      <c r="X10" s="17">
        <v>0</v>
      </c>
    </row>
    <row r="11" spans="1:31" x14ac:dyDescent="0.3">
      <c r="A11" s="16" t="str">
        <v>Fernando Viejo</v>
      </c>
      <c r="B11" s="16" t="str">
        <v>fernando_viejo</v>
      </c>
      <c r="C11" s="16">
        <v>6</v>
      </c>
      <c r="D11" s="16">
        <v>6</v>
      </c>
      <c r="I11" s="17">
        <v>0</v>
      </c>
      <c r="J11" s="17">
        <v>0</v>
      </c>
      <c r="M11" s="17">
        <v>0</v>
      </c>
      <c r="N11" s="17">
        <v>0</v>
      </c>
      <c r="P11" s="17">
        <v>0</v>
      </c>
      <c r="Q11" s="17">
        <v>0</v>
      </c>
      <c r="R11" s="17" t="str">
        <v>https://www.youtube.com/watch?v=1axSWF5kWVc</v>
      </c>
      <c r="S11" s="17" t="str">
        <v>https://www.youtube.com/watch?v=RBbbPNeLt9c</v>
      </c>
      <c r="T11" s="17">
        <v>0</v>
      </c>
      <c r="U11" s="17">
        <v>0</v>
      </c>
      <c r="V11" s="17">
        <v>0</v>
      </c>
      <c r="W11" s="17">
        <v>0</v>
      </c>
      <c r="X11" s="17">
        <v>0</v>
      </c>
    </row>
    <row r="12" spans="1:31" x14ac:dyDescent="0.3">
      <c r="A12" s="16" t="str">
        <v>Francisco Palazón</v>
      </c>
      <c r="B12" s="16" t="str">
        <v>francisco_palazon</v>
      </c>
      <c r="C12" s="16">
        <v>129</v>
      </c>
      <c r="D12" s="16">
        <v>83</v>
      </c>
      <c r="I12" s="17">
        <v>0</v>
      </c>
      <c r="J12" s="17">
        <v>0</v>
      </c>
      <c r="M12" s="17">
        <v>0</v>
      </c>
      <c r="N12" s="17">
        <v>0</v>
      </c>
      <c r="P12" s="17">
        <v>0</v>
      </c>
      <c r="Q12" s="17">
        <v>0</v>
      </c>
      <c r="R12" s="17" t="str">
        <v>https://www.youtube.com/watch?v=slxWCex0heQ</v>
      </c>
      <c r="S12" s="17">
        <v>0</v>
      </c>
      <c r="T12" s="17">
        <v>0</v>
      </c>
      <c r="U12" s="17">
        <v>0</v>
      </c>
      <c r="V12" s="17">
        <v>0</v>
      </c>
      <c r="W12" s="17">
        <v>0</v>
      </c>
      <c r="X12" s="17">
        <v>0</v>
      </c>
    </row>
    <row r="13" spans="1:31" x14ac:dyDescent="0.3">
      <c r="A13" s="16" t="str">
        <v>Hakuna</v>
      </c>
      <c r="B13" s="16" t="str">
        <v>hakuna</v>
      </c>
      <c r="C13" s="16">
        <v>95</v>
      </c>
      <c r="D13" s="16">
        <v>94</v>
      </c>
      <c r="I13" s="17">
        <v>0</v>
      </c>
      <c r="J13" s="17">
        <v>0</v>
      </c>
      <c r="M13" s="17">
        <v>0</v>
      </c>
      <c r="N13" s="17">
        <v>0</v>
      </c>
      <c r="P13" s="17">
        <v>0</v>
      </c>
      <c r="Q13" s="17">
        <v>0</v>
      </c>
      <c r="R13" s="17">
        <v>0</v>
      </c>
      <c r="S13" s="17">
        <v>0</v>
      </c>
      <c r="T13" s="17">
        <v>0</v>
      </c>
      <c r="U13" s="17">
        <v>0</v>
      </c>
      <c r="V13" s="17">
        <v>0</v>
      </c>
      <c r="W13" s="17">
        <v>0</v>
      </c>
      <c r="X13" s="17">
        <v>0</v>
      </c>
    </row>
    <row r="14" spans="1:31" x14ac:dyDescent="0.3">
      <c r="A14" s="16" t="str">
        <v>Hermana Glenda</v>
      </c>
      <c r="B14" s="16" t="str">
        <v>hermana_glenda</v>
      </c>
      <c r="C14" s="16">
        <v>12</v>
      </c>
      <c r="D14" s="16">
        <v>2</v>
      </c>
      <c r="I14" s="17">
        <v>0</v>
      </c>
      <c r="J14" s="17">
        <v>0</v>
      </c>
      <c r="M14" s="17">
        <v>0</v>
      </c>
      <c r="N14" s="17">
        <v>0</v>
      </c>
      <c r="P14" s="17">
        <v>0</v>
      </c>
      <c r="Q14" s="17">
        <v>0</v>
      </c>
      <c r="R14" s="17" t="str">
        <v>https://www.youtube.com/watch?v=bpvx3uFc48I</v>
      </c>
      <c r="S14" s="17">
        <v>0</v>
      </c>
      <c r="T14" s="17">
        <v>0</v>
      </c>
      <c r="U14" s="17">
        <v>0</v>
      </c>
      <c r="V14" s="17">
        <v>0</v>
      </c>
      <c r="W14" s="17">
        <v>0</v>
      </c>
      <c r="X14" s="17">
        <v>0</v>
      </c>
    </row>
    <row r="15" spans="1:31" x14ac:dyDescent="0.3">
      <c r="A15" s="16" t="str">
        <v>Joaquín Madurga</v>
      </c>
      <c r="B15" s="16" t="str">
        <v>joaquin_madurga</v>
      </c>
      <c r="C15" s="16">
        <v>9</v>
      </c>
      <c r="D15" s="16">
        <v>9</v>
      </c>
      <c r="I15" s="17">
        <v>0</v>
      </c>
      <c r="J15" s="17">
        <v>0</v>
      </c>
      <c r="M15" s="17">
        <v>0</v>
      </c>
      <c r="N15" s="17">
        <v>0</v>
      </c>
      <c r="P15" s="17">
        <v>0</v>
      </c>
      <c r="Q15" s="17">
        <v>0</v>
      </c>
      <c r="R15" s="17">
        <v>0</v>
      </c>
      <c r="S15" s="17">
        <v>0</v>
      </c>
      <c r="T15" s="17">
        <v>0</v>
      </c>
      <c r="U15" s="17">
        <v>0</v>
      </c>
      <c r="V15" s="17">
        <v>0</v>
      </c>
      <c r="W15" s="17">
        <v>0</v>
      </c>
      <c r="X15" s="17">
        <v>0</v>
      </c>
    </row>
    <row r="16" spans="1:31" x14ac:dyDescent="0.3">
      <c r="A16" s="16" t="str">
        <v>Josep Asunción</v>
      </c>
      <c r="B16" s="16" t="str">
        <v>josep_asuncion</v>
      </c>
      <c r="C16" s="16">
        <v>11</v>
      </c>
      <c r="D16" s="16">
        <v>2</v>
      </c>
      <c r="I16" s="17">
        <v>0</v>
      </c>
      <c r="J16" s="17">
        <v>0</v>
      </c>
      <c r="M16" s="17">
        <v>0</v>
      </c>
      <c r="N16" s="17">
        <v>0</v>
      </c>
      <c r="P16" s="17">
        <v>0</v>
      </c>
      <c r="Q16" s="17">
        <v>0</v>
      </c>
      <c r="R16" s="17">
        <v>0</v>
      </c>
      <c r="S16" s="17">
        <v>0</v>
      </c>
      <c r="T16" s="17">
        <v>0</v>
      </c>
      <c r="U16" s="17">
        <v>0</v>
      </c>
      <c r="V16" s="17">
        <v>0</v>
      </c>
      <c r="W16" s="17">
        <v>0</v>
      </c>
      <c r="X16" s="17">
        <v>0</v>
      </c>
    </row>
    <row r="17" spans="1:24" x14ac:dyDescent="0.3">
      <c r="A17" s="16" t="str">
        <v>Juan Antonio Espinosa</v>
      </c>
      <c r="B17" s="16" t="str">
        <v>juan_antonio_espinosa</v>
      </c>
      <c r="C17" s="16">
        <v>31</v>
      </c>
      <c r="D17" s="16">
        <v>31</v>
      </c>
      <c r="I17" s="17">
        <v>0</v>
      </c>
      <c r="J17" s="17">
        <v>0</v>
      </c>
      <c r="M17" s="17">
        <v>0</v>
      </c>
      <c r="N17" s="17">
        <v>0</v>
      </c>
      <c r="P17" s="17">
        <v>0</v>
      </c>
      <c r="Q17" s="17">
        <v>0</v>
      </c>
      <c r="R17" s="17">
        <v>0</v>
      </c>
      <c r="S17" s="17">
        <v>0</v>
      </c>
      <c r="T17" s="17">
        <v>0</v>
      </c>
      <c r="U17" s="17">
        <v>0</v>
      </c>
      <c r="V17" s="17">
        <v>0</v>
      </c>
      <c r="W17" s="17">
        <v>0</v>
      </c>
      <c r="X17" s="17">
        <v>0</v>
      </c>
    </row>
    <row r="18" spans="1:24" x14ac:dyDescent="0.3">
      <c r="A18" s="16" t="str">
        <v>Juanjo Elezkano</v>
      </c>
      <c r="B18" s="16" t="str">
        <v>juanjo_elezkano</v>
      </c>
      <c r="C18" s="16">
        <v>10</v>
      </c>
      <c r="D18" s="16">
        <v>4</v>
      </c>
      <c r="I18" s="17">
        <v>0</v>
      </c>
      <c r="J18" s="17">
        <v>0</v>
      </c>
      <c r="M18" s="17">
        <v>0</v>
      </c>
      <c r="N18" s="17">
        <v>0</v>
      </c>
      <c r="P18" s="17">
        <v>0</v>
      </c>
      <c r="Q18" s="17" t="str">
        <v>https://www.youtube.com/watch?v=pBDC7TRhCYY</v>
      </c>
      <c r="R18" s="17" t="str">
        <v>https://www.youtube.com/watch?v=Jj8X5vv5LNY</v>
      </c>
      <c r="S18" s="17">
        <v>0</v>
      </c>
      <c r="T18" s="17">
        <v>0</v>
      </c>
      <c r="U18" s="17">
        <v>0</v>
      </c>
      <c r="V18" s="17">
        <v>0</v>
      </c>
      <c r="W18" s="17">
        <v>0</v>
      </c>
      <c r="X18" s="17">
        <v>0</v>
      </c>
    </row>
    <row r="19" spans="1:24" x14ac:dyDescent="0.3">
      <c r="A19" s="16" t="str">
        <v>Kairoi</v>
      </c>
      <c r="B19" s="16" t="str">
        <v>kairoi</v>
      </c>
      <c r="C19" s="16">
        <v>270</v>
      </c>
      <c r="D19" s="16">
        <v>144</v>
      </c>
      <c r="I19" s="17">
        <v>0</v>
      </c>
      <c r="J19" s="17">
        <v>0</v>
      </c>
      <c r="M19" s="17">
        <v>0</v>
      </c>
      <c r="N19" s="17">
        <v>0</v>
      </c>
      <c r="P19" s="17">
        <v>0</v>
      </c>
      <c r="Q19" s="17">
        <v>0</v>
      </c>
      <c r="R19" s="17">
        <v>0</v>
      </c>
      <c r="S19" s="17">
        <v>0</v>
      </c>
      <c r="T19" s="17">
        <v>0</v>
      </c>
      <c r="U19" s="17">
        <v>0</v>
      </c>
      <c r="V19" s="17">
        <v>0</v>
      </c>
      <c r="W19" s="17">
        <v>0</v>
      </c>
      <c r="X19" s="17">
        <v>0</v>
      </c>
    </row>
    <row r="20" spans="1:24" x14ac:dyDescent="0.3">
      <c r="A20" s="16" t="str">
        <v>Lázaro Iparraguirre</v>
      </c>
      <c r="B20" s="16" t="str">
        <v>lazaro_iparraguirre</v>
      </c>
      <c r="C20" s="16">
        <v>14</v>
      </c>
      <c r="D20" s="16">
        <v>1</v>
      </c>
      <c r="I20" s="17">
        <v>0</v>
      </c>
      <c r="J20" s="17">
        <v>0</v>
      </c>
      <c r="M20" s="17">
        <v>0</v>
      </c>
      <c r="N20" s="17">
        <v>0</v>
      </c>
      <c r="P20" s="17">
        <v>0</v>
      </c>
      <c r="Q20" s="17">
        <v>0</v>
      </c>
      <c r="R20" s="17">
        <v>0</v>
      </c>
      <c r="S20" s="17" t="str">
        <v>https://www.youtube.com/watch?v=tKSM_vijkgE</v>
      </c>
      <c r="T20" s="17">
        <v>0</v>
      </c>
      <c r="U20" s="17">
        <v>0</v>
      </c>
      <c r="V20" s="17">
        <v>0</v>
      </c>
      <c r="W20" s="17">
        <v>0</v>
      </c>
      <c r="X20" s="17">
        <v>0</v>
      </c>
    </row>
    <row r="21" spans="1:24" x14ac:dyDescent="0.3">
      <c r="A21" s="16" t="str">
        <v>Luis Alfredo Díaz</v>
      </c>
      <c r="B21" s="16" t="str">
        <v>luis_alfredo_diaz</v>
      </c>
      <c r="C21" s="16">
        <v>20</v>
      </c>
      <c r="D21" s="16">
        <v>5</v>
      </c>
      <c r="I21" s="17">
        <v>0</v>
      </c>
      <c r="J21" s="17">
        <v>0</v>
      </c>
      <c r="M21" s="17">
        <v>0</v>
      </c>
      <c r="N21" s="17">
        <v>0</v>
      </c>
      <c r="P21" s="17">
        <v>0</v>
      </c>
      <c r="Q21" s="17">
        <v>0</v>
      </c>
      <c r="R21" s="17">
        <v>0</v>
      </c>
      <c r="S21" s="17" t="str">
        <v>https://www.youtube.com/watch?v=HsegwQSLVi4</v>
      </c>
      <c r="T21" s="17">
        <v>0</v>
      </c>
      <c r="U21" s="17">
        <v>0</v>
      </c>
      <c r="V21" s="17">
        <v>0</v>
      </c>
      <c r="W21" s="17">
        <v>0</v>
      </c>
      <c r="X21" s="17">
        <v>0</v>
      </c>
    </row>
    <row r="22" spans="1:24" x14ac:dyDescent="0.3">
      <c r="A22" s="16" t="str">
        <v>Marcos Witt</v>
      </c>
      <c r="B22" s="16" t="str">
        <v>marcos_witt</v>
      </c>
      <c r="C22" s="16">
        <v>8</v>
      </c>
      <c r="D22" s="16">
        <v>0</v>
      </c>
      <c r="I22" s="17">
        <v>0</v>
      </c>
      <c r="J22" s="17">
        <v>0</v>
      </c>
      <c r="M22" s="17">
        <v>0</v>
      </c>
      <c r="N22" s="17">
        <v>0</v>
      </c>
      <c r="P22" s="17">
        <v>0</v>
      </c>
      <c r="Q22" s="17">
        <v>0</v>
      </c>
      <c r="S22" s="17">
        <v>0</v>
      </c>
      <c r="T22" s="17">
        <v>0</v>
      </c>
      <c r="U22" s="17">
        <v>0</v>
      </c>
      <c r="V22" s="17">
        <v>0</v>
      </c>
      <c r="W22" s="17">
        <v>0</v>
      </c>
    </row>
    <row r="23" spans="1:24" x14ac:dyDescent="0.3">
      <c r="A23" s="16" t="str">
        <v>Marta Gil-Delgado</v>
      </c>
      <c r="B23" s="16" t="str">
        <v>marta_gil-delgado</v>
      </c>
      <c r="C23" s="16">
        <v>10</v>
      </c>
      <c r="D23" s="16">
        <v>0</v>
      </c>
      <c r="I23" s="17">
        <v>0</v>
      </c>
      <c r="J23" s="17">
        <v>0</v>
      </c>
      <c r="M23" s="17">
        <v>0</v>
      </c>
      <c r="N23" s="17">
        <v>0</v>
      </c>
      <c r="P23" s="17">
        <v>0</v>
      </c>
      <c r="Q23" s="17">
        <v>0</v>
      </c>
      <c r="S23" s="17">
        <v>0</v>
      </c>
      <c r="T23" s="17">
        <v>0</v>
      </c>
      <c r="U23" s="17">
        <v>0</v>
      </c>
      <c r="V23" s="17">
        <v>0</v>
      </c>
      <c r="W23" s="17">
        <v>0</v>
      </c>
    </row>
    <row r="24" spans="1:24" x14ac:dyDescent="0.3">
      <c r="A24" s="16" t="str">
        <v>Miguel Manzano</v>
      </c>
      <c r="B24" s="16" t="str">
        <v>miguel_manzano</v>
      </c>
      <c r="C24" s="16">
        <v>19</v>
      </c>
      <c r="D24" s="16">
        <v>15</v>
      </c>
      <c r="I24" s="17">
        <v>0</v>
      </c>
      <c r="J24" s="17">
        <v>0</v>
      </c>
      <c r="M24" s="17">
        <v>0</v>
      </c>
      <c r="N24" s="17">
        <v>0</v>
      </c>
      <c r="P24" s="17">
        <v>0</v>
      </c>
      <c r="Q24" s="17">
        <v>0</v>
      </c>
      <c r="S24" s="17">
        <v>0</v>
      </c>
      <c r="T24" s="17">
        <v>0</v>
      </c>
      <c r="U24" s="17">
        <v>0</v>
      </c>
      <c r="V24" s="17">
        <v>0</v>
      </c>
      <c r="W24" s="17">
        <v>0</v>
      </c>
    </row>
    <row r="25" spans="1:24" x14ac:dyDescent="0.3">
      <c r="A25" s="16" t="str">
        <v>Pelayo Sánchez</v>
      </c>
      <c r="B25" s="16" t="str">
        <v>pelayo_sanchez</v>
      </c>
      <c r="C25" s="16">
        <v>10</v>
      </c>
      <c r="D25" s="16">
        <v>4</v>
      </c>
      <c r="I25" s="17">
        <v>0</v>
      </c>
      <c r="J25" s="17">
        <v>0</v>
      </c>
      <c r="M25" s="17">
        <v>0</v>
      </c>
      <c r="N25" s="17">
        <v>0</v>
      </c>
      <c r="P25" s="17">
        <v>0</v>
      </c>
      <c r="Q25" s="17">
        <v>0</v>
      </c>
      <c r="S25" s="17">
        <v>0</v>
      </c>
      <c r="T25" s="17">
        <v>0</v>
      </c>
      <c r="U25" s="17">
        <v>0</v>
      </c>
      <c r="V25" s="17">
        <v>0</v>
      </c>
      <c r="W25" s="17">
        <v>0</v>
      </c>
    </row>
    <row r="26" spans="1:24" x14ac:dyDescent="0.3">
      <c r="A26" s="16" t="str">
        <v>Perpetuo Socorro</v>
      </c>
      <c r="B26" s="16" t="str">
        <v>perpetuo_socorro</v>
      </c>
      <c r="C26" s="16">
        <v>6</v>
      </c>
      <c r="D26" s="16">
        <v>5</v>
      </c>
      <c r="I26" s="17">
        <v>0</v>
      </c>
      <c r="J26" s="17">
        <v>0</v>
      </c>
      <c r="M26" s="17">
        <v>0</v>
      </c>
      <c r="N26" s="17">
        <v>0</v>
      </c>
      <c r="P26" s="17">
        <v>0</v>
      </c>
      <c r="Q26" s="17">
        <v>0</v>
      </c>
      <c r="T26" s="17">
        <v>0</v>
      </c>
      <c r="U26" s="17">
        <v>0</v>
      </c>
      <c r="V26" s="17">
        <v>0</v>
      </c>
      <c r="W26" s="17">
        <v>0</v>
      </c>
    </row>
    <row r="27" spans="1:24" x14ac:dyDescent="0.3">
      <c r="A27" s="16" t="str">
        <v>Ricardo Cantalapiedra</v>
      </c>
      <c r="B27" s="16" t="str">
        <v>ricardo_cantalapiedra</v>
      </c>
      <c r="C27" s="16">
        <v>12</v>
      </c>
      <c r="D27" s="16">
        <v>10</v>
      </c>
      <c r="I27" s="17">
        <v>0</v>
      </c>
      <c r="J27" s="17">
        <v>0</v>
      </c>
      <c r="M27" s="17">
        <v>0</v>
      </c>
      <c r="N27" s="17">
        <v>0</v>
      </c>
      <c r="P27" s="17">
        <v>0</v>
      </c>
      <c r="Q27" s="17">
        <v>0</v>
      </c>
      <c r="T27" s="17">
        <v>0</v>
      </c>
      <c r="U27" s="17">
        <v>0</v>
      </c>
      <c r="V27" s="17">
        <v>0</v>
      </c>
      <c r="W27" s="17">
        <v>0</v>
      </c>
    </row>
    <row r="28" spans="1:24" x14ac:dyDescent="0.3">
      <c r="A28" s="16" t="str">
        <v>Rosa Cruz</v>
      </c>
      <c r="B28" s="16" t="str">
        <v>rosa_cruz</v>
      </c>
      <c r="C28" s="16">
        <v>12</v>
      </c>
      <c r="D28" s="16">
        <v>0</v>
      </c>
      <c r="I28" s="17">
        <v>0</v>
      </c>
      <c r="M28" s="17">
        <v>0</v>
      </c>
      <c r="N28" s="17">
        <v>0</v>
      </c>
      <c r="P28" s="17">
        <v>0</v>
      </c>
      <c r="Q28" s="17">
        <v>0</v>
      </c>
      <c r="T28" s="17">
        <v>0</v>
      </c>
      <c r="U28" s="17">
        <v>0</v>
      </c>
      <c r="V28" s="17">
        <v>0</v>
      </c>
      <c r="W28" s="17">
        <v>0</v>
      </c>
    </row>
    <row r="29" spans="1:24" x14ac:dyDescent="0.3">
      <c r="A29" s="16" t="str">
        <v>Ruah</v>
      </c>
      <c r="B29" s="16" t="str">
        <v>ruah</v>
      </c>
      <c r="C29" s="16">
        <v>53</v>
      </c>
      <c r="D29" s="16">
        <v>50</v>
      </c>
      <c r="I29" s="17">
        <v>0</v>
      </c>
      <c r="M29" s="17">
        <v>0</v>
      </c>
      <c r="N29" s="17">
        <v>0</v>
      </c>
      <c r="P29" s="17">
        <v>0</v>
      </c>
      <c r="Q29" s="17">
        <v>0</v>
      </c>
      <c r="T29" s="17">
        <v>0</v>
      </c>
      <c r="U29" s="17">
        <v>0</v>
      </c>
      <c r="V29" s="17">
        <v>0</v>
      </c>
      <c r="W29" s="17">
        <v>0</v>
      </c>
    </row>
    <row r="30" spans="1:24" x14ac:dyDescent="0.3">
      <c r="A30" s="16" t="str">
        <v>Taizé en español</v>
      </c>
      <c r="B30" s="16" t="str">
        <v>taize_en_español</v>
      </c>
      <c r="C30" s="16">
        <v>78</v>
      </c>
      <c r="D30" s="16">
        <v>78</v>
      </c>
      <c r="I30" s="17">
        <v>0</v>
      </c>
      <c r="M30" s="17">
        <v>0</v>
      </c>
      <c r="N30" s="17">
        <v>0</v>
      </c>
      <c r="P30" s="17">
        <v>0</v>
      </c>
      <c r="Q30" s="17">
        <v>0</v>
      </c>
      <c r="T30" s="17">
        <v>0</v>
      </c>
      <c r="U30" s="17">
        <v>0</v>
      </c>
      <c r="V30" s="17">
        <v>0</v>
      </c>
    </row>
    <row r="31" spans="1:24" x14ac:dyDescent="0.3">
      <c r="A31" s="16" t="str">
        <v>Taizé original</v>
      </c>
      <c r="B31" s="16" t="str">
        <v>taize_original</v>
      </c>
      <c r="C31" s="16">
        <v>84</v>
      </c>
      <c r="D31" s="16">
        <v>84</v>
      </c>
      <c r="I31" s="17">
        <v>0</v>
      </c>
      <c r="M31" s="17">
        <v>0</v>
      </c>
      <c r="N31" s="17">
        <v>0</v>
      </c>
      <c r="P31" s="17">
        <v>0</v>
      </c>
      <c r="Q31" s="17">
        <v>0</v>
      </c>
      <c r="T31" s="17">
        <v>0</v>
      </c>
      <c r="U31" s="17">
        <v>0</v>
      </c>
      <c r="V31" s="17">
        <v>0</v>
      </c>
    </row>
    <row r="32" spans="1:24" x14ac:dyDescent="0.3">
      <c r="A32" s="16" t="str">
        <v>Toño Casado</v>
      </c>
      <c r="B32" s="16" t="str">
        <v>toño_casado</v>
      </c>
      <c r="C32" s="16">
        <v>44</v>
      </c>
      <c r="D32" s="16">
        <v>44</v>
      </c>
      <c r="I32" s="17">
        <v>0</v>
      </c>
      <c r="M32" s="17">
        <v>0</v>
      </c>
      <c r="N32" s="17">
        <v>0</v>
      </c>
      <c r="P32" s="17">
        <v>0</v>
      </c>
      <c r="Q32" s="17">
        <v>0</v>
      </c>
      <c r="T32" s="17">
        <v>0</v>
      </c>
      <c r="U32" s="17">
        <v>0</v>
      </c>
      <c r="V32" s="17">
        <v>0</v>
      </c>
    </row>
    <row r="33" spans="1:22" x14ac:dyDescent="0.3">
      <c r="A33" s="16" t="str">
        <v>Villancicos</v>
      </c>
      <c r="B33" s="16" t="str">
        <v>villancicos</v>
      </c>
      <c r="C33" s="16">
        <v>19</v>
      </c>
      <c r="D33" s="16">
        <v>19</v>
      </c>
      <c r="I33" s="17">
        <v>0</v>
      </c>
      <c r="M33" s="17">
        <v>0</v>
      </c>
      <c r="N33" s="17">
        <v>0</v>
      </c>
      <c r="P33" s="17">
        <v>0</v>
      </c>
      <c r="Q33" s="17">
        <v>0</v>
      </c>
      <c r="T33" s="17">
        <v>0</v>
      </c>
      <c r="U33" s="17">
        <v>0</v>
      </c>
      <c r="V33" s="17">
        <v>0</v>
      </c>
    </row>
    <row r="34" spans="1:22" x14ac:dyDescent="0.3">
      <c r="I34" s="17">
        <v>0</v>
      </c>
      <c r="M34" s="17">
        <v>0</v>
      </c>
      <c r="N34" s="17">
        <v>0</v>
      </c>
      <c r="P34" s="17">
        <v>0</v>
      </c>
      <c r="Q34" s="17">
        <v>0</v>
      </c>
      <c r="T34" s="17">
        <v>0</v>
      </c>
      <c r="U34" s="17">
        <v>0</v>
      </c>
      <c r="V34" s="17">
        <v>0</v>
      </c>
    </row>
    <row r="35" spans="1:22" x14ac:dyDescent="0.3">
      <c r="I35" s="17">
        <v>0</v>
      </c>
      <c r="M35" s="17">
        <v>0</v>
      </c>
      <c r="N35" s="17">
        <v>0</v>
      </c>
      <c r="P35" s="17">
        <v>0</v>
      </c>
      <c r="Q35" s="17">
        <v>0</v>
      </c>
      <c r="T35" s="17">
        <v>0</v>
      </c>
      <c r="U35" s="17">
        <v>0</v>
      </c>
      <c r="V35" s="17">
        <v>0</v>
      </c>
    </row>
    <row r="36" spans="1:22" x14ac:dyDescent="0.3">
      <c r="I36" s="17">
        <v>0</v>
      </c>
      <c r="M36" s="17">
        <v>0</v>
      </c>
      <c r="N36" s="17">
        <v>0</v>
      </c>
      <c r="P36" s="17">
        <v>0</v>
      </c>
      <c r="Q36" s="17">
        <v>0</v>
      </c>
      <c r="T36" s="17">
        <v>0</v>
      </c>
      <c r="U36" s="17">
        <v>0</v>
      </c>
      <c r="V36" s="17">
        <v>0</v>
      </c>
    </row>
    <row r="37" spans="1:22" x14ac:dyDescent="0.3">
      <c r="I37" s="17">
        <v>0</v>
      </c>
      <c r="M37" s="17">
        <v>0</v>
      </c>
      <c r="N37" s="17">
        <v>0</v>
      </c>
      <c r="P37" s="17">
        <v>0</v>
      </c>
      <c r="Q37" s="17">
        <v>0</v>
      </c>
      <c r="T37" s="17">
        <v>0</v>
      </c>
      <c r="U37" s="17">
        <v>0</v>
      </c>
      <c r="V37" s="17">
        <v>0</v>
      </c>
    </row>
    <row r="38" spans="1:22" x14ac:dyDescent="0.3">
      <c r="I38" s="17">
        <v>0</v>
      </c>
      <c r="M38" s="17">
        <v>0</v>
      </c>
      <c r="N38" s="17">
        <v>0</v>
      </c>
      <c r="P38" s="17">
        <v>0</v>
      </c>
      <c r="Q38" s="17">
        <v>0</v>
      </c>
      <c r="T38" s="17">
        <v>0</v>
      </c>
      <c r="U38" s="17">
        <v>0</v>
      </c>
      <c r="V38" s="17">
        <v>0</v>
      </c>
    </row>
    <row r="39" spans="1:22" x14ac:dyDescent="0.3">
      <c r="I39" s="17">
        <v>0</v>
      </c>
      <c r="M39" s="17">
        <v>0</v>
      </c>
      <c r="N39" s="17">
        <v>0</v>
      </c>
      <c r="P39" s="17">
        <v>0</v>
      </c>
      <c r="Q39" s="17">
        <v>0</v>
      </c>
      <c r="T39" s="17">
        <v>0</v>
      </c>
      <c r="U39" s="17">
        <v>0</v>
      </c>
      <c r="V39" s="17">
        <v>0</v>
      </c>
    </row>
    <row r="40" spans="1:22" x14ac:dyDescent="0.3">
      <c r="I40" s="17">
        <v>0</v>
      </c>
      <c r="M40" s="17">
        <v>0</v>
      </c>
      <c r="N40" s="17">
        <v>0</v>
      </c>
      <c r="P40" s="17">
        <v>0</v>
      </c>
      <c r="Q40" s="17">
        <v>0</v>
      </c>
      <c r="T40" s="17">
        <v>0</v>
      </c>
      <c r="U40" s="17">
        <v>0</v>
      </c>
      <c r="V40" s="17">
        <v>0</v>
      </c>
    </row>
    <row r="41" spans="1:22" x14ac:dyDescent="0.3">
      <c r="I41" s="17">
        <v>0</v>
      </c>
      <c r="M41" s="17" t="str">
        <v>https://www.youtube.com/watch?v=MhwXqKZmy3Y</v>
      </c>
      <c r="N41" s="17">
        <v>0</v>
      </c>
      <c r="P41" s="17">
        <v>0</v>
      </c>
      <c r="Q41" s="17">
        <v>0</v>
      </c>
      <c r="T41" s="17">
        <v>0</v>
      </c>
      <c r="U41" s="17">
        <v>0</v>
      </c>
      <c r="V41" s="17">
        <v>0</v>
      </c>
    </row>
    <row r="42" spans="1:22" x14ac:dyDescent="0.3">
      <c r="I42" s="17">
        <v>0</v>
      </c>
      <c r="M42" s="17">
        <v>0</v>
      </c>
      <c r="N42" s="17">
        <v>0</v>
      </c>
      <c r="P42" s="17">
        <v>0</v>
      </c>
      <c r="Q42" s="17">
        <v>0</v>
      </c>
      <c r="T42" s="17">
        <v>0</v>
      </c>
      <c r="U42" s="17">
        <v>0</v>
      </c>
      <c r="V42" s="17">
        <v>0</v>
      </c>
    </row>
    <row r="43" spans="1:22" x14ac:dyDescent="0.3">
      <c r="I43" s="17">
        <v>0</v>
      </c>
      <c r="M43" s="17">
        <v>0</v>
      </c>
      <c r="N43" s="17">
        <v>0</v>
      </c>
      <c r="P43" s="17">
        <v>0</v>
      </c>
      <c r="Q43" s="17">
        <v>0</v>
      </c>
      <c r="T43" s="17">
        <v>0</v>
      </c>
      <c r="U43" s="17">
        <v>0</v>
      </c>
      <c r="V43" s="17">
        <v>0</v>
      </c>
    </row>
    <row r="44" spans="1:22" x14ac:dyDescent="0.3">
      <c r="I44" s="17">
        <v>0</v>
      </c>
      <c r="M44" s="17">
        <v>0</v>
      </c>
      <c r="N44" s="17">
        <v>0</v>
      </c>
      <c r="P44" s="17">
        <v>0</v>
      </c>
      <c r="Q44" s="17">
        <v>0</v>
      </c>
      <c r="T44" s="17">
        <v>0</v>
      </c>
      <c r="U44" s="17">
        <v>0</v>
      </c>
      <c r="V44" s="17">
        <v>0</v>
      </c>
    </row>
    <row r="45" spans="1:22" x14ac:dyDescent="0.3">
      <c r="I45" s="17">
        <v>0</v>
      </c>
      <c r="M45" s="17">
        <v>0</v>
      </c>
      <c r="N45" s="17">
        <v>0</v>
      </c>
      <c r="P45" s="17">
        <v>0</v>
      </c>
      <c r="Q45" s="17">
        <v>0</v>
      </c>
      <c r="T45" s="17">
        <v>0</v>
      </c>
      <c r="U45" s="17">
        <v>0</v>
      </c>
      <c r="V45" s="17">
        <v>0</v>
      </c>
    </row>
    <row r="46" spans="1:22" x14ac:dyDescent="0.3">
      <c r="I46" s="17">
        <v>0</v>
      </c>
      <c r="M46" s="17">
        <v>0</v>
      </c>
      <c r="N46" s="17">
        <v>0</v>
      </c>
      <c r="P46" s="17">
        <v>0</v>
      </c>
      <c r="Q46" s="17">
        <v>0</v>
      </c>
      <c r="T46" s="17">
        <v>0</v>
      </c>
      <c r="U46" s="17">
        <v>0</v>
      </c>
      <c r="V46" s="17">
        <v>0</v>
      </c>
    </row>
    <row r="47" spans="1:22" x14ac:dyDescent="0.3">
      <c r="I47" s="17">
        <v>0</v>
      </c>
      <c r="M47" s="17">
        <v>0</v>
      </c>
      <c r="N47" s="17">
        <v>0</v>
      </c>
      <c r="P47" s="17">
        <v>0</v>
      </c>
      <c r="Q47" s="17">
        <v>0</v>
      </c>
      <c r="T47" s="17">
        <v>0</v>
      </c>
      <c r="U47" s="17">
        <v>0</v>
      </c>
      <c r="V47" s="17">
        <v>0</v>
      </c>
    </row>
    <row r="48" spans="1:22" x14ac:dyDescent="0.3">
      <c r="I48" s="17">
        <v>0</v>
      </c>
      <c r="M48" s="17">
        <v>0</v>
      </c>
      <c r="N48" s="17">
        <v>0</v>
      </c>
      <c r="P48" s="17">
        <v>0</v>
      </c>
      <c r="Q48" s="17">
        <v>0</v>
      </c>
      <c r="T48" s="17">
        <v>0</v>
      </c>
      <c r="U48" s="17">
        <v>0</v>
      </c>
      <c r="V48" s="17">
        <v>0</v>
      </c>
    </row>
    <row r="49" spans="9:22" x14ac:dyDescent="0.3">
      <c r="I49" s="17">
        <v>0</v>
      </c>
      <c r="M49" s="17">
        <v>0</v>
      </c>
      <c r="N49" s="17">
        <v>0</v>
      </c>
      <c r="P49" s="17">
        <v>0</v>
      </c>
      <c r="Q49" s="17">
        <v>0</v>
      </c>
      <c r="T49" s="17">
        <v>0</v>
      </c>
      <c r="U49" s="17">
        <v>0</v>
      </c>
      <c r="V49" s="17">
        <v>0</v>
      </c>
    </row>
    <row r="50" spans="9:22" x14ac:dyDescent="0.3">
      <c r="I50" s="17">
        <v>0</v>
      </c>
      <c r="M50" s="17">
        <v>0</v>
      </c>
      <c r="N50" s="17">
        <v>0</v>
      </c>
      <c r="P50" s="17">
        <v>0</v>
      </c>
      <c r="Q50" s="17">
        <v>0</v>
      </c>
      <c r="T50" s="17">
        <v>0</v>
      </c>
      <c r="U50" s="17">
        <v>0</v>
      </c>
      <c r="V50" s="17">
        <v>0</v>
      </c>
    </row>
    <row r="51" spans="9:22" x14ac:dyDescent="0.3">
      <c r="I51" s="17">
        <v>0</v>
      </c>
      <c r="M51" s="17">
        <v>0</v>
      </c>
      <c r="N51" s="17">
        <v>0</v>
      </c>
      <c r="P51" s="17">
        <v>0</v>
      </c>
      <c r="Q51" s="17">
        <v>0</v>
      </c>
      <c r="T51" s="17">
        <v>0</v>
      </c>
      <c r="U51" s="17">
        <v>0</v>
      </c>
      <c r="V51" s="17">
        <v>0</v>
      </c>
    </row>
    <row r="52" spans="9:22" x14ac:dyDescent="0.3">
      <c r="I52" s="17">
        <v>0</v>
      </c>
      <c r="M52" s="17">
        <v>0</v>
      </c>
      <c r="N52" s="17">
        <v>0</v>
      </c>
      <c r="P52" s="17">
        <v>0</v>
      </c>
      <c r="Q52" s="17">
        <v>0</v>
      </c>
      <c r="T52" s="17">
        <v>0</v>
      </c>
      <c r="U52" s="17">
        <v>0</v>
      </c>
      <c r="V52" s="17">
        <v>0</v>
      </c>
    </row>
    <row r="53" spans="9:22" x14ac:dyDescent="0.3">
      <c r="I53" s="17">
        <v>0</v>
      </c>
      <c r="M53" s="17">
        <v>0</v>
      </c>
      <c r="N53" s="17">
        <v>0</v>
      </c>
      <c r="P53" s="17">
        <v>0</v>
      </c>
      <c r="Q53" s="17">
        <v>0</v>
      </c>
      <c r="U53" s="17">
        <v>0</v>
      </c>
      <c r="V53" s="17">
        <v>0</v>
      </c>
    </row>
    <row r="54" spans="9:22" x14ac:dyDescent="0.3">
      <c r="I54" s="17">
        <v>0</v>
      </c>
      <c r="M54" s="17">
        <v>0</v>
      </c>
      <c r="N54" s="17">
        <v>0</v>
      </c>
      <c r="P54" s="17">
        <v>0</v>
      </c>
      <c r="Q54" s="17">
        <v>0</v>
      </c>
      <c r="U54" s="17">
        <v>0</v>
      </c>
      <c r="V54" s="17">
        <v>0</v>
      </c>
    </row>
    <row r="55" spans="9:22" x14ac:dyDescent="0.3">
      <c r="I55" s="17">
        <v>0</v>
      </c>
      <c r="M55" s="17">
        <v>0</v>
      </c>
      <c r="N55" s="17">
        <v>0</v>
      </c>
      <c r="P55" s="17">
        <v>0</v>
      </c>
      <c r="Q55" s="17">
        <v>0</v>
      </c>
      <c r="U55" s="17">
        <v>0</v>
      </c>
      <c r="V55" s="17">
        <v>0</v>
      </c>
    </row>
    <row r="56" spans="9:22" x14ac:dyDescent="0.3">
      <c r="I56" s="17">
        <v>0</v>
      </c>
      <c r="M56" s="17">
        <v>0</v>
      </c>
      <c r="N56" s="17">
        <v>0</v>
      </c>
      <c r="P56" s="17">
        <v>0</v>
      </c>
      <c r="Q56" s="17">
        <v>0</v>
      </c>
      <c r="U56" s="17">
        <v>0</v>
      </c>
      <c r="V56" s="17">
        <v>0</v>
      </c>
    </row>
    <row r="57" spans="9:22" x14ac:dyDescent="0.3">
      <c r="I57" s="17">
        <v>0</v>
      </c>
      <c r="M57" s="17">
        <v>0</v>
      </c>
      <c r="N57" s="17">
        <v>0</v>
      </c>
      <c r="P57" s="17">
        <v>0</v>
      </c>
      <c r="Q57" s="17">
        <v>0</v>
      </c>
      <c r="U57" s="17">
        <v>0</v>
      </c>
      <c r="V57" s="17">
        <v>0</v>
      </c>
    </row>
    <row r="58" spans="9:22" x14ac:dyDescent="0.3">
      <c r="I58" s="17">
        <v>0</v>
      </c>
      <c r="N58" s="17">
        <v>0</v>
      </c>
      <c r="P58" s="17">
        <v>0</v>
      </c>
      <c r="Q58" s="17">
        <v>0</v>
      </c>
      <c r="U58" s="17">
        <v>0</v>
      </c>
      <c r="V58" s="17">
        <v>0</v>
      </c>
    </row>
    <row r="59" spans="9:22" x14ac:dyDescent="0.3">
      <c r="I59" s="17">
        <v>0</v>
      </c>
      <c r="N59" s="17">
        <v>0</v>
      </c>
      <c r="P59" s="17">
        <v>0</v>
      </c>
      <c r="Q59" s="17">
        <v>0</v>
      </c>
      <c r="U59" s="17">
        <v>0</v>
      </c>
      <c r="V59" s="17">
        <v>0</v>
      </c>
    </row>
    <row r="60" spans="9:22" x14ac:dyDescent="0.3">
      <c r="I60" s="17">
        <v>0</v>
      </c>
      <c r="N60" s="17">
        <v>0</v>
      </c>
      <c r="P60" s="17">
        <v>0</v>
      </c>
      <c r="Q60" s="17">
        <v>0</v>
      </c>
      <c r="U60" s="17">
        <v>0</v>
      </c>
      <c r="V60" s="17">
        <v>0</v>
      </c>
    </row>
    <row r="61" spans="9:22" x14ac:dyDescent="0.3">
      <c r="I61" s="17">
        <v>0</v>
      </c>
      <c r="N61" s="17">
        <v>0</v>
      </c>
      <c r="P61" s="17">
        <v>0</v>
      </c>
      <c r="Q61" s="17">
        <v>0</v>
      </c>
      <c r="U61" s="17">
        <v>0</v>
      </c>
      <c r="V61" s="17">
        <v>0</v>
      </c>
    </row>
    <row r="62" spans="9:22" x14ac:dyDescent="0.3">
      <c r="I62" s="17">
        <v>0</v>
      </c>
      <c r="N62" s="17">
        <v>0</v>
      </c>
      <c r="P62" s="17">
        <v>0</v>
      </c>
      <c r="Q62" s="17">
        <v>0</v>
      </c>
      <c r="U62" s="17">
        <v>0</v>
      </c>
      <c r="V62" s="17">
        <v>0</v>
      </c>
    </row>
    <row r="63" spans="9:22" x14ac:dyDescent="0.3">
      <c r="I63" s="17">
        <v>0</v>
      </c>
      <c r="N63" s="17">
        <v>0</v>
      </c>
      <c r="P63" s="17">
        <v>0</v>
      </c>
      <c r="Q63" s="17">
        <v>0</v>
      </c>
      <c r="U63" s="17">
        <v>0</v>
      </c>
      <c r="V63" s="17">
        <v>0</v>
      </c>
    </row>
    <row r="64" spans="9:22" x14ac:dyDescent="0.3">
      <c r="I64" s="17">
        <v>0</v>
      </c>
      <c r="N64" s="17">
        <v>0</v>
      </c>
      <c r="P64" s="17">
        <v>0</v>
      </c>
      <c r="Q64" s="17">
        <v>0</v>
      </c>
      <c r="U64" s="17">
        <v>0</v>
      </c>
      <c r="V64" s="17">
        <v>0</v>
      </c>
    </row>
    <row r="65" spans="9:22" x14ac:dyDescent="0.3">
      <c r="I65" s="17">
        <v>0</v>
      </c>
      <c r="N65" s="17">
        <v>0</v>
      </c>
      <c r="P65" s="17">
        <v>0</v>
      </c>
      <c r="Q65" s="17">
        <v>0</v>
      </c>
      <c r="U65" s="17">
        <v>0</v>
      </c>
      <c r="V65" s="17">
        <v>0</v>
      </c>
    </row>
    <row r="66" spans="9:22" x14ac:dyDescent="0.3">
      <c r="I66" s="17">
        <v>0</v>
      </c>
      <c r="N66" s="17">
        <v>0</v>
      </c>
      <c r="P66" s="17">
        <v>0</v>
      </c>
      <c r="Q66" s="17">
        <v>0</v>
      </c>
      <c r="U66" s="17">
        <v>0</v>
      </c>
      <c r="V66" s="17">
        <v>0</v>
      </c>
    </row>
    <row r="67" spans="9:22" x14ac:dyDescent="0.3">
      <c r="I67" s="17">
        <v>0</v>
      </c>
      <c r="N67" s="17">
        <v>0</v>
      </c>
      <c r="P67" s="17">
        <v>0</v>
      </c>
      <c r="Q67" s="17">
        <v>0</v>
      </c>
      <c r="U67" s="17">
        <v>0</v>
      </c>
      <c r="V67" s="17">
        <v>0</v>
      </c>
    </row>
    <row r="68" spans="9:22" x14ac:dyDescent="0.3">
      <c r="I68" s="17">
        <v>0</v>
      </c>
      <c r="N68" s="17">
        <v>0</v>
      </c>
      <c r="P68" s="17">
        <v>0</v>
      </c>
      <c r="Q68" s="17">
        <v>0</v>
      </c>
      <c r="U68" s="17">
        <v>0</v>
      </c>
      <c r="V68" s="17">
        <v>0</v>
      </c>
    </row>
    <row r="69" spans="9:22" x14ac:dyDescent="0.3">
      <c r="I69" s="17">
        <v>0</v>
      </c>
      <c r="N69" s="17">
        <v>0</v>
      </c>
      <c r="P69" s="17">
        <v>0</v>
      </c>
      <c r="Q69" s="17">
        <v>0</v>
      </c>
      <c r="U69" s="17">
        <v>0</v>
      </c>
      <c r="V69" s="17">
        <v>0</v>
      </c>
    </row>
    <row r="70" spans="9:22" x14ac:dyDescent="0.3">
      <c r="I70" s="17">
        <v>0</v>
      </c>
      <c r="N70" s="17">
        <v>0</v>
      </c>
      <c r="P70" s="17">
        <v>0</v>
      </c>
      <c r="Q70" s="17">
        <v>0</v>
      </c>
      <c r="U70" s="17">
        <v>0</v>
      </c>
      <c r="V70" s="17">
        <v>0</v>
      </c>
    </row>
    <row r="71" spans="9:22" x14ac:dyDescent="0.3">
      <c r="I71" s="17">
        <v>0</v>
      </c>
      <c r="N71" s="17">
        <v>0</v>
      </c>
      <c r="P71" s="17">
        <v>0</v>
      </c>
      <c r="Q71" s="17" t="str">
        <v>https://www.youtube.com/watch?v=QOoULjmeZ_0</v>
      </c>
      <c r="U71" s="17">
        <v>0</v>
      </c>
      <c r="V71" s="17">
        <v>0</v>
      </c>
    </row>
    <row r="72" spans="9:22" x14ac:dyDescent="0.3">
      <c r="I72" s="17">
        <v>0</v>
      </c>
      <c r="N72" s="17">
        <v>0</v>
      </c>
      <c r="P72" s="17">
        <v>0</v>
      </c>
      <c r="Q72" s="17">
        <v>0</v>
      </c>
      <c r="U72" s="17">
        <v>0</v>
      </c>
      <c r="V72" s="17">
        <v>0</v>
      </c>
    </row>
    <row r="73" spans="9:22" x14ac:dyDescent="0.3">
      <c r="I73" s="17">
        <v>0</v>
      </c>
      <c r="N73" s="17">
        <v>0</v>
      </c>
      <c r="P73" s="17">
        <v>0</v>
      </c>
      <c r="Q73" s="17">
        <v>0</v>
      </c>
      <c r="U73" s="17">
        <v>0</v>
      </c>
      <c r="V73" s="17">
        <v>0</v>
      </c>
    </row>
    <row r="74" spans="9:22" x14ac:dyDescent="0.3">
      <c r="I74" s="17">
        <v>0</v>
      </c>
      <c r="N74" s="17">
        <v>0</v>
      </c>
      <c r="P74" s="17">
        <v>0</v>
      </c>
      <c r="Q74" s="17" t="str">
        <v>https://www.youtube.com/watch?v=_Ro7UwTGu-s</v>
      </c>
      <c r="U74" s="17">
        <v>0</v>
      </c>
      <c r="V74" s="17">
        <v>0</v>
      </c>
    </row>
    <row r="75" spans="9:22" x14ac:dyDescent="0.3">
      <c r="I75" s="17">
        <v>0</v>
      </c>
      <c r="N75" s="17">
        <v>0</v>
      </c>
      <c r="P75" s="17">
        <v>0</v>
      </c>
      <c r="Q75" s="17">
        <v>0</v>
      </c>
      <c r="U75" s="17">
        <v>0</v>
      </c>
      <c r="V75" s="17">
        <v>0</v>
      </c>
    </row>
    <row r="76" spans="9:22" x14ac:dyDescent="0.3">
      <c r="I76" s="17">
        <v>0</v>
      </c>
      <c r="N76" s="17">
        <v>0</v>
      </c>
      <c r="P76" s="17">
        <v>0</v>
      </c>
      <c r="Q76" s="17">
        <v>0</v>
      </c>
      <c r="U76" s="17">
        <v>0</v>
      </c>
      <c r="V76" s="17">
        <v>0</v>
      </c>
    </row>
    <row r="77" spans="9:22" x14ac:dyDescent="0.3">
      <c r="I77" s="17">
        <v>0</v>
      </c>
      <c r="N77" s="17">
        <v>0</v>
      </c>
      <c r="P77" s="17">
        <v>0</v>
      </c>
      <c r="Q77" s="17">
        <v>0</v>
      </c>
      <c r="U77" s="17">
        <v>0</v>
      </c>
      <c r="V77" s="17">
        <v>0</v>
      </c>
    </row>
    <row r="78" spans="9:22" x14ac:dyDescent="0.3">
      <c r="I78" s="17">
        <v>0</v>
      </c>
      <c r="N78" s="17">
        <v>0</v>
      </c>
      <c r="P78" s="17">
        <v>0</v>
      </c>
      <c r="Q78" s="17">
        <v>0</v>
      </c>
      <c r="U78" s="17">
        <v>0</v>
      </c>
      <c r="V78" s="17">
        <v>0</v>
      </c>
    </row>
    <row r="79" spans="9:22" x14ac:dyDescent="0.3">
      <c r="I79" s="17">
        <v>0</v>
      </c>
      <c r="N79" s="17">
        <v>0</v>
      </c>
      <c r="P79" s="17">
        <v>0</v>
      </c>
      <c r="Q79" s="17">
        <v>0</v>
      </c>
      <c r="U79" s="17">
        <v>0</v>
      </c>
      <c r="V79" s="17">
        <v>0</v>
      </c>
    </row>
    <row r="80" spans="9:22" x14ac:dyDescent="0.3">
      <c r="I80" s="17">
        <v>0</v>
      </c>
      <c r="N80" s="17">
        <v>0</v>
      </c>
      <c r="P80" s="17">
        <v>0</v>
      </c>
      <c r="Q80" s="17">
        <v>0</v>
      </c>
      <c r="U80" s="17">
        <v>0</v>
      </c>
      <c r="V80" s="17">
        <v>0</v>
      </c>
    </row>
    <row r="81" spans="9:22" x14ac:dyDescent="0.3">
      <c r="I81" s="17">
        <v>0</v>
      </c>
      <c r="N81" s="17">
        <v>0</v>
      </c>
      <c r="P81" s="17">
        <v>0</v>
      </c>
      <c r="Q81" s="17">
        <v>0</v>
      </c>
      <c r="V81" s="17">
        <v>0</v>
      </c>
    </row>
    <row r="82" spans="9:22" x14ac:dyDescent="0.3">
      <c r="I82" s="17">
        <v>0</v>
      </c>
      <c r="N82" s="17">
        <v>0</v>
      </c>
      <c r="P82" s="17">
        <v>0</v>
      </c>
      <c r="Q82" s="17">
        <v>0</v>
      </c>
      <c r="V82" s="17">
        <v>0</v>
      </c>
    </row>
    <row r="83" spans="9:22" x14ac:dyDescent="0.3">
      <c r="I83" s="17">
        <v>0</v>
      </c>
      <c r="N83" s="17">
        <v>0</v>
      </c>
      <c r="P83" s="17">
        <v>0</v>
      </c>
      <c r="Q83" s="17">
        <v>0</v>
      </c>
      <c r="V83" s="17">
        <v>0</v>
      </c>
    </row>
    <row r="84" spans="9:22" x14ac:dyDescent="0.3">
      <c r="I84" s="17">
        <v>0</v>
      </c>
      <c r="N84" s="17">
        <v>0</v>
      </c>
      <c r="P84" s="17">
        <v>0</v>
      </c>
      <c r="Q84" s="17">
        <v>0</v>
      </c>
      <c r="V84" s="17">
        <v>0</v>
      </c>
    </row>
    <row r="85" spans="9:22" x14ac:dyDescent="0.3">
      <c r="I85" s="17">
        <v>0</v>
      </c>
      <c r="N85" s="17">
        <v>0</v>
      </c>
      <c r="P85" s="17">
        <v>0</v>
      </c>
      <c r="Q85" s="17">
        <v>0</v>
      </c>
      <c r="V85" s="17">
        <v>0</v>
      </c>
    </row>
    <row r="86" spans="9:22" x14ac:dyDescent="0.3">
      <c r="I86" s="17">
        <v>0</v>
      </c>
      <c r="N86" s="17">
        <v>0</v>
      </c>
      <c r="P86" s="17">
        <v>0</v>
      </c>
      <c r="Q86" s="17">
        <v>0</v>
      </c>
      <c r="V86" s="17">
        <v>0</v>
      </c>
    </row>
    <row r="87" spans="9:22" x14ac:dyDescent="0.3">
      <c r="I87" s="17">
        <v>0</v>
      </c>
      <c r="N87" s="17">
        <v>0</v>
      </c>
      <c r="P87" s="17">
        <v>0</v>
      </c>
      <c r="Q87" s="17">
        <v>0</v>
      </c>
    </row>
    <row r="88" spans="9:22" x14ac:dyDescent="0.3">
      <c r="I88" s="17">
        <v>0</v>
      </c>
      <c r="N88" s="17">
        <v>0</v>
      </c>
      <c r="P88" s="17">
        <v>0</v>
      </c>
      <c r="Q88" s="17">
        <v>0</v>
      </c>
    </row>
    <row r="89" spans="9:22" x14ac:dyDescent="0.3">
      <c r="I89" s="17">
        <v>0</v>
      </c>
      <c r="N89" s="17">
        <v>0</v>
      </c>
      <c r="P89" s="17">
        <v>0</v>
      </c>
      <c r="Q89" s="17" t="str">
        <v>https://www.youtube.com/watch?v=nJ18Li5H2Gw</v>
      </c>
    </row>
    <row r="90" spans="9:22" x14ac:dyDescent="0.3">
      <c r="I90" s="17">
        <v>0</v>
      </c>
      <c r="N90" s="17">
        <v>0</v>
      </c>
      <c r="P90" s="17">
        <v>0</v>
      </c>
      <c r="Q90" s="17">
        <v>0</v>
      </c>
    </row>
    <row r="91" spans="9:22" x14ac:dyDescent="0.3">
      <c r="I91" s="17">
        <v>0</v>
      </c>
      <c r="N91" s="17">
        <v>0</v>
      </c>
      <c r="P91" s="17">
        <v>0</v>
      </c>
      <c r="Q91" s="17">
        <v>0</v>
      </c>
    </row>
    <row r="92" spans="9:22" x14ac:dyDescent="0.3">
      <c r="I92" s="17">
        <v>0</v>
      </c>
      <c r="N92" s="17">
        <v>0</v>
      </c>
      <c r="P92" s="17">
        <v>0</v>
      </c>
      <c r="Q92" s="17">
        <v>0</v>
      </c>
    </row>
    <row r="93" spans="9:22" x14ac:dyDescent="0.3">
      <c r="I93" s="17">
        <v>0</v>
      </c>
      <c r="N93" s="17">
        <v>0</v>
      </c>
      <c r="P93" s="17">
        <v>0</v>
      </c>
      <c r="Q93" s="17">
        <v>0</v>
      </c>
    </row>
    <row r="94" spans="9:22" x14ac:dyDescent="0.3">
      <c r="I94" s="17">
        <v>0</v>
      </c>
      <c r="P94" s="17">
        <v>0</v>
      </c>
      <c r="Q94" s="17">
        <v>0</v>
      </c>
    </row>
    <row r="95" spans="9:22" x14ac:dyDescent="0.3">
      <c r="I95" s="17">
        <v>0</v>
      </c>
      <c r="P95" s="17">
        <v>0</v>
      </c>
      <c r="Q95" s="17">
        <v>0</v>
      </c>
    </row>
    <row r="96" spans="9:22" x14ac:dyDescent="0.3">
      <c r="I96" s="17">
        <v>0</v>
      </c>
      <c r="P96" s="17">
        <v>0</v>
      </c>
      <c r="Q96" s="17">
        <v>0</v>
      </c>
    </row>
    <row r="97" spans="9:17" x14ac:dyDescent="0.3">
      <c r="I97" s="17">
        <v>0</v>
      </c>
      <c r="P97" s="17">
        <v>0</v>
      </c>
      <c r="Q97" s="17">
        <v>0</v>
      </c>
    </row>
    <row r="98" spans="9:17" x14ac:dyDescent="0.3">
      <c r="I98" s="17">
        <v>0</v>
      </c>
      <c r="P98" s="17">
        <v>0</v>
      </c>
      <c r="Q98" s="17">
        <v>0</v>
      </c>
    </row>
    <row r="99" spans="9:17" x14ac:dyDescent="0.3">
      <c r="I99" s="17">
        <v>0</v>
      </c>
      <c r="P99" s="17">
        <v>0</v>
      </c>
      <c r="Q99" s="17">
        <v>0</v>
      </c>
    </row>
    <row r="100" spans="9:17" x14ac:dyDescent="0.3">
      <c r="I100" s="17">
        <v>0</v>
      </c>
      <c r="P100" s="17">
        <v>0</v>
      </c>
      <c r="Q100" s="17">
        <v>0</v>
      </c>
    </row>
    <row r="101" spans="9:17" x14ac:dyDescent="0.3">
      <c r="I101" s="17">
        <v>0</v>
      </c>
      <c r="P101" s="17">
        <v>0</v>
      </c>
      <c r="Q101" s="17">
        <v>0</v>
      </c>
    </row>
    <row r="102" spans="9:17" x14ac:dyDescent="0.3">
      <c r="I102" s="17">
        <v>0</v>
      </c>
      <c r="P102" s="17">
        <v>0</v>
      </c>
      <c r="Q102" s="17">
        <v>0</v>
      </c>
    </row>
    <row r="103" spans="9:17" x14ac:dyDescent="0.3">
      <c r="I103" s="17">
        <v>0</v>
      </c>
      <c r="P103" s="17">
        <v>0</v>
      </c>
      <c r="Q103" s="17">
        <v>0</v>
      </c>
    </row>
    <row r="104" spans="9:17" x14ac:dyDescent="0.3">
      <c r="I104" s="17">
        <v>0</v>
      </c>
      <c r="P104" s="17">
        <v>0</v>
      </c>
      <c r="Q104" s="17">
        <v>0</v>
      </c>
    </row>
    <row r="105" spans="9:17" x14ac:dyDescent="0.3">
      <c r="I105" s="17">
        <v>0</v>
      </c>
      <c r="P105" s="17">
        <v>0</v>
      </c>
      <c r="Q105" s="17">
        <v>0</v>
      </c>
    </row>
    <row r="106" spans="9:17" x14ac:dyDescent="0.3">
      <c r="I106" s="17">
        <v>0</v>
      </c>
      <c r="P106" s="17">
        <v>0</v>
      </c>
      <c r="Q106" s="17">
        <v>0</v>
      </c>
    </row>
    <row r="107" spans="9:17" x14ac:dyDescent="0.3">
      <c r="I107" s="17">
        <v>0</v>
      </c>
      <c r="P107" s="17">
        <v>0</v>
      </c>
      <c r="Q107" s="17">
        <v>0</v>
      </c>
    </row>
    <row r="108" spans="9:17" x14ac:dyDescent="0.3">
      <c r="I108" s="17">
        <v>0</v>
      </c>
      <c r="P108" s="17">
        <v>0</v>
      </c>
      <c r="Q108" s="17">
        <v>0</v>
      </c>
    </row>
    <row r="109" spans="9:17" x14ac:dyDescent="0.3">
      <c r="I109" s="17">
        <v>0</v>
      </c>
      <c r="P109" s="17">
        <v>0</v>
      </c>
      <c r="Q109" s="17">
        <v>0</v>
      </c>
    </row>
    <row r="110" spans="9:17" x14ac:dyDescent="0.3">
      <c r="I110" s="17">
        <v>0</v>
      </c>
      <c r="P110" s="17">
        <v>0</v>
      </c>
      <c r="Q110" s="17">
        <v>0</v>
      </c>
    </row>
    <row r="111" spans="9:17" x14ac:dyDescent="0.3">
      <c r="I111" s="17">
        <v>0</v>
      </c>
      <c r="P111" s="17">
        <v>0</v>
      </c>
      <c r="Q111" s="17">
        <v>0</v>
      </c>
    </row>
    <row r="112" spans="9:17" x14ac:dyDescent="0.3">
      <c r="I112" s="17">
        <v>0</v>
      </c>
      <c r="P112" s="17">
        <v>0</v>
      </c>
      <c r="Q112" s="17">
        <v>0</v>
      </c>
    </row>
    <row r="113" spans="9:17" x14ac:dyDescent="0.3">
      <c r="I113" s="17">
        <v>0</v>
      </c>
      <c r="P113" s="17">
        <v>0</v>
      </c>
      <c r="Q113" s="17" t="str">
        <v>https://www.youtube.com/watch?v=xIjwlEoqkTc</v>
      </c>
    </row>
    <row r="114" spans="9:17" x14ac:dyDescent="0.3">
      <c r="I114" s="17">
        <v>0</v>
      </c>
      <c r="P114" s="17">
        <v>0</v>
      </c>
      <c r="Q114" s="17">
        <v>0</v>
      </c>
    </row>
    <row r="115" spans="9:17" x14ac:dyDescent="0.3">
      <c r="I115" s="17">
        <v>0</v>
      </c>
      <c r="P115" s="17">
        <v>0</v>
      </c>
      <c r="Q115" s="17">
        <v>0</v>
      </c>
    </row>
    <row r="116" spans="9:17" x14ac:dyDescent="0.3">
      <c r="Q116" s="17" t="str">
        <v>https://www.youtube.com/watch?v=Ay0Bpr5S6ck</v>
      </c>
    </row>
    <row r="117" spans="9:17" x14ac:dyDescent="0.3">
      <c r="Q117" s="17">
        <v>0</v>
      </c>
    </row>
    <row r="118" spans="9:17" x14ac:dyDescent="0.3">
      <c r="Q118" s="17">
        <v>0</v>
      </c>
    </row>
    <row r="119" spans="9:17" x14ac:dyDescent="0.3">
      <c r="Q119" s="17">
        <v>0</v>
      </c>
    </row>
    <row r="120" spans="9:17" x14ac:dyDescent="0.3">
      <c r="Q120" s="17" t="str">
        <v>https://www.youtube.com/watch?v=1ZIDUpjkYkg</v>
      </c>
    </row>
    <row r="121" spans="9:17" x14ac:dyDescent="0.3">
      <c r="Q121" s="17" t="str">
        <v>https://www.youtube.com/watch?v=amcNuPkMSdY</v>
      </c>
    </row>
    <row r="122" spans="9:17" x14ac:dyDescent="0.3">
      <c r="Q122" s="17">
        <v>0</v>
      </c>
    </row>
    <row r="123" spans="9:17" x14ac:dyDescent="0.3">
      <c r="Q123" s="17" t="str">
        <v>https://www.youtube.com/watch?v=TkI6CtxnIIQ</v>
      </c>
    </row>
    <row r="124" spans="9:17" x14ac:dyDescent="0.3">
      <c r="Q124" s="17">
        <v>0</v>
      </c>
    </row>
    <row r="125" spans="9:17" x14ac:dyDescent="0.3">
      <c r="Q125" s="17">
        <v>0</v>
      </c>
    </row>
    <row r="126" spans="9:17" x14ac:dyDescent="0.3">
      <c r="Q126" s="17">
        <v>0</v>
      </c>
    </row>
    <row r="127" spans="9:17" x14ac:dyDescent="0.3">
      <c r="Q127" s="17">
        <v>0</v>
      </c>
    </row>
    <row r="128" spans="9:17" x14ac:dyDescent="0.3">
      <c r="Q128" s="17">
        <v>0</v>
      </c>
    </row>
    <row r="129" spans="17:17" x14ac:dyDescent="0.3">
      <c r="Q129" s="17">
        <v>0</v>
      </c>
    </row>
    <row r="130" spans="17:17" x14ac:dyDescent="0.3">
      <c r="Q130" s="17">
        <v>0</v>
      </c>
    </row>
    <row r="131" spans="17:17" x14ac:dyDescent="0.3">
      <c r="Q131" s="17">
        <v>0</v>
      </c>
    </row>
    <row r="132" spans="17:17" x14ac:dyDescent="0.3">
      <c r="Q132" s="17">
        <v>0</v>
      </c>
    </row>
    <row r="133" spans="17:17" x14ac:dyDescent="0.3">
      <c r="Q133" s="17">
        <v>0</v>
      </c>
    </row>
    <row r="134" spans="17:17" x14ac:dyDescent="0.3">
      <c r="Q134" s="17">
        <v>0</v>
      </c>
    </row>
    <row r="135" spans="17:17" x14ac:dyDescent="0.3">
      <c r="Q135" s="17">
        <v>0</v>
      </c>
    </row>
    <row r="136" spans="17:17" x14ac:dyDescent="0.3">
      <c r="Q136" s="17">
        <v>0</v>
      </c>
    </row>
    <row r="137" spans="17:17" x14ac:dyDescent="0.3">
      <c r="Q137" s="17">
        <v>0</v>
      </c>
    </row>
    <row r="138" spans="17:17" x14ac:dyDescent="0.3">
      <c r="Q138" s="17">
        <v>0</v>
      </c>
    </row>
    <row r="139" spans="17:17" x14ac:dyDescent="0.3">
      <c r="Q139" s="17">
        <v>0</v>
      </c>
    </row>
    <row r="140" spans="17:17" x14ac:dyDescent="0.3">
      <c r="Q140" s="17">
        <v>0</v>
      </c>
    </row>
    <row r="141" spans="17:17" x14ac:dyDescent="0.3">
      <c r="Q141" s="17">
        <v>0</v>
      </c>
    </row>
    <row r="142" spans="17:17" x14ac:dyDescent="0.3">
      <c r="Q142" s="17">
        <v>0</v>
      </c>
    </row>
    <row r="143" spans="17:17" x14ac:dyDescent="0.3">
      <c r="Q143" s="17">
        <v>0</v>
      </c>
    </row>
    <row r="144" spans="17:17" x14ac:dyDescent="0.3">
      <c r="Q144" s="17">
        <v>0</v>
      </c>
    </row>
    <row r="145" spans="17:17" x14ac:dyDescent="0.3">
      <c r="Q145" s="17">
        <v>0</v>
      </c>
    </row>
    <row r="146" spans="17:17" x14ac:dyDescent="0.3">
      <c r="Q146" s="17">
        <v>0</v>
      </c>
    </row>
    <row r="147" spans="17:17" x14ac:dyDescent="0.3">
      <c r="Q147" s="17">
        <v>0</v>
      </c>
    </row>
    <row r="148" spans="17:17" x14ac:dyDescent="0.3">
      <c r="Q148" s="17">
        <v>0</v>
      </c>
    </row>
    <row r="149" spans="17:17" x14ac:dyDescent="0.3">
      <c r="Q149" s="17">
        <v>0</v>
      </c>
    </row>
    <row r="150" spans="17:17" x14ac:dyDescent="0.3">
      <c r="Q150" s="17">
        <v>0</v>
      </c>
    </row>
    <row r="151" spans="17:17" x14ac:dyDescent="0.3">
      <c r="Q151" s="17">
        <v>0</v>
      </c>
    </row>
    <row r="152" spans="17:17" x14ac:dyDescent="0.3">
      <c r="Q152" s="17">
        <v>0</v>
      </c>
    </row>
    <row r="153" spans="17:17" x14ac:dyDescent="0.3">
      <c r="Q153" s="17">
        <v>0</v>
      </c>
    </row>
    <row r="154" spans="17:17" x14ac:dyDescent="0.3">
      <c r="Q154" s="17">
        <v>0</v>
      </c>
    </row>
    <row r="155" spans="17:17" x14ac:dyDescent="0.3">
      <c r="Q155" s="17">
        <v>0</v>
      </c>
    </row>
    <row r="156" spans="17:17" x14ac:dyDescent="0.3">
      <c r="Q156" s="17">
        <v>0</v>
      </c>
    </row>
    <row r="157" spans="17:17" x14ac:dyDescent="0.3">
      <c r="Q157" s="17">
        <v>0</v>
      </c>
    </row>
    <row r="158" spans="17:17" x14ac:dyDescent="0.3">
      <c r="Q158" s="17">
        <v>0</v>
      </c>
    </row>
    <row r="159" spans="17:17" x14ac:dyDescent="0.3">
      <c r="Q159" s="17">
        <v>0</v>
      </c>
    </row>
    <row r="160" spans="17:17" x14ac:dyDescent="0.3">
      <c r="Q160" s="17">
        <v>0</v>
      </c>
    </row>
    <row r="161" spans="17:17" x14ac:dyDescent="0.3">
      <c r="Q161" s="17">
        <v>0</v>
      </c>
    </row>
    <row r="162" spans="17:17" x14ac:dyDescent="0.3">
      <c r="Q162" s="17">
        <v>0</v>
      </c>
    </row>
    <row r="163" spans="17:17" x14ac:dyDescent="0.3">
      <c r="Q163" s="17">
        <v>0</v>
      </c>
    </row>
    <row r="164" spans="17:17" x14ac:dyDescent="0.3">
      <c r="Q164" s="17" t="str">
        <v>https://www.youtube.com/watch?v=whLQp8Pq58g</v>
      </c>
    </row>
    <row r="165" spans="17:17" x14ac:dyDescent="0.3">
      <c r="Q165" s="17">
        <v>0</v>
      </c>
    </row>
    <row r="166" spans="17:17" x14ac:dyDescent="0.3">
      <c r="Q166" s="17">
        <v>0</v>
      </c>
    </row>
    <row r="167" spans="17:17" x14ac:dyDescent="0.3">
      <c r="Q167" s="17">
        <v>0</v>
      </c>
    </row>
    <row r="168" spans="17:17" x14ac:dyDescent="0.3">
      <c r="Q168" s="17">
        <v>0</v>
      </c>
    </row>
    <row r="169" spans="17:17" x14ac:dyDescent="0.3">
      <c r="Q169" s="17">
        <v>0</v>
      </c>
    </row>
    <row r="170" spans="17:17" x14ac:dyDescent="0.3">
      <c r="Q170" s="17">
        <v>0</v>
      </c>
    </row>
    <row r="171" spans="17:17" x14ac:dyDescent="0.3">
      <c r="Q171" s="17">
        <v>0</v>
      </c>
    </row>
    <row r="172" spans="17:17" x14ac:dyDescent="0.3">
      <c r="Q172" s="17" t="str">
        <v>https://www.youtube.com/watch?v=qo5JMT-K6zw</v>
      </c>
    </row>
    <row r="173" spans="17:17" x14ac:dyDescent="0.3">
      <c r="Q173" s="17">
        <v>0</v>
      </c>
    </row>
    <row r="174" spans="17:17" x14ac:dyDescent="0.3">
      <c r="Q174" s="17">
        <v>0</v>
      </c>
    </row>
    <row r="175" spans="17:17" x14ac:dyDescent="0.3">
      <c r="Q175" s="17">
        <v>0</v>
      </c>
    </row>
    <row r="176" spans="17:17" x14ac:dyDescent="0.3">
      <c r="Q176" s="17">
        <v>0</v>
      </c>
    </row>
    <row r="177" spans="17:17" x14ac:dyDescent="0.3">
      <c r="Q177" s="17">
        <v>0</v>
      </c>
    </row>
    <row r="178" spans="17:17" x14ac:dyDescent="0.3">
      <c r="Q178" s="17">
        <v>0</v>
      </c>
    </row>
    <row r="179" spans="17:17" x14ac:dyDescent="0.3">
      <c r="Q179" s="17">
        <v>0</v>
      </c>
    </row>
    <row r="180" spans="17:17" x14ac:dyDescent="0.3">
      <c r="Q180" s="17" t="str">
        <v>https://www.youtube.com/watch?v=rTuBMwY_p9Q</v>
      </c>
    </row>
    <row r="181" spans="17:17" x14ac:dyDescent="0.3">
      <c r="Q181" s="17">
        <v>0</v>
      </c>
    </row>
    <row r="182" spans="17:17" x14ac:dyDescent="0.3">
      <c r="Q182" s="17">
        <v>0</v>
      </c>
    </row>
    <row r="183" spans="17:17" x14ac:dyDescent="0.3">
      <c r="Q183" s="17">
        <v>0</v>
      </c>
    </row>
    <row r="184" spans="17:17" x14ac:dyDescent="0.3">
      <c r="Q184" s="17">
        <v>0</v>
      </c>
    </row>
    <row r="185" spans="17:17" x14ac:dyDescent="0.3">
      <c r="Q185" s="17">
        <v>0</v>
      </c>
    </row>
    <row r="186" spans="17:17" x14ac:dyDescent="0.3">
      <c r="Q186" s="17">
        <v>0</v>
      </c>
    </row>
    <row r="187" spans="17:17" x14ac:dyDescent="0.3">
      <c r="Q187" s="17">
        <v>0</v>
      </c>
    </row>
    <row r="188" spans="17:17" x14ac:dyDescent="0.3">
      <c r="Q188" s="17">
        <v>0</v>
      </c>
    </row>
    <row r="189" spans="17:17" x14ac:dyDescent="0.3">
      <c r="Q189" s="17">
        <v>0</v>
      </c>
    </row>
    <row r="190" spans="17:17" x14ac:dyDescent="0.3">
      <c r="Q190" s="17">
        <v>0</v>
      </c>
    </row>
    <row r="191" spans="17:17" x14ac:dyDescent="0.3">
      <c r="Q191" s="17">
        <v>0</v>
      </c>
    </row>
    <row r="192" spans="17:17" x14ac:dyDescent="0.3">
      <c r="Q192" s="17">
        <v>0</v>
      </c>
    </row>
    <row r="193" spans="17:17" x14ac:dyDescent="0.3">
      <c r="Q193" s="17">
        <v>0</v>
      </c>
    </row>
    <row r="194" spans="17:17" x14ac:dyDescent="0.3">
      <c r="Q194" s="17">
        <v>0</v>
      </c>
    </row>
    <row r="195" spans="17:17" x14ac:dyDescent="0.3">
      <c r="Q195" s="17">
        <v>0</v>
      </c>
    </row>
    <row r="196" spans="17:17" x14ac:dyDescent="0.3">
      <c r="Q196" s="17">
        <v>0</v>
      </c>
    </row>
    <row r="197" spans="17:17" x14ac:dyDescent="0.3">
      <c r="Q197" s="17">
        <v>0</v>
      </c>
    </row>
    <row r="198" spans="17:17" x14ac:dyDescent="0.3">
      <c r="Q198" s="17">
        <v>0</v>
      </c>
    </row>
    <row r="199" spans="17:17" x14ac:dyDescent="0.3">
      <c r="Q199" s="17">
        <v>0</v>
      </c>
    </row>
    <row r="200" spans="17:17" x14ac:dyDescent="0.3">
      <c r="Q200" s="17" t="str">
        <v>https://www.youtube.com/watch?v=xwdgg6PIhyA</v>
      </c>
    </row>
    <row r="201" spans="17:17" x14ac:dyDescent="0.3">
      <c r="Q201" s="17">
        <v>0</v>
      </c>
    </row>
    <row r="202" spans="17:17" x14ac:dyDescent="0.3">
      <c r="Q202" s="17">
        <v>0</v>
      </c>
    </row>
    <row r="203" spans="17:17" x14ac:dyDescent="0.3">
      <c r="Q203" s="17">
        <v>0</v>
      </c>
    </row>
    <row r="204" spans="17:17" x14ac:dyDescent="0.3">
      <c r="Q204" s="17">
        <v>0</v>
      </c>
    </row>
    <row r="205" spans="17:17" x14ac:dyDescent="0.3">
      <c r="Q205" s="17">
        <v>0</v>
      </c>
    </row>
    <row r="206" spans="17:17" x14ac:dyDescent="0.3">
      <c r="Q206" s="17">
        <v>0</v>
      </c>
    </row>
    <row r="207" spans="17:17" x14ac:dyDescent="0.3">
      <c r="Q207" s="17" t="str">
        <v>https://www.youtube.com/watch?v=OwzdalM_9_c</v>
      </c>
    </row>
    <row r="208" spans="17:17" x14ac:dyDescent="0.3">
      <c r="Q208" s="17" t="str">
        <v>https://www.youtube.com/watch?v=QkZqaN8wdf4</v>
      </c>
    </row>
    <row r="209" spans="17:17" x14ac:dyDescent="0.3">
      <c r="Q209" s="17">
        <v>0</v>
      </c>
    </row>
    <row r="210" spans="17:17" x14ac:dyDescent="0.3">
      <c r="Q210" s="17">
        <v>0</v>
      </c>
    </row>
    <row r="211" spans="17:17" x14ac:dyDescent="0.3">
      <c r="Q211" s="17">
        <v>0</v>
      </c>
    </row>
    <row r="212" spans="17:17" x14ac:dyDescent="0.3">
      <c r="Q212" s="17">
        <v>0</v>
      </c>
    </row>
    <row r="213" spans="17:17" x14ac:dyDescent="0.3">
      <c r="Q213" s="17">
        <v>0</v>
      </c>
    </row>
    <row r="214" spans="17:17" x14ac:dyDescent="0.3">
      <c r="Q214" s="17">
        <v>0</v>
      </c>
    </row>
    <row r="215" spans="17:17" x14ac:dyDescent="0.3">
      <c r="Q215" s="17">
        <v>0</v>
      </c>
    </row>
    <row r="216" spans="17:17" x14ac:dyDescent="0.3">
      <c r="Q216" s="17">
        <v>0</v>
      </c>
    </row>
    <row r="217" spans="17:17" x14ac:dyDescent="0.3">
      <c r="Q217" s="17">
        <v>0</v>
      </c>
    </row>
    <row r="218" spans="17:17" x14ac:dyDescent="0.3">
      <c r="Q218" s="17">
        <v>0</v>
      </c>
    </row>
    <row r="219" spans="17:17" x14ac:dyDescent="0.3">
      <c r="Q219" s="17">
        <v>0</v>
      </c>
    </row>
    <row r="220" spans="17:17" x14ac:dyDescent="0.3">
      <c r="Q220" s="17">
        <v>0</v>
      </c>
    </row>
    <row r="221" spans="17:17" x14ac:dyDescent="0.3">
      <c r="Q221" s="17">
        <v>0</v>
      </c>
    </row>
    <row r="222" spans="17:17" x14ac:dyDescent="0.3">
      <c r="Q222" s="17">
        <v>0</v>
      </c>
    </row>
    <row r="223" spans="17:17" x14ac:dyDescent="0.3">
      <c r="Q223" s="17">
        <v>0</v>
      </c>
    </row>
    <row r="224" spans="17:17" x14ac:dyDescent="0.3">
      <c r="Q224" s="17">
        <v>0</v>
      </c>
    </row>
    <row r="225" spans="17:17" x14ac:dyDescent="0.3">
      <c r="Q225" s="17">
        <v>0</v>
      </c>
    </row>
    <row r="226" spans="17:17" x14ac:dyDescent="0.3">
      <c r="Q226" s="17">
        <v>0</v>
      </c>
    </row>
    <row r="227" spans="17:17" x14ac:dyDescent="0.3">
      <c r="Q227" s="17">
        <v>0</v>
      </c>
    </row>
    <row r="228" spans="17:17" x14ac:dyDescent="0.3">
      <c r="Q228" s="17">
        <v>0</v>
      </c>
    </row>
    <row r="229" spans="17:17" x14ac:dyDescent="0.3">
      <c r="Q229" s="17">
        <v>0</v>
      </c>
    </row>
    <row r="230" spans="17:17" x14ac:dyDescent="0.3">
      <c r="Q230" s="17">
        <v>0</v>
      </c>
    </row>
    <row r="231" spans="17:17" x14ac:dyDescent="0.3">
      <c r="Q231" s="17">
        <v>0</v>
      </c>
    </row>
    <row r="232" spans="17:17" x14ac:dyDescent="0.3">
      <c r="Q232" s="17">
        <v>0</v>
      </c>
    </row>
    <row r="233" spans="17:17" x14ac:dyDescent="0.3">
      <c r="Q233" s="17">
        <v>0</v>
      </c>
    </row>
    <row r="234" spans="17:17" x14ac:dyDescent="0.3">
      <c r="Q234" s="17">
        <v>0</v>
      </c>
    </row>
    <row r="235" spans="17:17" x14ac:dyDescent="0.3">
      <c r="Q235" s="17">
        <v>0</v>
      </c>
    </row>
    <row r="236" spans="17:17" x14ac:dyDescent="0.3">
      <c r="Q236" s="17">
        <v>0</v>
      </c>
    </row>
    <row r="237" spans="17:17" x14ac:dyDescent="0.3">
      <c r="Q237" s="17">
        <v>0</v>
      </c>
    </row>
    <row r="238" spans="17:17" x14ac:dyDescent="0.3">
      <c r="Q238" s="17">
        <v>0</v>
      </c>
    </row>
    <row r="239" spans="17:17" x14ac:dyDescent="0.3">
      <c r="Q239" s="17">
        <v>0</v>
      </c>
    </row>
    <row r="240" spans="17:17" x14ac:dyDescent="0.3">
      <c r="Q240" s="17">
        <v>0</v>
      </c>
    </row>
    <row r="241" spans="17:17" x14ac:dyDescent="0.3">
      <c r="Q241" s="17">
        <v>0</v>
      </c>
    </row>
    <row r="242" spans="17:17" x14ac:dyDescent="0.3">
      <c r="Q242" s="17">
        <v>0</v>
      </c>
    </row>
    <row r="243" spans="17:17" x14ac:dyDescent="0.3">
      <c r="Q243" s="17">
        <v>0</v>
      </c>
    </row>
    <row r="244" spans="17:17" x14ac:dyDescent="0.3">
      <c r="Q244" s="17">
        <v>0</v>
      </c>
    </row>
    <row r="245" spans="17:17" x14ac:dyDescent="0.3">
      <c r="Q245" s="17">
        <v>0</v>
      </c>
    </row>
    <row r="246" spans="17:17" x14ac:dyDescent="0.3">
      <c r="Q246" s="17">
        <v>0</v>
      </c>
    </row>
    <row r="247" spans="17:17" x14ac:dyDescent="0.3">
      <c r="Q247" s="17">
        <v>0</v>
      </c>
    </row>
    <row r="248" spans="17:17" x14ac:dyDescent="0.3">
      <c r="Q248" s="17">
        <v>0</v>
      </c>
    </row>
    <row r="249" spans="17:17" x14ac:dyDescent="0.3">
      <c r="Q249" s="17">
        <v>0</v>
      </c>
    </row>
    <row r="250" spans="17:17" x14ac:dyDescent="0.3">
      <c r="Q250" s="17">
        <v>0</v>
      </c>
    </row>
    <row r="251" spans="17:17" x14ac:dyDescent="0.3">
      <c r="Q251" s="17">
        <v>0</v>
      </c>
    </row>
    <row r="252" spans="17:17" x14ac:dyDescent="0.3">
      <c r="Q252" s="17">
        <v>0</v>
      </c>
    </row>
    <row r="253" spans="17:17" x14ac:dyDescent="0.3">
      <c r="Q253" s="17">
        <v>0</v>
      </c>
    </row>
    <row r="254" spans="17:17" x14ac:dyDescent="0.3">
      <c r="Q254" s="17">
        <v>0</v>
      </c>
    </row>
    <row r="255" spans="17:17" x14ac:dyDescent="0.3">
      <c r="Q255" s="17">
        <v>0</v>
      </c>
    </row>
    <row r="256" spans="17:17" x14ac:dyDescent="0.3">
      <c r="Q256" s="17">
        <v>0</v>
      </c>
    </row>
    <row r="257" spans="17:17" x14ac:dyDescent="0.3">
      <c r="Q257" s="17">
        <v>0</v>
      </c>
    </row>
    <row r="258" spans="17:17" x14ac:dyDescent="0.3">
      <c r="Q258" s="17">
        <v>0</v>
      </c>
    </row>
    <row r="259" spans="17:17" x14ac:dyDescent="0.3">
      <c r="Q259" s="17">
        <v>0</v>
      </c>
    </row>
    <row r="260" spans="17:17" x14ac:dyDescent="0.3">
      <c r="Q260" s="17">
        <v>0</v>
      </c>
    </row>
    <row r="261" spans="17:17" x14ac:dyDescent="0.3">
      <c r="Q261" s="17">
        <v>0</v>
      </c>
    </row>
    <row r="262" spans="17:17" x14ac:dyDescent="0.3">
      <c r="Q262" s="17">
        <v>0</v>
      </c>
    </row>
    <row r="263" spans="17:17" x14ac:dyDescent="0.3">
      <c r="Q263" s="17">
        <v>0</v>
      </c>
    </row>
    <row r="264" spans="17:17" x14ac:dyDescent="0.3">
      <c r="Q264" s="17">
        <v>0</v>
      </c>
    </row>
    <row r="265" spans="17:17" x14ac:dyDescent="0.3">
      <c r="Q265" s="17">
        <v>0</v>
      </c>
    </row>
    <row r="266" spans="17:17" x14ac:dyDescent="0.3">
      <c r="Q266" s="17">
        <v>0</v>
      </c>
    </row>
    <row r="267" spans="17:17" x14ac:dyDescent="0.3">
      <c r="Q267" s="17">
        <v>0</v>
      </c>
    </row>
    <row r="268" spans="17:17" x14ac:dyDescent="0.3">
      <c r="Q268" s="17" t="str">
        <v>https://www.youtube.com/watch?v=Mj9ZrtLyHh0</v>
      </c>
    </row>
    <row r="269" spans="17:17" x14ac:dyDescent="0.3">
      <c r="Q269" s="17">
        <v>0</v>
      </c>
    </row>
    <row r="270" spans="17:17" x14ac:dyDescent="0.3">
      <c r="Q270" s="17">
        <v>0</v>
      </c>
    </row>
    <row r="271" spans="17:17" x14ac:dyDescent="0.3">
      <c r="Q271" s="17">
        <v>0</v>
      </c>
    </row>
    <row r="272" spans="17:17" x14ac:dyDescent="0.3">
      <c r="Q272" s="17">
        <v>0</v>
      </c>
    </row>
    <row r="273" spans="17:17" x14ac:dyDescent="0.3">
      <c r="Q273" s="17">
        <v>0</v>
      </c>
    </row>
    <row r="274" spans="17:17" x14ac:dyDescent="0.3">
      <c r="Q274" s="17">
        <v>0</v>
      </c>
    </row>
    <row r="275" spans="17:17" x14ac:dyDescent="0.3">
      <c r="Q275" s="17">
        <v>0</v>
      </c>
    </row>
    <row r="276" spans="17:17" x14ac:dyDescent="0.3">
      <c r="Q276" s="17">
        <v>0</v>
      </c>
    </row>
    <row r="277" spans="17:17" x14ac:dyDescent="0.3">
      <c r="Q277" s="17">
        <v>0</v>
      </c>
    </row>
    <row r="278" spans="17:17" x14ac:dyDescent="0.3">
      <c r="Q278" s="17">
        <v>0</v>
      </c>
    </row>
    <row r="279" spans="17:17" x14ac:dyDescent="0.3">
      <c r="Q279" s="17" t="str">
        <v>https://www.youtube.com/watch?v=KmGoGRjkxOA</v>
      </c>
    </row>
    <row r="280" spans="17:17" x14ac:dyDescent="0.3">
      <c r="Q280" s="17">
        <v>0</v>
      </c>
    </row>
    <row r="281" spans="17:17" x14ac:dyDescent="0.3">
      <c r="Q281" s="17">
        <v>0</v>
      </c>
    </row>
    <row r="282" spans="17:17" x14ac:dyDescent="0.3">
      <c r="Q282" s="17" t="str">
        <v>https://www.youtube.com/watch?v=yNUuh1LJ--E</v>
      </c>
    </row>
    <row r="283" spans="17:17" x14ac:dyDescent="0.3">
      <c r="Q283" s="17">
        <v>0</v>
      </c>
    </row>
    <row r="284" spans="17:17" x14ac:dyDescent="0.3">
      <c r="Q284" s="17" t="str">
        <v>https://www.youtube.com/watch?v=LEj4ybN6Ovc</v>
      </c>
    </row>
    <row r="285" spans="17:17" x14ac:dyDescent="0.3">
      <c r="Q285" s="17">
        <v>0</v>
      </c>
    </row>
    <row r="286" spans="17:17" x14ac:dyDescent="0.3">
      <c r="Q286" s="17" t="str">
        <v>https://www.youtube.com/watch?v=OuQldRxC9WM</v>
      </c>
    </row>
    <row r="287" spans="17:17" x14ac:dyDescent="0.3">
      <c r="Q287" s="17">
        <v>0</v>
      </c>
    </row>
    <row r="288" spans="17:17" x14ac:dyDescent="0.3">
      <c r="Q288" s="17">
        <v>0</v>
      </c>
    </row>
    <row r="289" spans="17:17" x14ac:dyDescent="0.3">
      <c r="Q289" s="17">
        <v>0</v>
      </c>
    </row>
    <row r="290" spans="17:17" x14ac:dyDescent="0.3">
      <c r="Q290" s="17">
        <v>0</v>
      </c>
    </row>
    <row r="291" spans="17:17" x14ac:dyDescent="0.3">
      <c r="Q291" s="17">
        <v>0</v>
      </c>
    </row>
    <row r="292" spans="17:17" x14ac:dyDescent="0.3">
      <c r="Q292" s="17">
        <v>0</v>
      </c>
    </row>
    <row r="293" spans="17:17" x14ac:dyDescent="0.3">
      <c r="Q293" s="17" t="str">
        <v>https://www.youtube.com/watch?v=g7vRXBpL10k</v>
      </c>
    </row>
    <row r="294" spans="17:17" x14ac:dyDescent="0.3">
      <c r="Q294" s="17">
        <v>0</v>
      </c>
    </row>
    <row r="295" spans="17:17" x14ac:dyDescent="0.3">
      <c r="Q295" s="17">
        <v>0</v>
      </c>
    </row>
    <row r="296" spans="17:17" x14ac:dyDescent="0.3">
      <c r="Q296" s="17" t="str">
        <v>https://www.youtube.com/watch?v=gEbtIG9EbO4</v>
      </c>
    </row>
    <row r="297" spans="17:17" x14ac:dyDescent="0.3">
      <c r="Q297" s="17">
        <v>0</v>
      </c>
    </row>
    <row r="298" spans="17:17" x14ac:dyDescent="0.3">
      <c r="Q298" s="17">
        <v>0</v>
      </c>
    </row>
    <row r="299" spans="17:17" x14ac:dyDescent="0.3">
      <c r="Q299" s="17">
        <v>0</v>
      </c>
    </row>
    <row r="300" spans="17:17" x14ac:dyDescent="0.3">
      <c r="Q300" s="17">
        <v>0</v>
      </c>
    </row>
    <row r="301" spans="17:17" x14ac:dyDescent="0.3">
      <c r="Q301" s="17">
        <v>0</v>
      </c>
    </row>
    <row r="302" spans="17:17" x14ac:dyDescent="0.3">
      <c r="Q302" s="17">
        <v>0</v>
      </c>
    </row>
    <row r="303" spans="17:17" x14ac:dyDescent="0.3">
      <c r="Q303" s="17">
        <v>0</v>
      </c>
    </row>
    <row r="304" spans="17:17" x14ac:dyDescent="0.3">
      <c r="Q304" s="17">
        <v>0</v>
      </c>
    </row>
    <row r="305" spans="17:17" x14ac:dyDescent="0.3">
      <c r="Q305" s="17">
        <v>0</v>
      </c>
    </row>
    <row r="306" spans="17:17" x14ac:dyDescent="0.3">
      <c r="Q306" s="17">
        <v>0</v>
      </c>
    </row>
    <row r="307" spans="17:17" x14ac:dyDescent="0.3">
      <c r="Q307" s="17">
        <v>0</v>
      </c>
    </row>
    <row r="308" spans="17:17" x14ac:dyDescent="0.3">
      <c r="Q308" s="17">
        <v>0</v>
      </c>
    </row>
    <row r="309" spans="17:17" x14ac:dyDescent="0.3">
      <c r="Q309" s="17">
        <v>0</v>
      </c>
    </row>
    <row r="310" spans="17:17" x14ac:dyDescent="0.3">
      <c r="Q310" s="17">
        <v>0</v>
      </c>
    </row>
    <row r="311" spans="17:17" x14ac:dyDescent="0.3">
      <c r="Q311" s="17">
        <v>0</v>
      </c>
    </row>
    <row r="312" spans="17:17" x14ac:dyDescent="0.3">
      <c r="Q312" s="17">
        <v>0</v>
      </c>
    </row>
    <row r="313" spans="17:17" x14ac:dyDescent="0.3">
      <c r="Q313" s="17">
        <v>0</v>
      </c>
    </row>
    <row r="314" spans="17:17" x14ac:dyDescent="0.3">
      <c r="Q314" s="17">
        <v>0</v>
      </c>
    </row>
    <row r="315" spans="17:17" x14ac:dyDescent="0.3">
      <c r="Q315" s="17">
        <v>0</v>
      </c>
    </row>
    <row r="316" spans="17:17" x14ac:dyDescent="0.3">
      <c r="Q316" s="17">
        <v>0</v>
      </c>
    </row>
    <row r="317" spans="17:17" x14ac:dyDescent="0.3">
      <c r="Q317" s="17">
        <v>0</v>
      </c>
    </row>
    <row r="318" spans="17:17" x14ac:dyDescent="0.3">
      <c r="Q318" s="17">
        <v>0</v>
      </c>
    </row>
    <row r="319" spans="17:17" x14ac:dyDescent="0.3">
      <c r="Q319" s="17">
        <v>0</v>
      </c>
    </row>
    <row r="320" spans="17:17" x14ac:dyDescent="0.3">
      <c r="Q320" s="17">
        <v>0</v>
      </c>
    </row>
    <row r="321" spans="17:17" x14ac:dyDescent="0.3">
      <c r="Q321" s="17">
        <v>0</v>
      </c>
    </row>
    <row r="322" spans="17:17" x14ac:dyDescent="0.3">
      <c r="Q322" s="17">
        <v>0</v>
      </c>
    </row>
    <row r="323" spans="17:17" x14ac:dyDescent="0.3">
      <c r="Q323" s="17">
        <v>0</v>
      </c>
    </row>
    <row r="324" spans="17:17" x14ac:dyDescent="0.3">
      <c r="Q324" s="17">
        <v>0</v>
      </c>
    </row>
    <row r="325" spans="17:17" x14ac:dyDescent="0.3">
      <c r="Q325" s="17">
        <v>0</v>
      </c>
    </row>
    <row r="326" spans="17:17" x14ac:dyDescent="0.3">
      <c r="Q326" s="17">
        <v>0</v>
      </c>
    </row>
    <row r="327" spans="17:17" x14ac:dyDescent="0.3">
      <c r="Q327" s="17">
        <v>0</v>
      </c>
    </row>
    <row r="328" spans="17:17" x14ac:dyDescent="0.3">
      <c r="Q328" s="17" t="str">
        <v>https://www.youtube.com/watch?v=oo4lLrdpIBg</v>
      </c>
    </row>
    <row r="329" spans="17:17" x14ac:dyDescent="0.3">
      <c r="Q329" s="17">
        <v>0</v>
      </c>
    </row>
    <row r="330" spans="17:17" x14ac:dyDescent="0.3">
      <c r="Q330" s="17">
        <v>0</v>
      </c>
    </row>
    <row r="331" spans="17:17" x14ac:dyDescent="0.3">
      <c r="Q331" s="17" t="str">
        <v>https://www.youtube.com/watch?v=PzhLaLRijl0</v>
      </c>
    </row>
    <row r="332" spans="17:17" x14ac:dyDescent="0.3">
      <c r="Q332" s="17" t="str">
        <v>https://www.youtube.com/watch?v=V86NBrzhSAo</v>
      </c>
    </row>
    <row r="333" spans="17:17" x14ac:dyDescent="0.3">
      <c r="Q333" s="17">
        <v>0</v>
      </c>
    </row>
    <row r="334" spans="17:17" x14ac:dyDescent="0.3">
      <c r="Q334" s="17">
        <v>0</v>
      </c>
    </row>
    <row r="335" spans="17:17" x14ac:dyDescent="0.3">
      <c r="Q335" s="17">
        <v>0</v>
      </c>
    </row>
    <row r="336" spans="17:17" x14ac:dyDescent="0.3">
      <c r="Q336" s="17">
        <v>0</v>
      </c>
    </row>
    <row r="337" spans="17:17" x14ac:dyDescent="0.3">
      <c r="Q337" s="17">
        <v>0</v>
      </c>
    </row>
    <row r="338" spans="17:17" x14ac:dyDescent="0.3">
      <c r="Q338" s="17">
        <v>0</v>
      </c>
    </row>
    <row r="339" spans="17:17" x14ac:dyDescent="0.3">
      <c r="Q339" s="17">
        <v>0</v>
      </c>
    </row>
    <row r="340" spans="17:17" x14ac:dyDescent="0.3">
      <c r="Q340" s="17">
        <v>0</v>
      </c>
    </row>
    <row r="341" spans="17:17" x14ac:dyDescent="0.3">
      <c r="Q341" s="17">
        <v>0</v>
      </c>
    </row>
    <row r="342" spans="17:17" x14ac:dyDescent="0.3">
      <c r="Q342" s="17">
        <v>0</v>
      </c>
    </row>
    <row r="343" spans="17:17" x14ac:dyDescent="0.3">
      <c r="Q343" s="17">
        <v>0</v>
      </c>
    </row>
    <row r="344" spans="17:17" x14ac:dyDescent="0.3">
      <c r="Q344" s="17">
        <v>0</v>
      </c>
    </row>
    <row r="345" spans="17:17" x14ac:dyDescent="0.3">
      <c r="Q345" s="17">
        <v>0</v>
      </c>
    </row>
    <row r="346" spans="17:17" x14ac:dyDescent="0.3">
      <c r="Q346" s="17">
        <v>0</v>
      </c>
    </row>
    <row r="347" spans="17:17" x14ac:dyDescent="0.3">
      <c r="Q347" s="17">
        <v>0</v>
      </c>
    </row>
    <row r="348" spans="17:17" x14ac:dyDescent="0.3">
      <c r="Q348" s="17">
        <v>0</v>
      </c>
    </row>
    <row r="349" spans="17:17" x14ac:dyDescent="0.3">
      <c r="Q349" s="17">
        <v>0</v>
      </c>
    </row>
    <row r="350" spans="17:17" x14ac:dyDescent="0.3">
      <c r="Q350" s="17">
        <v>0</v>
      </c>
    </row>
    <row r="351" spans="17:17" x14ac:dyDescent="0.3">
      <c r="Q351" s="17">
        <v>0</v>
      </c>
    </row>
    <row r="352" spans="17:17" x14ac:dyDescent="0.3">
      <c r="Q352" s="17">
        <v>0</v>
      </c>
    </row>
    <row r="353" spans="17:17" x14ac:dyDescent="0.3">
      <c r="Q353" s="17">
        <v>0</v>
      </c>
    </row>
    <row r="354" spans="17:17" x14ac:dyDescent="0.3">
      <c r="Q354" s="17">
        <v>0</v>
      </c>
    </row>
    <row r="355" spans="17:17" x14ac:dyDescent="0.3">
      <c r="Q355" s="17">
        <v>0</v>
      </c>
    </row>
    <row r="356" spans="17:17" x14ac:dyDescent="0.3">
      <c r="Q356" s="17">
        <v>0</v>
      </c>
    </row>
    <row r="357" spans="17:17" x14ac:dyDescent="0.3">
      <c r="Q357" s="17">
        <v>0</v>
      </c>
    </row>
    <row r="358" spans="17:17" x14ac:dyDescent="0.3">
      <c r="Q358" s="17">
        <v>0</v>
      </c>
    </row>
    <row r="359" spans="17:17" x14ac:dyDescent="0.3">
      <c r="Q359" s="17">
        <v>0</v>
      </c>
    </row>
    <row r="360" spans="17:17" x14ac:dyDescent="0.3">
      <c r="Q360" s="17">
        <v>0</v>
      </c>
    </row>
    <row r="361" spans="17:17" x14ac:dyDescent="0.3">
      <c r="Q361" s="17">
        <v>0</v>
      </c>
    </row>
    <row r="362" spans="17:17" x14ac:dyDescent="0.3">
      <c r="Q362" s="17">
        <v>0</v>
      </c>
    </row>
    <row r="363" spans="17:17" x14ac:dyDescent="0.3">
      <c r="Q363" s="17">
        <v>0</v>
      </c>
    </row>
    <row r="364" spans="17:17" x14ac:dyDescent="0.3">
      <c r="Q364" s="17">
        <v>0</v>
      </c>
    </row>
    <row r="365" spans="17:17" x14ac:dyDescent="0.3">
      <c r="Q365" s="17">
        <v>0</v>
      </c>
    </row>
    <row r="366" spans="17:17" x14ac:dyDescent="0.3">
      <c r="Q366" s="17">
        <v>0</v>
      </c>
    </row>
    <row r="367" spans="17:17" x14ac:dyDescent="0.3">
      <c r="Q367" s="17">
        <v>0</v>
      </c>
    </row>
    <row r="368" spans="17:17" x14ac:dyDescent="0.3">
      <c r="Q368" s="17">
        <v>0</v>
      </c>
    </row>
    <row r="369" spans="17:17" x14ac:dyDescent="0.3">
      <c r="Q369" s="17">
        <v>0</v>
      </c>
    </row>
    <row r="370" spans="17:17" x14ac:dyDescent="0.3">
      <c r="Q370" s="17">
        <v>0</v>
      </c>
    </row>
    <row r="371" spans="17:17" x14ac:dyDescent="0.3">
      <c r="Q371" s="17">
        <v>0</v>
      </c>
    </row>
    <row r="372" spans="17:17" x14ac:dyDescent="0.3">
      <c r="Q372" s="17">
        <v>0</v>
      </c>
    </row>
    <row r="373" spans="17:17" x14ac:dyDescent="0.3">
      <c r="Q373" s="17">
        <v>0</v>
      </c>
    </row>
    <row r="374" spans="17:17" x14ac:dyDescent="0.3">
      <c r="Q374" s="17">
        <v>0</v>
      </c>
    </row>
    <row r="375" spans="17:17" x14ac:dyDescent="0.3">
      <c r="Q375" s="17">
        <v>0</v>
      </c>
    </row>
    <row r="376" spans="17:17" x14ac:dyDescent="0.3">
      <c r="Q376" s="17">
        <v>0</v>
      </c>
    </row>
    <row r="377" spans="17:17" x14ac:dyDescent="0.3">
      <c r="Q377" s="17">
        <v>0</v>
      </c>
    </row>
    <row r="378" spans="17:17" x14ac:dyDescent="0.3">
      <c r="Q378" s="17">
        <v>0</v>
      </c>
    </row>
    <row r="379" spans="17:17" x14ac:dyDescent="0.3">
      <c r="Q379" s="17">
        <v>0</v>
      </c>
    </row>
    <row r="380" spans="17:17" x14ac:dyDescent="0.3">
      <c r="Q380" s="17">
        <v>0</v>
      </c>
    </row>
    <row r="381" spans="17:17" x14ac:dyDescent="0.3">
      <c r="Q381" s="17">
        <v>0</v>
      </c>
    </row>
    <row r="382" spans="17:17" x14ac:dyDescent="0.3">
      <c r="Q382" s="17">
        <v>0</v>
      </c>
    </row>
    <row r="383" spans="17:17" x14ac:dyDescent="0.3">
      <c r="Q383" s="17" t="str">
        <v>https://www.youtube.com/watch?v=c06HqJKSRBU</v>
      </c>
    </row>
    <row r="384" spans="17:17" x14ac:dyDescent="0.3">
      <c r="Q384" s="17" t="str">
        <v>https://www.youtube.com/watch?v=i3PyJPPFJsQ</v>
      </c>
    </row>
    <row r="385" spans="17:17" x14ac:dyDescent="0.3">
      <c r="Q385" s="17">
        <v>0</v>
      </c>
    </row>
    <row r="386" spans="17:17" x14ac:dyDescent="0.3">
      <c r="Q386" s="17">
        <v>0</v>
      </c>
    </row>
    <row r="387" spans="17:17" x14ac:dyDescent="0.3">
      <c r="Q387" s="17">
        <v>0</v>
      </c>
    </row>
    <row r="388" spans="17:17" x14ac:dyDescent="0.3">
      <c r="Q388" s="17">
        <v>0</v>
      </c>
    </row>
    <row r="389" spans="17:17" x14ac:dyDescent="0.3">
      <c r="Q389" s="17">
        <v>0</v>
      </c>
    </row>
    <row r="390" spans="17:17" x14ac:dyDescent="0.3">
      <c r="Q390" s="17">
        <v>0</v>
      </c>
    </row>
    <row r="391" spans="17:17" x14ac:dyDescent="0.3">
      <c r="Q391" s="17">
        <v>0</v>
      </c>
    </row>
    <row r="392" spans="17:17" x14ac:dyDescent="0.3">
      <c r="Q392" s="17">
        <v>0</v>
      </c>
    </row>
    <row r="393" spans="17:17" x14ac:dyDescent="0.3">
      <c r="Q393" s="17">
        <v>0</v>
      </c>
    </row>
    <row r="394" spans="17:17" x14ac:dyDescent="0.3">
      <c r="Q394" s="17">
        <v>0</v>
      </c>
    </row>
    <row r="395" spans="17:17" x14ac:dyDescent="0.3">
      <c r="Q395" s="17">
        <v>0</v>
      </c>
    </row>
    <row r="396" spans="17:17" x14ac:dyDescent="0.3">
      <c r="Q396" s="17">
        <v>0</v>
      </c>
    </row>
    <row r="397" spans="17:17" x14ac:dyDescent="0.3">
      <c r="Q397" s="17">
        <v>0</v>
      </c>
    </row>
    <row r="398" spans="17:17" x14ac:dyDescent="0.3">
      <c r="Q398" s="17">
        <v>0</v>
      </c>
    </row>
    <row r="399" spans="17:17" x14ac:dyDescent="0.3">
      <c r="Q399" s="17">
        <v>0</v>
      </c>
    </row>
    <row r="400" spans="17:17" x14ac:dyDescent="0.3">
      <c r="Q400" s="17">
        <v>0</v>
      </c>
    </row>
    <row r="401" spans="17:17" x14ac:dyDescent="0.3">
      <c r="Q401" s="17">
        <v>0</v>
      </c>
    </row>
    <row r="402" spans="17:17" x14ac:dyDescent="0.3">
      <c r="Q402" s="17">
        <v>0</v>
      </c>
    </row>
    <row r="403" spans="17:17" x14ac:dyDescent="0.3">
      <c r="Q403" s="17">
        <v>0</v>
      </c>
    </row>
    <row r="404" spans="17:17" x14ac:dyDescent="0.3">
      <c r="Q404" s="17">
        <v>0</v>
      </c>
    </row>
    <row r="405" spans="17:17" x14ac:dyDescent="0.3">
      <c r="Q405" s="17">
        <v>0</v>
      </c>
    </row>
    <row r="406" spans="17:17" x14ac:dyDescent="0.3">
      <c r="Q406" s="17">
        <v>0</v>
      </c>
    </row>
    <row r="407" spans="17:17" x14ac:dyDescent="0.3">
      <c r="Q407" s="17" t="str">
        <v>https://www.youtube.com/watch?v=mAfFgnBZTEQ</v>
      </c>
    </row>
    <row r="408" spans="17:17" x14ac:dyDescent="0.3">
      <c r="Q408" s="17">
        <v>0</v>
      </c>
    </row>
    <row r="409" spans="17:17" x14ac:dyDescent="0.3">
      <c r="Q409" s="17">
        <v>0</v>
      </c>
    </row>
    <row r="410" spans="17:17" x14ac:dyDescent="0.3">
      <c r="Q410" s="17">
        <v>0</v>
      </c>
    </row>
    <row r="411" spans="17:17" x14ac:dyDescent="0.3">
      <c r="Q411" s="17">
        <v>0</v>
      </c>
    </row>
    <row r="412" spans="17:17" x14ac:dyDescent="0.3">
      <c r="Q412" s="17">
        <v>0</v>
      </c>
    </row>
    <row r="413" spans="17:17" x14ac:dyDescent="0.3">
      <c r="Q413" s="17">
        <v>0</v>
      </c>
    </row>
    <row r="414" spans="17:17" x14ac:dyDescent="0.3">
      <c r="Q414" s="17">
        <v>0</v>
      </c>
    </row>
    <row r="415" spans="17:17" x14ac:dyDescent="0.3">
      <c r="Q415" s="17">
        <v>0</v>
      </c>
    </row>
    <row r="416" spans="17:17" x14ac:dyDescent="0.3">
      <c r="Q416" s="17">
        <v>0</v>
      </c>
    </row>
    <row r="417" spans="17:17" x14ac:dyDescent="0.3">
      <c r="Q417" s="17">
        <v>0</v>
      </c>
    </row>
    <row r="418" spans="17:17" x14ac:dyDescent="0.3">
      <c r="Q418" s="17">
        <v>0</v>
      </c>
    </row>
    <row r="419" spans="17:17" x14ac:dyDescent="0.3">
      <c r="Q419" s="17">
        <v>0</v>
      </c>
    </row>
    <row r="420" spans="17:17" x14ac:dyDescent="0.3">
      <c r="Q420" s="17">
        <v>0</v>
      </c>
    </row>
    <row r="421" spans="17:17" x14ac:dyDescent="0.3">
      <c r="Q421" s="17">
        <v>0</v>
      </c>
    </row>
    <row r="422" spans="17:17" x14ac:dyDescent="0.3">
      <c r="Q422" s="17">
        <v>0</v>
      </c>
    </row>
    <row r="423" spans="17:17" x14ac:dyDescent="0.3">
      <c r="Q423" s="17">
        <v>0</v>
      </c>
    </row>
    <row r="424" spans="17:17" x14ac:dyDescent="0.3">
      <c r="Q424" s="17">
        <v>0</v>
      </c>
    </row>
    <row r="425" spans="17:17" x14ac:dyDescent="0.3">
      <c r="Q425" s="17">
        <v>0</v>
      </c>
    </row>
    <row r="426" spans="17:17" x14ac:dyDescent="0.3">
      <c r="Q426" s="17">
        <v>0</v>
      </c>
    </row>
    <row r="427" spans="17:17" x14ac:dyDescent="0.3">
      <c r="Q427" s="17">
        <v>0</v>
      </c>
    </row>
    <row r="428" spans="17:17" x14ac:dyDescent="0.3">
      <c r="Q428" s="17">
        <v>0</v>
      </c>
    </row>
    <row r="429" spans="17:17" x14ac:dyDescent="0.3">
      <c r="Q429" s="17">
        <v>0</v>
      </c>
    </row>
    <row r="430" spans="17:17" x14ac:dyDescent="0.3">
      <c r="Q430" s="17">
        <v>0</v>
      </c>
    </row>
    <row r="431" spans="17:17" x14ac:dyDescent="0.3">
      <c r="Q431" s="17">
        <v>0</v>
      </c>
    </row>
    <row r="432" spans="17:17" x14ac:dyDescent="0.3">
      <c r="Q432" s="17">
        <v>0</v>
      </c>
    </row>
    <row r="433" spans="17:17" x14ac:dyDescent="0.3">
      <c r="Q433" s="17">
        <v>0</v>
      </c>
    </row>
    <row r="434" spans="17:17" x14ac:dyDescent="0.3">
      <c r="Q434" s="17">
        <v>0</v>
      </c>
    </row>
    <row r="435" spans="17:17" x14ac:dyDescent="0.3">
      <c r="Q435" s="17">
        <v>0</v>
      </c>
    </row>
    <row r="436" spans="17:17" x14ac:dyDescent="0.3">
      <c r="Q436" s="17">
        <v>0</v>
      </c>
    </row>
    <row r="437" spans="17:17" x14ac:dyDescent="0.3">
      <c r="Q437" s="17">
        <v>0</v>
      </c>
    </row>
    <row r="438" spans="17:17" x14ac:dyDescent="0.3">
      <c r="Q438" s="17">
        <v>0</v>
      </c>
    </row>
    <row r="439" spans="17:17" x14ac:dyDescent="0.3">
      <c r="Q439" s="17" t="str">
        <v>https://www.youtube.com/watch?v=sYD6wlOh578</v>
      </c>
    </row>
    <row r="440" spans="17:17" x14ac:dyDescent="0.3">
      <c r="Q440" s="17">
        <v>0</v>
      </c>
    </row>
    <row r="441" spans="17:17" x14ac:dyDescent="0.3">
      <c r="Q441" s="17"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F0107-E6BE-492F-8BE2-801C988CF6A9}">
  <dimension ref="A1:AI174"/>
  <sheetViews>
    <sheetView workbookViewId="0">
      <selection activeCell="B3" sqref="B3"/>
    </sheetView>
  </sheetViews>
  <sheetFormatPr baseColWidth="10" defaultRowHeight="14.4" x14ac:dyDescent="0.3"/>
  <sheetData>
    <row r="1" spans="1:35" x14ac:dyDescent="0.3">
      <c r="C1" s="16">
        <f>SUM(D1:AI1)-Resumen!$Q$6-3</f>
        <v>1062</v>
      </c>
      <c r="D1" s="17">
        <f>COUNTA(_xlfn.ANCHORARRAY(D3))</f>
        <v>115</v>
      </c>
      <c r="E1" s="17">
        <f t="shared" ref="E1:AI1" si="0">COUNTA(_xlfn.ANCHORARRAY(E3))</f>
        <v>3</v>
      </c>
      <c r="F1" s="17">
        <f t="shared" si="0"/>
        <v>5</v>
      </c>
      <c r="G1" s="17">
        <f t="shared" si="0"/>
        <v>6</v>
      </c>
      <c r="H1" s="17">
        <f t="shared" si="0"/>
        <v>36</v>
      </c>
      <c r="I1" s="17">
        <f t="shared" si="0"/>
        <v>37</v>
      </c>
      <c r="J1" s="17">
        <f t="shared" si="0"/>
        <v>31</v>
      </c>
      <c r="K1" s="17">
        <f t="shared" si="0"/>
        <v>9</v>
      </c>
      <c r="L1" s="17">
        <f t="shared" si="0"/>
        <v>6</v>
      </c>
      <c r="M1" s="17">
        <f t="shared" si="0"/>
        <v>83</v>
      </c>
      <c r="N1" s="17">
        <f t="shared" si="0"/>
        <v>94</v>
      </c>
      <c r="O1" s="17">
        <f t="shared" si="0"/>
        <v>2</v>
      </c>
      <c r="P1" s="17">
        <f t="shared" si="0"/>
        <v>9</v>
      </c>
      <c r="Q1" s="17">
        <f t="shared" si="0"/>
        <v>2</v>
      </c>
      <c r="R1" s="17">
        <f t="shared" si="0"/>
        <v>31</v>
      </c>
      <c r="S1" s="17">
        <f t="shared" si="0"/>
        <v>4</v>
      </c>
      <c r="T1" s="17">
        <f t="shared" si="0"/>
        <v>144</v>
      </c>
      <c r="U1" s="17">
        <f t="shared" si="0"/>
        <v>1</v>
      </c>
      <c r="V1" s="17">
        <f t="shared" si="0"/>
        <v>5</v>
      </c>
      <c r="W1" s="17">
        <f t="shared" si="0"/>
        <v>1</v>
      </c>
      <c r="X1" s="17">
        <f t="shared" si="0"/>
        <v>1</v>
      </c>
      <c r="Y1" s="17">
        <f t="shared" si="0"/>
        <v>15</v>
      </c>
      <c r="Z1" s="17">
        <f t="shared" si="0"/>
        <v>172</v>
      </c>
      <c r="AA1" s="17">
        <f t="shared" si="0"/>
        <v>34</v>
      </c>
      <c r="AB1" s="17">
        <f t="shared" si="0"/>
        <v>4</v>
      </c>
      <c r="AC1" s="17">
        <f t="shared" si="0"/>
        <v>5</v>
      </c>
      <c r="AD1" s="17">
        <f t="shared" si="0"/>
        <v>10</v>
      </c>
      <c r="AE1" s="17">
        <f t="shared" si="0"/>
        <v>1</v>
      </c>
      <c r="AF1" s="17">
        <f t="shared" si="0"/>
        <v>50</v>
      </c>
      <c r="AG1" s="17">
        <f t="shared" si="0"/>
        <v>164</v>
      </c>
      <c r="AH1" s="17">
        <f t="shared" si="0"/>
        <v>44</v>
      </c>
      <c r="AI1" s="17">
        <f t="shared" si="0"/>
        <v>19</v>
      </c>
    </row>
    <row r="2" spans="1:35" x14ac:dyDescent="0.3">
      <c r="A2" s="29" t="s">
        <v>2949</v>
      </c>
      <c r="B2" s="30">
        <v>0</v>
      </c>
      <c r="C2" s="23" t="s">
        <v>2947</v>
      </c>
      <c r="D2" s="28" t="str" cm="1">
        <f t="array" ref="D2:AI2">TRANSPOSE(_xlfn._xlws.SORT(_xlfn.UNIQUE(CantoralDB[Carpeta])))</f>
        <v>ain_karem</v>
      </c>
      <c r="E2" s="27" t="str">
        <v>alejandro_ruiz</v>
      </c>
      <c r="F2" s="27" t="str">
        <v>al-haraca</v>
      </c>
      <c r="G2" s="27" t="str">
        <v>antonio_alcalde</v>
      </c>
      <c r="H2" s="27" t="str">
        <v>brotes_de_olivo</v>
      </c>
      <c r="I2" s="27" t="str">
        <v>carmelo_erdozain</v>
      </c>
      <c r="J2" s="27" t="str">
        <v>cesareo_gabarain</v>
      </c>
      <c r="K2" s="27" t="str">
        <v>emilio_vicente_mateu</v>
      </c>
      <c r="L2" s="27" t="str">
        <v>fernando_viejo</v>
      </c>
      <c r="M2" s="27" t="str">
        <v>francisco_palazon</v>
      </c>
      <c r="N2" s="27" t="str">
        <v>hakuna</v>
      </c>
      <c r="O2" s="27" t="str">
        <v>hermana_glenda</v>
      </c>
      <c r="P2" s="27" t="str">
        <v>joaquin_madurga</v>
      </c>
      <c r="Q2" s="27" t="str">
        <v>josep_asuncion</v>
      </c>
      <c r="R2" s="27" t="str">
        <v>juan_antonio_espinosa</v>
      </c>
      <c r="S2" s="27" t="str">
        <v>juanjo_elezkano</v>
      </c>
      <c r="T2" s="27" t="str">
        <v>kairoi</v>
      </c>
      <c r="U2" s="27" t="str">
        <v>lazaro_iparraguirre</v>
      </c>
      <c r="V2" s="27" t="str">
        <v>luis_alfredo_diaz</v>
      </c>
      <c r="W2" s="27" t="str">
        <v>marcos_witt</v>
      </c>
      <c r="X2" s="27" t="str">
        <v>marta_gil-delgado</v>
      </c>
      <c r="Y2" s="27" t="str">
        <v>miguel_manzano</v>
      </c>
      <c r="Z2" s="27" t="str">
        <v>nsb</v>
      </c>
      <c r="AA2" s="27" t="str">
        <v>nuevas</v>
      </c>
      <c r="AB2" s="27" t="str">
        <v>pelayo_sanchez</v>
      </c>
      <c r="AC2" s="27" t="str">
        <v>perpetuo_socorro</v>
      </c>
      <c r="AD2" s="27" t="str">
        <v>ricardo_cantalapiedra</v>
      </c>
      <c r="AE2" s="27" t="str">
        <v>rosa_cruz</v>
      </c>
      <c r="AF2" s="27" t="str">
        <v>ruah</v>
      </c>
      <c r="AG2" s="27" t="str">
        <v>taize</v>
      </c>
      <c r="AH2" s="27" t="str">
        <v>toño_casado</v>
      </c>
      <c r="AI2" s="27" t="str">
        <v>villancicos</v>
      </c>
    </row>
    <row r="3" spans="1:35" x14ac:dyDescent="0.3">
      <c r="A3" s="31" t="s">
        <v>2950</v>
      </c>
      <c r="B3" s="30">
        <v>0</v>
      </c>
      <c r="C3" s="16"/>
      <c r="D3" s="17" t="str" cm="1">
        <f t="array" ref="D3:D117">IF($B$2=1,
_xlfn.CHOOSECOLS(_xlfn._xlws.FILTER(CantoralDB[],CantoralDB[Carpeta]=D2),IF($B$3=1,21,2)),
_xlfn.CHOOSECOLS(_xlfn._xlws.FILTER(CantoralDB[],(CantoralDB[Carpeta]=D2)*(CantoralDB[html]="OK")),IF($B$3=1,21,2)))</f>
        <v>Yo soy el que vive</v>
      </c>
      <c r="E3" s="17" t="str" cm="1">
        <f t="array" ref="E3:E5">IF($B$2=1,
_xlfn.CHOOSECOLS(_xlfn._xlws.FILTER(CantoralDB[],CantoralDB[Carpeta]=E2),IF($B$3=1,21,2)),
_xlfn.CHOOSECOLS(_xlfn._xlws.FILTER(CantoralDB[],(CantoralDB[Carpeta]=E2)*(CantoralDB[html]="OK")),IF($B$3=1,21,2)))</f>
        <v>Abbá, Padre</v>
      </c>
      <c r="F3" s="17" t="str" cm="1">
        <f t="array" ref="F3:F7">IF($B$2=1,
_xlfn.CHOOSECOLS(_xlfn._xlws.FILTER(CantoralDB[],CantoralDB[Carpeta]=F2),IF($B$3=1,21,2)),
_xlfn.CHOOSECOLS(_xlfn._xlws.FILTER(CantoralDB[],(CantoralDB[Carpeta]=F2)*(CantoralDB[html]="OK")),IF($B$3=1,21,2)))</f>
        <v>Como Jonás</v>
      </c>
      <c r="G3" s="17" t="str" cm="1">
        <f t="array" ref="G3:G8">IF($B$2=1,
_xlfn.CHOOSECOLS(_xlfn._xlws.FILTER(CantoralDB[],CantoralDB[Carpeta]=G2),IF($B$3=1,21,2)),
_xlfn.CHOOSECOLS(_xlfn._xlws.FILTER(CantoralDB[],(CantoralDB[Carpeta]=G2)*(CantoralDB[html]="OK")),IF($B$3=1,21,2)))</f>
        <v>De la Virgen ha nacido el Niño</v>
      </c>
      <c r="H3" s="17" t="str" cm="1">
        <f t="array" ref="H3:H38">IF($B$2=1,
_xlfn.CHOOSECOLS(_xlfn._xlws.FILTER(CantoralDB[],CantoralDB[Carpeta]=H2),IF($B$3=1,21,2)),
_xlfn.CHOOSECOLS(_xlfn._xlws.FILTER(CantoralDB[],(CantoralDB[Carpeta]=H2)*(CantoralDB[html]="OK")),IF($B$3=1,21,2)))</f>
        <v>Señor, mírame</v>
      </c>
      <c r="I3" s="17" t="str" cm="1">
        <f t="array" ref="I3:I39">IF($B$2=1,
_xlfn.CHOOSECOLS(_xlfn._xlws.FILTER(CantoralDB[],CantoralDB[Carpeta]=I2),IF($B$3=1,21,2)),
_xlfn.CHOOSECOLS(_xlfn._xlws.FILTER(CantoralDB[],(CantoralDB[Carpeta]=I2)*(CantoralDB[html]="OK")),IF($B$3=1,21,2)))</f>
        <v>Abre tu tienda al Señor</v>
      </c>
      <c r="J3" s="17" t="str" cm="1">
        <f t="array" ref="J3:J33">IF($B$2=1,
_xlfn.CHOOSECOLS(_xlfn._xlws.FILTER(CantoralDB[],CantoralDB[Carpeta]=J2),IF($B$3=1,21,2)),
_xlfn.CHOOSECOLS(_xlfn._xlws.FILTER(CantoralDB[],(CantoralDB[Carpeta]=J2)*(CantoralDB[html]="OK")),IF($B$3=1,21,2)))</f>
        <v>Al atardecer de la vida</v>
      </c>
      <c r="K3" s="17" t="str" cm="1">
        <f t="array" ref="K3:K11">IF($B$2=1,
_xlfn.CHOOSECOLS(_xlfn._xlws.FILTER(CantoralDB[],CantoralDB[Carpeta]=K2),IF($B$3=1,21,2)),
_xlfn.CHOOSECOLS(_xlfn._xlws.FILTER(CantoralDB[],(CantoralDB[Carpeta]=K2)*(CantoralDB[html]="OK")),IF($B$3=1,21,2)))</f>
        <v>Bienaventurados seremos, Señor</v>
      </c>
      <c r="L3" s="17" t="str" cm="1">
        <f t="array" ref="L3:L8">IF($B$2=1,
_xlfn.CHOOSECOLS(_xlfn._xlws.FILTER(CantoralDB[],CantoralDB[Carpeta]=L2),IF($B$3=1,21,2)),
_xlfn.CHOOSECOLS(_xlfn._xlws.FILTER(CantoralDB[],(CantoralDB[Carpeta]=L2)*(CantoralDB[html]="OK")),IF($B$3=1,21,2)))</f>
        <v>Creo en Dios y en su Palabra</v>
      </c>
      <c r="M3" s="17" t="str" cm="1">
        <f t="array" ref="M3:M85">IF($B$2=1,
_xlfn.CHOOSECOLS(_xlfn._xlws.FILTER(CantoralDB[],CantoralDB[Carpeta]=M2),IF($B$3=1,21,2)),
_xlfn.CHOOSECOLS(_xlfn._xlws.FILTER(CantoralDB[],(CantoralDB[Carpeta]=M2)*(CantoralDB[html]="OK")),IF($B$3=1,21,2)))</f>
        <v>Alrededor de tu mesa</v>
      </c>
      <c r="N3" s="17" t="str" cm="1">
        <f t="array" ref="N3:N96">IF($B$2=1,
_xlfn.CHOOSECOLS(_xlfn._xlws.FILTER(CantoralDB[],CantoralDB[Carpeta]=N2),IF($B$3=1,21,2)),
_xlfn.CHOOSECOLS(_xlfn._xlws.FILTER(CantoralDB[],(CantoralDB[Carpeta]=N2)*(CantoralDB[html]="OK")),IF($B$3=1,21,2)))</f>
        <v>Olor a tostadas</v>
      </c>
      <c r="O3" s="17" t="str" cm="1">
        <f t="array" ref="O3:O4">IF($B$2=1,
_xlfn.CHOOSECOLS(_xlfn._xlws.FILTER(CantoralDB[],CantoralDB[Carpeta]=O2),IF($B$3=1,21,2)),
_xlfn.CHOOSECOLS(_xlfn._xlws.FILTER(CantoralDB[],(CantoralDB[Carpeta]=O2)*(CantoralDB[html]="OK")),IF($B$3=1,21,2)))</f>
        <v>El Señor es mi pastor</v>
      </c>
      <c r="P3" s="17" t="str" cm="1">
        <f t="array" ref="P3:P11">IF($B$2=1,
_xlfn.CHOOSECOLS(_xlfn._xlws.FILTER(CantoralDB[],CantoralDB[Carpeta]=P2),IF($B$3=1,21,2)),
_xlfn.CHOOSECOLS(_xlfn._xlws.FILTER(CantoralDB[],(CantoralDB[Carpeta]=P2)*(CantoralDB[html]="OK")),IF($B$3=1,21,2)))</f>
        <v>Al ver Jesús</v>
      </c>
      <c r="Q3" s="17" t="str" cm="1">
        <f t="array" ref="Q3:Q4">IF($B$2=1,
_xlfn.CHOOSECOLS(_xlfn._xlws.FILTER(CantoralDB[],CantoralDB[Carpeta]=Q2),IF($B$3=1,21,2)),
_xlfn.CHOOSECOLS(_xlfn._xlws.FILTER(CantoralDB[],(CantoralDB[Carpeta]=Q2)*(CantoralDB[html]="OK")),IF($B$3=1,21,2)))</f>
        <v>Adoraré tu cuerpo herido</v>
      </c>
      <c r="R3" s="17" t="str" cm="1">
        <f t="array" ref="R3:R33">IF($B$2=1,
_xlfn.CHOOSECOLS(_xlfn._xlws.FILTER(CantoralDB[],CantoralDB[Carpeta]=R2),IF($B$3=1,21,2)),
_xlfn.CHOOSECOLS(_xlfn._xlws.FILTER(CantoralDB[],(CantoralDB[Carpeta]=R2)*(CantoralDB[html]="OK")),IF($B$3=1,21,2)))</f>
        <v>A Dios den gracias los pueblos</v>
      </c>
      <c r="S3" s="17" t="str" cm="1">
        <f t="array" ref="S3:S6">IF($B$2=1,
_xlfn.CHOOSECOLS(_xlfn._xlws.FILTER(CantoralDB[],CantoralDB[Carpeta]=S2),IF($B$3=1,21,2)),
_xlfn.CHOOSECOLS(_xlfn._xlws.FILTER(CantoralDB[],(CantoralDB[Carpeta]=S2)*(CantoralDB[html]="OK")),IF($B$3=1,21,2)))</f>
        <v>A la fiesta del Señor</v>
      </c>
      <c r="T3" s="17" t="str" cm="1">
        <f t="array" ref="T3:T146">IF($B$2=1,
_xlfn.CHOOSECOLS(_xlfn._xlws.FILTER(CantoralDB[],CantoralDB[Carpeta]=T2),IF($B$3=1,21,2)),
_xlfn.CHOOSECOLS(_xlfn._xlws.FILTER(CantoralDB[],(CantoralDB[Carpeta]=T2)*(CantoralDB[html]="OK")),IF($B$3=1,21,2)))</f>
        <v>La bondad y el amor del Señor</v>
      </c>
      <c r="U3" s="17" t="str" cm="1">
        <f t="array" ref="U3">IF($B$2=1,
_xlfn.CHOOSECOLS(_xlfn._xlws.FILTER(CantoralDB[],CantoralDB[Carpeta]=U2),IF($B$3=1,21,2)),
_xlfn.CHOOSECOLS(_xlfn._xlws.FILTER(CantoralDB[],(CantoralDB[Carpeta]=U2)*(CantoralDB[html]="OK")),IF($B$3=1,21,2)))</f>
        <v>Caminaremos</v>
      </c>
      <c r="V3" s="17" t="str" cm="1">
        <f t="array" ref="V3:V7">IF($B$2=1,
_xlfn.CHOOSECOLS(_xlfn._xlws.FILTER(CantoralDB[],CantoralDB[Carpeta]=V2),IF($B$3=1,21,2)),
_xlfn.CHOOSECOLS(_xlfn._xlws.FILTER(CantoralDB[],(CantoralDB[Carpeta]=V2)*(CantoralDB[html]="OK")),IF($B$3=1,21,2)))</f>
        <v>Compartir</v>
      </c>
      <c r="W3" s="17" t="e" cm="1" vm="1">
        <f t="array" ref="W3">IF($B$2=1,
_xlfn.CHOOSECOLS(_xlfn._xlws.FILTER(CantoralDB[],CantoralDB[Carpeta]=W2),IF($B$3=1,21,2)),
_xlfn.CHOOSECOLS(_xlfn._xlws.FILTER(CantoralDB[],(CantoralDB[Carpeta]=W2)*(CantoralDB[html]="OK")),IF($B$3=1,21,2)))</f>
        <v>#VALUE!</v>
      </c>
      <c r="X3" s="17" t="e" cm="1" vm="1">
        <f t="array" ref="X3">IF($B$2=1,
_xlfn.CHOOSECOLS(_xlfn._xlws.FILTER(CantoralDB[],CantoralDB[Carpeta]=X2),IF($B$3=1,21,2)),
_xlfn.CHOOSECOLS(_xlfn._xlws.FILTER(CantoralDB[],(CantoralDB[Carpeta]=X2)*(CantoralDB[html]="OK")),IF($B$3=1,21,2)))</f>
        <v>#VALUE!</v>
      </c>
      <c r="Y3" s="17" t="str" cm="1">
        <f t="array" ref="Y3:Y17">IF($B$2=1,
_xlfn.CHOOSECOLS(_xlfn._xlws.FILTER(CantoralDB[],CantoralDB[Carpeta]=Y2),IF($B$3=1,21,2)),
_xlfn.CHOOSECOLS(_xlfn._xlws.FILTER(CantoralDB[],(CantoralDB[Carpeta]=Y2)*(CantoralDB[html]="OK")),IF($B$3=1,21,2)))</f>
        <v>A Belén se va y se viene</v>
      </c>
      <c r="Z3" s="17" t="str" cm="1">
        <f t="array" ref="Z3:Z174">IF($B$2=1,
_xlfn.CHOOSECOLS(_xlfn._xlws.FILTER(CantoralDB[],CantoralDB[Carpeta]=Z2),IF($B$3=1,21,2)),
_xlfn.CHOOSECOLS(_xlfn._xlws.FILTER(CantoralDB[],(CantoralDB[Carpeta]=Z2)*(CantoralDB[html]="OK")),IF($B$3=1,21,2)))</f>
        <v>El Señor Dios nos amó</v>
      </c>
      <c r="AA3" s="17" t="str" cm="1">
        <f t="array" ref="AA3:AA36">IF($B$2=1,
_xlfn.CHOOSECOLS(_xlfn._xlws.FILTER(CantoralDB[],CantoralDB[Carpeta]=AA2),IF($B$3=1,21,2)),
_xlfn.CHOOSECOLS(_xlfn._xlws.FILTER(CantoralDB[],(CantoralDB[Carpeta]=AA2)*(CantoralDB[html]="OK")),IF($B$3=1,21,2)))</f>
        <v>En los brazos de una virgen</v>
      </c>
      <c r="AB3" s="17" t="str" cm="1">
        <f t="array" ref="AB3:AB6">IF($B$2=1,
_xlfn.CHOOSECOLS(_xlfn._xlws.FILTER(CantoralDB[],CantoralDB[Carpeta]=AB2),IF($B$3=1,21,2)),
_xlfn.CHOOSECOLS(_xlfn._xlws.FILTER(CantoralDB[],(CantoralDB[Carpeta]=AB2)*(CantoralDB[html]="OK")),IF($B$3=1,21,2)))</f>
        <v>Abro mi ser</v>
      </c>
      <c r="AC3" s="17" t="str" cm="1">
        <f t="array" ref="AC3:AC7">IF($B$2=1,
_xlfn.CHOOSECOLS(_xlfn._xlws.FILTER(CantoralDB[],CantoralDB[Carpeta]=AC2),IF($B$3=1,21,2)),
_xlfn.CHOOSECOLS(_xlfn._xlws.FILTER(CantoralDB[],(CantoralDB[Carpeta]=AC2)*(CantoralDB[html]="OK")),IF($B$3=1,21,2)))</f>
        <v>Abrid de par en par</v>
      </c>
      <c r="AD3" s="17" t="str" cm="1">
        <f t="array" ref="AD3:AD12">IF($B$2=1,
_xlfn.CHOOSECOLS(_xlfn._xlws.FILTER(CantoralDB[],CantoralDB[Carpeta]=AD2),IF($B$3=1,21,2)),
_xlfn.CHOOSECOLS(_xlfn._xlws.FILTER(CantoralDB[],(CantoralDB[Carpeta]=AD2)*(CantoralDB[html]="OK")),IF($B$3=1,21,2)))</f>
        <v>Con su muerte nos justificará</v>
      </c>
      <c r="AE3" s="17" t="e" cm="1" vm="1">
        <f t="array" ref="AE3">IF($B$2=1,
_xlfn.CHOOSECOLS(_xlfn._xlws.FILTER(CantoralDB[],CantoralDB[Carpeta]=AE2),IF($B$3=1,21,2)),
_xlfn.CHOOSECOLS(_xlfn._xlws.FILTER(CantoralDB[],(CantoralDB[Carpeta]=AE2)*(CantoralDB[html]="OK")),IF($B$3=1,21,2)))</f>
        <v>#VALUE!</v>
      </c>
      <c r="AF3" s="17" t="str" cm="1">
        <f t="array" ref="AF3:AF52">IF($B$2=1,
_xlfn.CHOOSECOLS(_xlfn._xlws.FILTER(CantoralDB[],CantoralDB[Carpeta]=AF2),IF($B$3=1,21,2)),
_xlfn.CHOOSECOLS(_xlfn._xlws.FILTER(CantoralDB[],(CantoralDB[Carpeta]=AF2)*(CantoralDB[html]="OK")),IF($B$3=1,21,2)))</f>
        <v>Adéntrate</v>
      </c>
      <c r="AG3" s="17" t="str" cm="1">
        <f t="array" ref="AG3:AG166">IF($B$2=1,
_xlfn.CHOOSECOLS(_xlfn._xlws.FILTER(CantoralDB[],CantoralDB[Carpeta]=AG2),IF($B$3=1,21,2)),
_xlfn.CHOOSECOLS(_xlfn._xlws.FILTER(CantoralDB[],(CantoralDB[Carpeta]=AG2)*(CantoralDB[html]="OK")),IF($B$3=1,21,2)))</f>
        <v>Cristo ha resucitado</v>
      </c>
      <c r="AH3" s="17" t="str" cm="1">
        <f t="array" ref="AH3:AH46">IF($B$2=1,
_xlfn.CHOOSECOLS(_xlfn._xlws.FILTER(CantoralDB[],CantoralDB[Carpeta]=AH2),IF($B$3=1,21,2)),
_xlfn.CHOOSECOLS(_xlfn._xlws.FILTER(CantoralDB[],(CantoralDB[Carpeta]=AH2)*(CantoralDB[html]="OK")),IF($B$3=1,21,2)))</f>
        <v>Ven a la fiesta</v>
      </c>
      <c r="AI3" s="17" t="str" cm="1">
        <f t="array" ref="AI3:AI21">IF($B$2=1,
_xlfn.CHOOSECOLS(_xlfn._xlws.FILTER(CantoralDB[],CantoralDB[Carpeta]=AI2),IF($B$3=1,21,2)),
_xlfn.CHOOSECOLS(_xlfn._xlws.FILTER(CantoralDB[],(CantoralDB[Carpeta]=AI2)*(CantoralDB[html]="OK")),IF($B$3=1,21,2)))</f>
        <v>Campana sobre campana</v>
      </c>
    </row>
    <row r="4" spans="1:35" x14ac:dyDescent="0.3">
      <c r="D4" t="str">
        <v>Que se alegren tus entrañas</v>
      </c>
      <c r="E4" t="str">
        <v>Tú rompes cadenas</v>
      </c>
      <c r="F4" t="str">
        <v>Padre, me pongo en tu regazo</v>
      </c>
      <c r="G4" t="str">
        <v>Lo que hemos visto y oído</v>
      </c>
      <c r="H4" t="str">
        <v>Ten piedad</v>
      </c>
      <c r="I4" t="str">
        <v>Aleluya, es la fiesta del Señor</v>
      </c>
      <c r="J4" t="str">
        <v>Alelu-aleluya</v>
      </c>
      <c r="K4" t="str">
        <v>Cantemos todos la Navidad</v>
      </c>
      <c r="L4" t="str">
        <v>Hasta cuándo, Señor</v>
      </c>
      <c r="M4" t="str">
        <v>Señor, ten piedad (Alrededor de tu mesa)</v>
      </c>
      <c r="N4" t="str">
        <v>Baila y déjate de historias</v>
      </c>
      <c r="O4" t="str">
        <v>Ahí tienes a tu madre</v>
      </c>
      <c r="P4" t="str">
        <v>Andando por el camino</v>
      </c>
      <c r="Q4" t="str">
        <v>Ven y descánsate</v>
      </c>
      <c r="R4" t="str">
        <v>Alegre la mañana</v>
      </c>
      <c r="S4" t="str">
        <v>Necesitamos comer tu Pan</v>
      </c>
      <c r="T4" t="str">
        <v>Vamos hacia ti (gloria a Dios)</v>
      </c>
      <c r="V4" t="str">
        <v>No adoréis a nadie</v>
      </c>
      <c r="Y4" t="str">
        <v>Aclama al Señor, tierra entera</v>
      </c>
      <c r="Z4" t="str">
        <v>En el Señor estamos congregados</v>
      </c>
      <c r="AA4" t="str">
        <v>Es María la blanca paloma</v>
      </c>
      <c r="AB4" t="str">
        <v>Bendigamos al Señor</v>
      </c>
      <c r="AC4" t="str">
        <v>Amarás al Señor tu Dios</v>
      </c>
      <c r="AD4" t="str">
        <v>Cómo le cantaré al Señor</v>
      </c>
      <c r="AF4" t="str">
        <v>Pedid y se os dará</v>
      </c>
      <c r="AG4" t="str">
        <v>O Christe Domine Jesu</v>
      </c>
      <c r="AH4" t="str">
        <v>Señor, ten piedad I</v>
      </c>
      <c r="AI4" t="str">
        <v>Danos paz</v>
      </c>
    </row>
    <row r="5" spans="1:35" x14ac:dyDescent="0.3">
      <c r="D5" t="str">
        <v>Palabra</v>
      </c>
      <c r="E5" t="str">
        <v>Arranca de mi pecho</v>
      </c>
      <c r="F5" t="str">
        <v>Por la paz no callaré</v>
      </c>
      <c r="G5" t="str">
        <v>Nos has llamado al desierto</v>
      </c>
      <c r="H5" t="str">
        <v>He oído tu voz</v>
      </c>
      <c r="I5" t="str">
        <v>Ante ti, Señor</v>
      </c>
      <c r="J5" t="str">
        <v>Caminando voy</v>
      </c>
      <c r="K5" t="str">
        <v>El Señor nos ha nacido en Belén</v>
      </c>
      <c r="L5" t="str">
        <v>Padre nuestro, que estás en la tierra</v>
      </c>
      <c r="M5" t="str">
        <v>Gloria a Dios en el cielo</v>
      </c>
      <c r="N5" t="str">
        <v>Ojalá</v>
      </c>
      <c r="P5" t="str">
        <v>Comiendo del mismo pan</v>
      </c>
      <c r="R5" t="str">
        <v>Caminamos hacia el sol</v>
      </c>
      <c r="S5" t="str">
        <v>Venimos a escuchar tu voz</v>
      </c>
      <c r="T5" t="str">
        <v>Quédate aquí, Señor</v>
      </c>
      <c r="V5" t="str">
        <v>Qué te puedo dar</v>
      </c>
      <c r="Y5" t="str">
        <v>Aleluya, el Señor es nuestro Rey</v>
      </c>
      <c r="Z5" t="str">
        <v>En el mar he oído hoy</v>
      </c>
      <c r="AA5" t="str">
        <v>Alma de Cristo</v>
      </c>
      <c r="AB5" t="str">
        <v>Fuente de paz y fidelidad</v>
      </c>
      <c r="AC5" t="str">
        <v>Padre, únenos</v>
      </c>
      <c r="AD5" t="str">
        <v>Donde hay amor allí está Dios</v>
      </c>
      <c r="AF5" t="str">
        <v>Cada mañana</v>
      </c>
      <c r="AG5" t="str">
        <v>La misericordia del Señor</v>
      </c>
      <c r="AH5" t="str">
        <v>Gloria, gloria a Dios</v>
      </c>
      <c r="AI5" t="str">
        <v>Dime, niño</v>
      </c>
    </row>
    <row r="6" spans="1:35" x14ac:dyDescent="0.3">
      <c r="D6" t="str">
        <v>Atraviesas</v>
      </c>
      <c r="F6" t="str">
        <v>Santa María, servidora</v>
      </c>
      <c r="G6" t="str">
        <v>Peregrinos de la paz y la alegría</v>
      </c>
      <c r="H6" t="str">
        <v>Pan y vino de amor</v>
      </c>
      <c r="I6" t="str">
        <v>Con nosotros está el Señor</v>
      </c>
      <c r="J6" t="str">
        <v>Cuando rezamos, cuando cantamos</v>
      </c>
      <c r="K6" t="str">
        <v>Los magos vienen de Oriente</v>
      </c>
      <c r="L6" t="str">
        <v>Piedad, Señor, piedad</v>
      </c>
      <c r="M6" t="str">
        <v>Acabamos de oír tu palabra</v>
      </c>
      <c r="N6" t="str">
        <v>Cuarto lugar</v>
      </c>
      <c r="P6" t="str">
        <v>Donde hay caridad y amor</v>
      </c>
      <c r="R6" t="str">
        <v>Caminaré en presencia del Señor</v>
      </c>
      <c r="S6" t="str">
        <v>Comeremos de la mesa</v>
      </c>
      <c r="T6" t="str">
        <v>Padre, vuelvo a ti</v>
      </c>
      <c r="V6" t="str">
        <v>Tan cerca de mí</v>
      </c>
      <c r="Y6" t="str">
        <v>A ti levanto mis ojos</v>
      </c>
      <c r="Z6" t="str">
        <v>Hoy empieza una nueva era</v>
      </c>
      <c r="AA6" t="str">
        <v>Vamos, amigos</v>
      </c>
      <c r="AB6" t="str">
        <v>Te damos gracias, Señor</v>
      </c>
      <c r="AC6" t="str">
        <v>Señor, guíame por el sendero</v>
      </c>
      <c r="AD6" t="str">
        <v>No queremos a los grandes palabreros</v>
      </c>
      <c r="AF6" t="str">
        <v>Fija en ti</v>
      </c>
      <c r="AG6" t="str">
        <v>Tú, Cristo, oh, Jesucristo</v>
      </c>
      <c r="AH6" t="str">
        <v>Que tu palabra nos cambie el corazón</v>
      </c>
      <c r="AI6" t="str">
        <v>El tamborilero</v>
      </c>
    </row>
    <row r="7" spans="1:35" x14ac:dyDescent="0.3">
      <c r="D7" t="str">
        <v>Los incontables</v>
      </c>
      <c r="F7" t="str">
        <v>Yo soy la luz del mundo</v>
      </c>
      <c r="G7" t="str">
        <v>Qué tendrá lo pequeño</v>
      </c>
      <c r="H7" t="str">
        <v>Santo</v>
      </c>
      <c r="I7" t="str">
        <v>Compartir junto al Señor</v>
      </c>
      <c r="J7" t="str">
        <v>En el trabajo de cada día</v>
      </c>
      <c r="K7" t="str">
        <v>Somos un pueblo que camina</v>
      </c>
      <c r="L7" t="str">
        <v>Qué detalle, Señor</v>
      </c>
      <c r="M7" t="str">
        <v>Bendito seas, Señor</v>
      </c>
      <c r="N7" t="str">
        <v>Capricho</v>
      </c>
      <c r="P7" t="str">
        <v>Esta es tu fiesta</v>
      </c>
      <c r="R7" t="str">
        <v>Dad gracias al Señor porque es bueno</v>
      </c>
      <c r="T7" t="str">
        <v>María, la madre buena</v>
      </c>
      <c r="V7" t="str">
        <v>Una tarde en la playa</v>
      </c>
      <c r="Y7" t="str">
        <v>Alma mía, recobra tu calma</v>
      </c>
      <c r="Z7" t="str">
        <v>No vayáis a la fiesta</v>
      </c>
      <c r="AA7" t="str">
        <v>Evenu shalom alejem</v>
      </c>
      <c r="AC7" t="str">
        <v>Todavía cantamos</v>
      </c>
      <c r="AD7" t="str">
        <v>Oh, Dios, por qué nos has abandonado</v>
      </c>
      <c r="AF7" t="str">
        <v>Tú y no yo</v>
      </c>
      <c r="AG7" t="str">
        <v>Donde hay amor</v>
      </c>
      <c r="AH7" t="str">
        <v>Aleluya I</v>
      </c>
      <c r="AI7" t="str">
        <v>Noche de Dios</v>
      </c>
    </row>
    <row r="8" spans="1:35" x14ac:dyDescent="0.3">
      <c r="D8" t="str">
        <v>He venido a servir</v>
      </c>
      <c r="G8" t="str">
        <v>Ven, Señor, a nuestra vida</v>
      </c>
      <c r="H8" t="str">
        <v>Padre nuestro</v>
      </c>
      <c r="I8" t="str">
        <v>Cerca está el Señor</v>
      </c>
      <c r="J8" t="str">
        <v>Eres mi riqueza</v>
      </c>
      <c r="K8" t="str">
        <v>Siempre unidos, mano a mano</v>
      </c>
      <c r="L8" t="str">
        <v>Como era Pedro</v>
      </c>
      <c r="M8" t="str">
        <v>Santo (Palazón)</v>
      </c>
      <c r="N8" t="str">
        <v>Pluma de escribano</v>
      </c>
      <c r="P8" t="str">
        <v>Unidos en la fiesta</v>
      </c>
      <c r="R8" t="str">
        <v>Danos un corazón</v>
      </c>
      <c r="T8" t="str">
        <v>El Señor os dará su Espíritu Santo</v>
      </c>
      <c r="Y8" t="str">
        <v>Con vosotros está</v>
      </c>
      <c r="Z8" t="str">
        <v>Oh, Señor, mueve mi espíritu</v>
      </c>
      <c r="AA8" t="str">
        <v>Contigo me la juego</v>
      </c>
      <c r="AD8" t="str">
        <v>Os doy un mandato nuevo</v>
      </c>
      <c r="AF8" t="str">
        <v>Tú me sondeas</v>
      </c>
      <c r="AG8" t="str">
        <v>Magnificat (canon)</v>
      </c>
      <c r="AH8" t="str">
        <v>Junto al vino y al pan</v>
      </c>
      <c r="AI8" t="str">
        <v>Venid, fieles todos (adeste fideles)</v>
      </c>
    </row>
    <row r="9" spans="1:35" x14ac:dyDescent="0.3">
      <c r="D9" t="str">
        <v>Palabra encarnada</v>
      </c>
      <c r="H9" t="str">
        <v>Ven junto a mí</v>
      </c>
      <c r="I9" t="str">
        <v>Cristo fue sincero</v>
      </c>
      <c r="J9" t="str">
        <v>Esperando, esperando</v>
      </c>
      <c r="K9" t="str">
        <v>Tiempo de espera</v>
      </c>
      <c r="M9" t="str">
        <v>Anunciamos tu muerte</v>
      </c>
      <c r="N9" t="str">
        <v>Nacidos de lo alto</v>
      </c>
      <c r="P9" t="str">
        <v>Vamos buscando la verdad</v>
      </c>
      <c r="R9" t="str">
        <v>Dolorosa</v>
      </c>
      <c r="T9" t="str">
        <v>Aleluya (Junto a ti, Jesús)</v>
      </c>
      <c r="Y9" t="str">
        <v>Cuándo vendrás, Señor</v>
      </c>
      <c r="Z9" t="str">
        <v>Paz, Señor, en el cielo y la tierra</v>
      </c>
      <c r="AA9" t="str">
        <v>Todo es tuyo</v>
      </c>
      <c r="AD9" t="str">
        <v>Protégeme, Dios mío</v>
      </c>
      <c r="AF9" t="str">
        <v>Ten compasión</v>
      </c>
      <c r="AG9" t="str">
        <v>Llénanos, Señor, de tu paz</v>
      </c>
      <c r="AH9" t="str">
        <v>Santo (Están llenos de tu amor)</v>
      </c>
      <c r="AI9" t="str">
        <v>Arre, borriquito</v>
      </c>
    </row>
    <row r="10" spans="1:35" x14ac:dyDescent="0.3">
      <c r="D10" t="str">
        <v>La mujer cananea</v>
      </c>
      <c r="H10" t="str">
        <v>Nadie contestó</v>
      </c>
      <c r="I10" t="str">
        <v>Cristo se entregó por nosotros</v>
      </c>
      <c r="J10" t="str">
        <v>Iglesia soy</v>
      </c>
      <c r="K10" t="str">
        <v>Vendrá la libertad</v>
      </c>
      <c r="M10" t="str">
        <v>Padre nuestro</v>
      </c>
      <c r="N10" t="str">
        <v>Por qué lloras</v>
      </c>
      <c r="P10" t="str">
        <v>El Señor resucitó</v>
      </c>
      <c r="R10" t="str">
        <v>En la comida que Cristo nos da</v>
      </c>
      <c r="T10" t="str">
        <v>A tu lado, Señor</v>
      </c>
      <c r="Y10" t="str">
        <v>Cuando el pobre nada tiene</v>
      </c>
      <c r="Z10" t="str">
        <v>Por los hombres</v>
      </c>
      <c r="AA10" t="str">
        <v>Acaso no estoy yo aquí que soy tu madre</v>
      </c>
      <c r="AD10" t="str">
        <v>Pueblo mío</v>
      </c>
      <c r="AF10" t="str">
        <v>A fuego</v>
      </c>
      <c r="AG10" t="str">
        <v>Que todo el mundo alabe</v>
      </c>
      <c r="AH10" t="str">
        <v>Traerás la paz</v>
      </c>
      <c r="AI10" t="str">
        <v>La marimorena</v>
      </c>
    </row>
    <row r="11" spans="1:35" x14ac:dyDescent="0.3">
      <c r="D11" t="str">
        <v>El siervo</v>
      </c>
      <c r="H11" t="str">
        <v>Tras las huellas del Padre</v>
      </c>
      <c r="I11" t="str">
        <v>Cristo es la imagen de Dios</v>
      </c>
      <c r="J11" t="str">
        <v>Juntos como hermanos</v>
      </c>
      <c r="K11" t="str">
        <v>Amar es darse</v>
      </c>
      <c r="M11" t="str">
        <v>Cordero de Dios</v>
      </c>
      <c r="N11" t="str">
        <v>Entre anestesias</v>
      </c>
      <c r="P11" t="str">
        <v>Aleluya, ha nacido el salvador</v>
      </c>
      <c r="R11" t="str">
        <v>El Señor es mi fuerza</v>
      </c>
      <c r="T11" t="str">
        <v>Canto de María</v>
      </c>
      <c r="Y11" t="str">
        <v>Desde lo hondo</v>
      </c>
      <c r="Z11" t="str">
        <v>Se acerca tu Navidad</v>
      </c>
      <c r="AA11" t="str">
        <v>Shalom, te doy la paz</v>
      </c>
      <c r="AD11" t="str">
        <v>Te ensalzaré, Señor</v>
      </c>
      <c r="AF11" t="str">
        <v>Aprendiendo</v>
      </c>
      <c r="AG11" t="str">
        <v>Alégrense el Cielo y la Tierra</v>
      </c>
      <c r="AH11" t="str">
        <v>Da la paz al mundo</v>
      </c>
      <c r="AI11" t="str">
        <v>La mula</v>
      </c>
    </row>
    <row r="12" spans="1:35" x14ac:dyDescent="0.3">
      <c r="D12" t="str">
        <v>La moneda perdida</v>
      </c>
      <c r="H12" t="str">
        <v>Tierra</v>
      </c>
      <c r="I12" t="str">
        <v>Cristo por nosotros</v>
      </c>
      <c r="J12" t="str">
        <v>Ojalá escuchemos hoy su voz</v>
      </c>
      <c r="M12" t="str">
        <v>Acerquémonos todos al altar</v>
      </c>
      <c r="N12" t="str">
        <v>Dime, Padre</v>
      </c>
      <c r="R12" t="str">
        <v>Errante voy</v>
      </c>
      <c r="T12" t="str">
        <v>Tú, Jesús</v>
      </c>
      <c r="Y12" t="str">
        <v>El pueblo gime en el dolor</v>
      </c>
      <c r="Z12" t="str">
        <v>Shalom haberim</v>
      </c>
      <c r="AA12" t="str">
        <v>Sálvame</v>
      </c>
      <c r="AD12" t="str">
        <v>Yo volveré a cantar</v>
      </c>
      <c r="AF12" t="str">
        <v>Alianza</v>
      </c>
      <c r="AG12" t="str">
        <v>Bendecid al Señor</v>
      </c>
      <c r="AH12" t="str">
        <v>Padre nuestro, padre nuestro</v>
      </c>
      <c r="AI12" t="str">
        <v>Los peces en el río</v>
      </c>
    </row>
    <row r="13" spans="1:35" x14ac:dyDescent="0.3">
      <c r="D13" t="str">
        <v>Señor mío y Dios mío</v>
      </c>
      <c r="H13" t="str">
        <v>Todos juntos</v>
      </c>
      <c r="I13" t="str">
        <v>Cristo nos da la libertad</v>
      </c>
      <c r="J13" t="str">
        <v>Sois la semilla</v>
      </c>
      <c r="M13" t="str">
        <v>Anunciando tu venida</v>
      </c>
      <c r="N13" t="str">
        <v>Exulte mi alma</v>
      </c>
      <c r="R13" t="str">
        <v>Escucha nuestros gritos en la noche</v>
      </c>
      <c r="T13" t="str">
        <v>Confianza en Dios</v>
      </c>
      <c r="Y13" t="str">
        <v>Este es el día en que actuó el Señor</v>
      </c>
      <c r="Z13" t="str">
        <v>Si Dios a su mesa nos quiere sentar</v>
      </c>
      <c r="AA13" t="str">
        <v>Al que está sentado en el trono y al cordero</v>
      </c>
      <c r="AF13" t="str">
        <v>Gracias</v>
      </c>
      <c r="AG13" t="str">
        <v>Cristo está vivo</v>
      </c>
      <c r="AH13" t="str">
        <v>Jesús, ven tú</v>
      </c>
      <c r="AI13" t="str">
        <v>Ya vienen los Reyes Magos</v>
      </c>
    </row>
    <row r="14" spans="1:35" x14ac:dyDescent="0.3">
      <c r="D14" t="str">
        <v>Dame una palabra</v>
      </c>
      <c r="H14" t="str">
        <v>Allanad los caminos</v>
      </c>
      <c r="I14" t="str">
        <v>Cuántos años han de pasar</v>
      </c>
      <c r="J14" t="str">
        <v>Tú nos dijiste que la muerte</v>
      </c>
      <c r="M14" t="str">
        <v>Junto a los canales de Babilonia</v>
      </c>
      <c r="N14" t="str">
        <v>Un sitio</v>
      </c>
      <c r="R14" t="str">
        <v>Este es el día del Señor</v>
      </c>
      <c r="T14" t="str">
        <v>En la esperanza, Madre</v>
      </c>
      <c r="Y14" t="str">
        <v>Mirad al suelo</v>
      </c>
      <c r="Z14" t="str">
        <v>Tengo que gritar</v>
      </c>
      <c r="AA14" t="str">
        <v>Aleluya, demos gracias</v>
      </c>
      <c r="AF14" t="str">
        <v>Dios de la Historia</v>
      </c>
      <c r="AG14" t="str">
        <v>Dios, que nos ama</v>
      </c>
      <c r="AH14" t="str">
        <v>María, María</v>
      </c>
      <c r="AI14" t="str">
        <v>Alegría, alegría, alegría</v>
      </c>
    </row>
    <row r="15" spans="1:35" x14ac:dyDescent="0.3">
      <c r="D15" t="str">
        <v>Somos del Señor</v>
      </c>
      <c r="H15" t="str">
        <v>Las bodas de Caná</v>
      </c>
      <c r="I15" t="str">
        <v>Dios te salve, María</v>
      </c>
      <c r="J15" t="str">
        <v>Todos unidos</v>
      </c>
      <c r="M15" t="str">
        <v>Dichoso quien se acuerda del hermano</v>
      </c>
      <c r="N15" t="str">
        <v>El arte de vivir</v>
      </c>
      <c r="R15" t="str">
        <v>Feliz el hombre</v>
      </c>
      <c r="T15" t="str">
        <v>Con sencillo corazón</v>
      </c>
      <c r="Y15" t="str">
        <v>Qué alegría cuando me dijeron</v>
      </c>
      <c r="Z15" t="str">
        <v>Traemos a tu altar</v>
      </c>
      <c r="AA15" t="str">
        <v>Con mis manos alzadas</v>
      </c>
      <c r="AF15" t="str">
        <v>Para estar contigo</v>
      </c>
      <c r="AG15" t="str">
        <v>Jesús, acuérdate de mí</v>
      </c>
      <c r="AH15" t="str">
        <v>Bienvenidos</v>
      </c>
      <c r="AI15" t="str">
        <v>Noche de paz</v>
      </c>
    </row>
    <row r="16" spans="1:35" x14ac:dyDescent="0.3">
      <c r="D16" t="str">
        <v>Fuertes, humildes y diligentes</v>
      </c>
      <c r="H16" t="str">
        <v>El soplo de Dios</v>
      </c>
      <c r="I16" t="str">
        <v>Dios te salve, María, llena eres de gracia</v>
      </c>
      <c r="J16" t="str">
        <v>Una espiga dorada</v>
      </c>
      <c r="M16" t="str">
        <v>Señor, escucha mi oración</v>
      </c>
      <c r="N16" t="str">
        <v>Mi amado</v>
      </c>
      <c r="R16" t="str">
        <v>Hoy, Señor, te damos gracias</v>
      </c>
      <c r="T16" t="str">
        <v>Fraternidad</v>
      </c>
      <c r="Y16" t="str">
        <v>Tu Reino es vida</v>
      </c>
      <c r="Z16" t="str">
        <v>Un nuevo sitio disponed</v>
      </c>
      <c r="AA16" t="str">
        <v>Santo (Gen Rosso)</v>
      </c>
      <c r="AF16" t="str">
        <v>No lo notáis</v>
      </c>
      <c r="AG16" t="str">
        <v>Júbilo en el cielo (canon)</v>
      </c>
      <c r="AH16" t="str">
        <v>Señor, ten piedad II</v>
      </c>
      <c r="AI16" t="str">
        <v>Ay, del chiquirritín</v>
      </c>
    </row>
    <row r="17" spans="4:35" x14ac:dyDescent="0.3">
      <c r="D17" t="str">
        <v>Ain Karem</v>
      </c>
      <c r="H17" t="str">
        <v>El agua viva</v>
      </c>
      <c r="I17" t="str">
        <v>Escucha tú la Palabra de Dios</v>
      </c>
      <c r="J17" t="str">
        <v>Una nueva vida</v>
      </c>
      <c r="M17" t="str">
        <v>Es bueno dar gracias al Señor</v>
      </c>
      <c r="N17" t="str">
        <v>La fila</v>
      </c>
      <c r="R17" t="str">
        <v>Madre de todos los hombres</v>
      </c>
      <c r="T17" t="str">
        <v>Mantas de cartón</v>
      </c>
      <c r="Y17" t="str">
        <v>Cordero de Dios (Manzano)</v>
      </c>
      <c r="Z17" t="str">
        <v>Gloria y alabanza</v>
      </c>
      <c r="AA17" t="str">
        <v>Tierra firme (Getsemaní)</v>
      </c>
      <c r="AF17" t="str">
        <v>Mírame</v>
      </c>
      <c r="AG17" t="str">
        <v>Mas tú sabes que senda es para mí</v>
      </c>
      <c r="AH17" t="str">
        <v>Gloria (por pintar amaneceres)</v>
      </c>
      <c r="AI17" t="str">
        <v>Nace el niño en un portal</v>
      </c>
    </row>
    <row r="18" spans="4:35" x14ac:dyDescent="0.3">
      <c r="D18" t="str">
        <v>Te basta mi gracia</v>
      </c>
      <c r="H18" t="str">
        <v>El pan de vida</v>
      </c>
      <c r="I18" t="str">
        <v>Gracias, Señor, por tu Palabra</v>
      </c>
      <c r="J18" t="str">
        <v>Vienen con alegría</v>
      </c>
      <c r="M18" t="str">
        <v>El cielo proclama la gloria de Dios</v>
      </c>
      <c r="N18" t="str">
        <v>Loco</v>
      </c>
      <c r="R18" t="str">
        <v>Santa María del Camino</v>
      </c>
      <c r="T18" t="str">
        <v>Soñar un mundo más feliz</v>
      </c>
      <c r="Z18" t="str">
        <v>El tren del Evangelio</v>
      </c>
      <c r="AA18" t="str">
        <v>Brilla, Jesús</v>
      </c>
      <c r="AF18" t="str">
        <v>Suelta el timón</v>
      </c>
      <c r="AG18" t="str">
        <v>Oh, Padre, entre tus manos</v>
      </c>
      <c r="AH18" t="str">
        <v>Tu palabra se hace vida</v>
      </c>
      <c r="AI18" t="str">
        <v>Nunca suenan las campanas</v>
      </c>
    </row>
    <row r="19" spans="4:35" x14ac:dyDescent="0.3">
      <c r="D19" t="str">
        <v>Poneos en pie</v>
      </c>
      <c r="H19" t="str">
        <v>Quién tirará la primera piedra</v>
      </c>
      <c r="I19" t="str">
        <v>Hosanna, hosanna, hosanna</v>
      </c>
      <c r="J19" t="str">
        <v>Yo confío en ti, Señor</v>
      </c>
      <c r="M19" t="str">
        <v>Dad gracias al Señor</v>
      </c>
      <c r="N19" t="str">
        <v>No te vas</v>
      </c>
      <c r="R19" t="str">
        <v>Nacidos de la luz</v>
      </c>
      <c r="T19" t="str">
        <v>Somos canción</v>
      </c>
      <c r="Z19" t="str">
        <v>Cordero de Dios (boliviano)</v>
      </c>
      <c r="AA19" t="str">
        <v>Seduce mi corazón</v>
      </c>
      <c r="AF19" t="str">
        <v>Quiero confiar</v>
      </c>
      <c r="AG19" t="str">
        <v>Para mí ser feliz</v>
      </c>
      <c r="AH19" t="str">
        <v>Aleluya II</v>
      </c>
      <c r="AI19" t="str">
        <v>Pastores, venid</v>
      </c>
    </row>
    <row r="20" spans="4:35" x14ac:dyDescent="0.3">
      <c r="D20" t="str">
        <v>Sé mi luz</v>
      </c>
      <c r="H20" t="str">
        <v>El buen pastor</v>
      </c>
      <c r="I20" t="str">
        <v>Hoy me siento peregrino</v>
      </c>
      <c r="J20" t="str">
        <v>Cristo te necesita para amar</v>
      </c>
      <c r="M20" t="str">
        <v>Llena está la tierra de tus criaturas</v>
      </c>
      <c r="N20" t="str">
        <v>Nada</v>
      </c>
      <c r="R20" t="str">
        <v>No, yo no dejo la tierra</v>
      </c>
      <c r="T20" t="str">
        <v>Ten piedad de mí</v>
      </c>
      <c r="Z20" t="str">
        <v>La Virgen sueña caminos</v>
      </c>
      <c r="AA20" t="str">
        <v>Enamórame de ti</v>
      </c>
      <c r="AF20" t="str">
        <v>Soy de ti</v>
      </c>
      <c r="AG20" t="str">
        <v>Protégeme, Dios</v>
      </c>
      <c r="AH20" t="str">
        <v>Te ofrecemos</v>
      </c>
      <c r="AI20" t="str">
        <v>Hacia Belén va una burra</v>
      </c>
    </row>
    <row r="21" spans="4:35" x14ac:dyDescent="0.3">
      <c r="D21" t="str">
        <v>Cómo podré pagarte</v>
      </c>
      <c r="H21" t="str">
        <v>Vivir en el Señor</v>
      </c>
      <c r="I21" t="str">
        <v>Hoy vuelvo de lejos</v>
      </c>
      <c r="J21" t="str">
        <v>La misa es una fiesta muy alegre</v>
      </c>
      <c r="M21" t="str">
        <v>El auxilio me viene del Señor</v>
      </c>
      <c r="N21" t="str">
        <v>Trueno</v>
      </c>
      <c r="R21" t="str">
        <v>Por ti, mi Dios</v>
      </c>
      <c r="T21" t="str">
        <v>Gloria</v>
      </c>
      <c r="Z21" t="str">
        <v>María, madre nuestra</v>
      </c>
      <c r="AA21" t="str">
        <v>Algo está cayendo aquí</v>
      </c>
      <c r="AF21" t="str">
        <v>Tuya y nueva</v>
      </c>
      <c r="AG21" t="str">
        <v>Que venga a ti</v>
      </c>
      <c r="AH21" t="str">
        <v>Santo (Hosanna en el Cielo al Señor)</v>
      </c>
      <c r="AI21" t="str">
        <v>Hoy en la tierra</v>
      </c>
    </row>
    <row r="22" spans="4:35" x14ac:dyDescent="0.3">
      <c r="D22" t="str">
        <v>Palabras de vida</v>
      </c>
      <c r="H22" t="str">
        <v>Amaos unos a otros</v>
      </c>
      <c r="I22" t="str">
        <v>Las puertas de la nueva ciudad</v>
      </c>
      <c r="J22" t="str">
        <v>La misa no termina aquí en la iglesia</v>
      </c>
      <c r="M22" t="str">
        <v>Quién puede entrar en tu templo</v>
      </c>
      <c r="N22" t="str">
        <v>El Rey de la Gloria</v>
      </c>
      <c r="R22" t="str">
        <v>Perdón, Señor, perdón</v>
      </c>
      <c r="T22" t="str">
        <v>Aleluya</v>
      </c>
      <c r="Z22" t="str">
        <v>No me mueve</v>
      </c>
      <c r="AA22" t="str">
        <v>Se fue pero a nuestro lado está</v>
      </c>
      <c r="AF22" t="str">
        <v>No os preocupéis</v>
      </c>
      <c r="AG22" t="str">
        <v>Tú eres fuente viva</v>
      </c>
      <c r="AH22" t="str">
        <v>Padre nuestro II</v>
      </c>
    </row>
    <row r="23" spans="4:35" x14ac:dyDescent="0.3">
      <c r="D23" t="str">
        <v>Seducida</v>
      </c>
      <c r="H23" t="str">
        <v>Yo soy el que sirve</v>
      </c>
      <c r="I23" t="str">
        <v>Levántate, pueblo mío</v>
      </c>
      <c r="J23" t="str">
        <v>Nadie hay tan grande como tú</v>
      </c>
      <c r="M23" t="str">
        <v>Alabad, siervos de Dios</v>
      </c>
      <c r="N23" t="str">
        <v>Al estar en la presencia</v>
      </c>
      <c r="R23" t="str">
        <v>Qué ves en la noche</v>
      </c>
      <c r="T23" t="str">
        <v>Estoy creyendo en ti (credo)</v>
      </c>
      <c r="Z23" t="str">
        <v>Padre nuestro (mexicano)</v>
      </c>
      <c r="AA23" t="str">
        <v>Aleluya (Cohen)</v>
      </c>
      <c r="AF23" t="str">
        <v>Sabes bien</v>
      </c>
      <c r="AG23" t="str">
        <v>Come este pan</v>
      </c>
      <c r="AH23" t="str">
        <v>Danos paz</v>
      </c>
    </row>
    <row r="24" spans="4:35" x14ac:dyDescent="0.3">
      <c r="D24" t="str">
        <v>Escucha</v>
      </c>
      <c r="H24" t="str">
        <v>La vid y los sarmientos</v>
      </c>
      <c r="I24" t="str">
        <v>Llegó la noche</v>
      </c>
      <c r="J24" t="str">
        <v>Yo tengo un amigo que me ama</v>
      </c>
      <c r="M24" t="str">
        <v>Que en nuestros días reine la paz</v>
      </c>
      <c r="N24" t="str">
        <v>Enciéndeme</v>
      </c>
      <c r="R24" t="str">
        <v>Quédate con nosotros</v>
      </c>
      <c r="T24" t="str">
        <v>Conviviendo en armonía</v>
      </c>
      <c r="Z24" t="str">
        <v>Para el que sabe</v>
      </c>
      <c r="AA24" t="str">
        <v>Entra en el corazón de Dios</v>
      </c>
      <c r="AF24" t="str">
        <v>Alegraos</v>
      </c>
      <c r="AG24" t="str">
        <v>Espíritu de Dios vivo</v>
      </c>
      <c r="AH24" t="str">
        <v>Hoy, Jesús, vendrás a mí</v>
      </c>
    </row>
    <row r="25" spans="4:35" x14ac:dyDescent="0.3">
      <c r="D25" t="str">
        <v>Ruah</v>
      </c>
      <c r="H25" t="str">
        <v>Siempre estaré con vosotros</v>
      </c>
      <c r="I25" t="str">
        <v>Nochebuena, nochebuena</v>
      </c>
      <c r="J25" t="str">
        <v>Tú, que siempre nos perdonas</v>
      </c>
      <c r="M25" t="str">
        <v>Contra ti solo pequé</v>
      </c>
      <c r="N25" t="str">
        <v>Tomad, comed</v>
      </c>
      <c r="R25" t="str">
        <v>Señor, tú que brillas</v>
      </c>
      <c r="T25" t="str">
        <v>Padre nuestro II</v>
      </c>
      <c r="Z25" t="str">
        <v>Pon tu mano</v>
      </c>
      <c r="AA25" t="str">
        <v>Dijiste sí</v>
      </c>
      <c r="AF25" t="str">
        <v>Envíanos sin miedo</v>
      </c>
      <c r="AG25" t="str">
        <v>Te adoramos</v>
      </c>
      <c r="AH25" t="str">
        <v>Familia de Dios</v>
      </c>
    </row>
    <row r="26" spans="4:35" x14ac:dyDescent="0.3">
      <c r="D26" t="str">
        <v>No guardes tu vida</v>
      </c>
      <c r="H26" t="str">
        <v>El juicio de Cristo</v>
      </c>
      <c r="I26" t="str">
        <v>Oí tu voz</v>
      </c>
      <c r="J26" t="str">
        <v>Pescador de hombres</v>
      </c>
      <c r="M26" t="str">
        <v>Cantaré eternamente (II)</v>
      </c>
      <c r="N26" t="str">
        <v>Deseo</v>
      </c>
      <c r="R26" t="str">
        <v>Tu Palabra me da vida</v>
      </c>
      <c r="T26" t="str">
        <v>Te agradezco</v>
      </c>
      <c r="Z26" t="str">
        <v>Santo zaireño</v>
      </c>
      <c r="AA26" t="str">
        <v>Ungidos</v>
      </c>
      <c r="AF26" t="str">
        <v>Aquí y ahora</v>
      </c>
      <c r="AG26" t="str">
        <v>Alégrate y goza en el Señor</v>
      </c>
      <c r="AH26" t="str">
        <v>Ave María</v>
      </c>
    </row>
    <row r="27" spans="4:35" x14ac:dyDescent="0.3">
      <c r="D27" t="str">
        <v>Atráeme</v>
      </c>
      <c r="H27" t="str">
        <v>Aleluya, el Señor resucitó</v>
      </c>
      <c r="I27" t="str">
        <v>Oh, mi Dios, crea en mí</v>
      </c>
      <c r="J27" t="str">
        <v>Yo pensaba que el hombre era grande</v>
      </c>
      <c r="M27" t="str">
        <v>Acuérdate, Señor</v>
      </c>
      <c r="N27" t="str">
        <v>Bien amado Señor</v>
      </c>
      <c r="R27" t="str">
        <v>Te damos gracias, Señor</v>
      </c>
      <c r="T27" t="str">
        <v>Escucha, María</v>
      </c>
      <c r="Z27" t="str">
        <v>Vive tu amor en mí</v>
      </c>
      <c r="AA27" t="str">
        <v>Petrus (In illo uno unum)</v>
      </c>
      <c r="AF27" t="str">
        <v>Te seguiré llamando</v>
      </c>
      <c r="AG27" t="str">
        <v>Aleluya 22</v>
      </c>
      <c r="AH27" t="str">
        <v>Bienaventuranzas (33 El Musical)</v>
      </c>
    </row>
    <row r="28" spans="4:35" x14ac:dyDescent="0.3">
      <c r="D28" t="str">
        <v>Dios de la historia, bendice</v>
      </c>
      <c r="H28" t="str">
        <v>Aleluya cantará</v>
      </c>
      <c r="I28" t="str">
        <v>Purifícame, Señor</v>
      </c>
      <c r="J28" t="str">
        <v>Un niño se te acercó</v>
      </c>
      <c r="M28" t="str">
        <v>Pidamos al Señor</v>
      </c>
      <c r="N28" t="str">
        <v>Qué bien se está cuando se está bien</v>
      </c>
      <c r="R28" t="str">
        <v>Tú eres el Dios que nos salva</v>
      </c>
      <c r="T28" t="str">
        <v>Rezar no es otra cosa</v>
      </c>
      <c r="Z28" t="str">
        <v>Volar</v>
      </c>
      <c r="AA28" t="str">
        <v>Alza la mirada</v>
      </c>
      <c r="AF28" t="str">
        <v>No volverá vacía</v>
      </c>
      <c r="AG28" t="str">
        <v>Aleluya 94</v>
      </c>
      <c r="AH28" t="str">
        <v>El Espíritu de Dios (33 El Musical)</v>
      </c>
    </row>
    <row r="29" spans="4:35" x14ac:dyDescent="0.3">
      <c r="D29" t="str">
        <v>Levantad las piedras</v>
      </c>
      <c r="H29" t="str">
        <v>El calor de tu palabra</v>
      </c>
      <c r="I29" t="str">
        <v>Se acerca el reino de Dios</v>
      </c>
      <c r="J29" t="str">
        <v>Dios es amor</v>
      </c>
      <c r="M29" t="str">
        <v>Tu Palabra, Señor, es gozo</v>
      </c>
      <c r="N29" t="str">
        <v>Libertad</v>
      </c>
      <c r="R29" t="str">
        <v>Una ciudad para todos</v>
      </c>
      <c r="T29" t="str">
        <v>Jesús te ama</v>
      </c>
      <c r="Z29" t="str">
        <v>Dulce muchacha humilde de Palestina</v>
      </c>
      <c r="AA29" t="str">
        <v>Aleluya, yo creo en tu amor</v>
      </c>
      <c r="AF29" t="str">
        <v>Grietas</v>
      </c>
      <c r="AG29" t="str">
        <v>Cristo ha resucitado (canon)</v>
      </c>
      <c r="AH29" t="str">
        <v>Siempre estuviste aquí (Almudena)</v>
      </c>
    </row>
    <row r="30" spans="4:35" x14ac:dyDescent="0.3">
      <c r="D30" t="str">
        <v>Aleluya</v>
      </c>
      <c r="H30" t="str">
        <v>En mi debilidad</v>
      </c>
      <c r="I30" t="str">
        <v>Arriésgate</v>
      </c>
      <c r="J30" t="str">
        <v>A quién temeré</v>
      </c>
      <c r="M30" t="str">
        <v>Vuelve hacia nosotros</v>
      </c>
      <c r="N30" t="str">
        <v>Tan cerca</v>
      </c>
      <c r="R30" t="str">
        <v>Un pueblo que camina por el mundo</v>
      </c>
      <c r="T30" t="str">
        <v>Cántico de las criaturas</v>
      </c>
      <c r="Z30" t="str">
        <v>Letanías</v>
      </c>
      <c r="AA30" t="str">
        <v>Pregón Pascual (neocatecumenal)</v>
      </c>
      <c r="AF30" t="str">
        <v>En parábolas</v>
      </c>
      <c r="AG30" t="str">
        <v>Dichosos los pobres</v>
      </c>
      <c r="AH30" t="str">
        <v>Viviremos firmes en la fe</v>
      </c>
    </row>
    <row r="31" spans="4:35" x14ac:dyDescent="0.3">
      <c r="D31" t="str">
        <v>Tú eres mi bien</v>
      </c>
      <c r="H31" t="str">
        <v>Nada nos separará</v>
      </c>
      <c r="I31" t="str">
        <v>Ven, Salvador</v>
      </c>
      <c r="J31" t="str">
        <v>Aleluya, creo en Ti, Señor</v>
      </c>
      <c r="M31" t="str">
        <v>El alzar de mis manos</v>
      </c>
      <c r="N31" t="str">
        <v>Hoy te dejo</v>
      </c>
      <c r="R31" t="str">
        <v>Vamos cantando al Señor</v>
      </c>
      <c r="T31" t="str">
        <v>Ya no te queda tiempo</v>
      </c>
      <c r="Z31" t="str">
        <v>Salve, Madre</v>
      </c>
      <c r="AA31" t="str">
        <v>Te doy mi corazón</v>
      </c>
      <c r="AF31" t="str">
        <v>Óyeme</v>
      </c>
      <c r="AG31" t="str">
        <v>En nuestra oscuridad</v>
      </c>
      <c r="AH31" t="str">
        <v>Vía Crucis Introducción</v>
      </c>
    </row>
    <row r="32" spans="4:35" x14ac:dyDescent="0.3">
      <c r="D32" t="str">
        <v>Desde abajo</v>
      </c>
      <c r="H32" t="str">
        <v>Hoy, Señor, te daré</v>
      </c>
      <c r="I32" t="str">
        <v>Vamos a preparar</v>
      </c>
      <c r="J32" t="str">
        <v>El niño Dios ha nacido en Belén</v>
      </c>
      <c r="M32" t="str">
        <v>Cántico de Daniel</v>
      </c>
      <c r="N32" t="str">
        <v>Pasión de Dios</v>
      </c>
      <c r="R32" t="str">
        <v>Unidos a todos los pueblos</v>
      </c>
      <c r="T32" t="str">
        <v>Padre de las misericordias</v>
      </c>
      <c r="Z32" t="str">
        <v>Santo (Santo Domingo de Silos)</v>
      </c>
      <c r="AA32" t="str">
        <v>Haz de tu casa un Nazaret</v>
      </c>
      <c r="AF32" t="str">
        <v>Bosque</v>
      </c>
      <c r="AG32" t="str">
        <v>Sé sal que sala</v>
      </c>
      <c r="AH32" t="str">
        <v>Via Crucis I Jesús cautivo</v>
      </c>
    </row>
    <row r="33" spans="4:34" x14ac:dyDescent="0.3">
      <c r="D33" t="str">
        <v>Como la cierva</v>
      </c>
      <c r="H33" t="str">
        <v>Agua, lávame</v>
      </c>
      <c r="I33" t="str">
        <v>Ven, Espíritu Santo</v>
      </c>
      <c r="J33" t="str">
        <v>Peregrino (Éxodo y liberación)</v>
      </c>
      <c r="M33" t="str">
        <v>A ti levanto mi alma</v>
      </c>
      <c r="N33" t="str">
        <v>Bendita sea tu pureza</v>
      </c>
      <c r="R33" t="str">
        <v>No podemos caminar (Hambre de Dios)</v>
      </c>
      <c r="T33" t="str">
        <v>Te alabo, Señor</v>
      </c>
      <c r="Z33" t="str">
        <v>Santo eres, Señor, Dios nuestro</v>
      </c>
      <c r="AA33" t="str">
        <v>Estás aquí, Jesús</v>
      </c>
      <c r="AF33" t="str">
        <v>Nuestro lugar</v>
      </c>
      <c r="AG33" t="str">
        <v>A quién iremos, Señor</v>
      </c>
      <c r="AH33" t="str">
        <v>Via Crucis II Jesús carga con la Cruz</v>
      </c>
    </row>
    <row r="34" spans="4:34" x14ac:dyDescent="0.3">
      <c r="D34" t="str">
        <v>Sólo Tú</v>
      </c>
      <c r="H34" t="str">
        <v>Me levantaré</v>
      </c>
      <c r="I34" t="str">
        <v>Yo estaré con vosotros</v>
      </c>
      <c r="M34" t="str">
        <v>El Señor de los ejércitos</v>
      </c>
      <c r="N34" t="str">
        <v>Tu misericordia</v>
      </c>
      <c r="T34" t="str">
        <v>El don de la fraternidad</v>
      </c>
      <c r="Z34" t="str">
        <v>Ven, Espíritu de Dios (Esprit createur)</v>
      </c>
      <c r="AA34" t="str">
        <v>Salve, Regina</v>
      </c>
      <c r="AF34" t="str">
        <v>A tu medida</v>
      </c>
      <c r="AG34" t="str">
        <v>Cristo es Espíritu y Dios</v>
      </c>
      <c r="AH34" t="str">
        <v>Via Crucis III Jesús cae por primera vez</v>
      </c>
    </row>
    <row r="35" spans="4:34" x14ac:dyDescent="0.3">
      <c r="D35" t="str">
        <v>Sed felices</v>
      </c>
      <c r="H35" t="str">
        <v>Nada has pensado</v>
      </c>
      <c r="I35" t="str">
        <v>Creo en Jesús</v>
      </c>
      <c r="M35" t="str">
        <v>El cáliz que bendecimos</v>
      </c>
      <c r="N35" t="str">
        <v>Quiero cenar contigo</v>
      </c>
      <c r="T35" t="str">
        <v>Jesús es verdad</v>
      </c>
      <c r="Z35" t="str">
        <v>Cordero de Dios (Algete)</v>
      </c>
      <c r="AA35" t="str">
        <v>Abbá, Padre (escúchame)</v>
      </c>
      <c r="AF35" t="str">
        <v>Mayor que todo</v>
      </c>
      <c r="AG35" t="str">
        <v>Cristo Jesús</v>
      </c>
      <c r="AH35" t="str">
        <v>Via Crucis IV Jesús se encuentra con su madre</v>
      </c>
    </row>
    <row r="36" spans="4:34" x14ac:dyDescent="0.3">
      <c r="D36" t="str">
        <v>Ten piedad</v>
      </c>
      <c r="H36" t="str">
        <v>Que sea mi vida la sal</v>
      </c>
      <c r="I36" t="str">
        <v>Tened encendida la lámpara</v>
      </c>
      <c r="M36" t="str">
        <v>El Señor es mi pastor</v>
      </c>
      <c r="N36" t="str">
        <v>Un paso más</v>
      </c>
      <c r="T36" t="str">
        <v>Niño</v>
      </c>
      <c r="Z36" t="str">
        <v>La paz te doy</v>
      </c>
      <c r="AA36" t="str">
        <v>Más de ti, menos de mí</v>
      </c>
      <c r="AF36" t="str">
        <v>Seas</v>
      </c>
      <c r="AG36" t="str">
        <v>Danos, Señor, la paz (canon)</v>
      </c>
      <c r="AH36" t="str">
        <v>Via Crucis V El Cireneo</v>
      </c>
    </row>
    <row r="37" spans="4:34" x14ac:dyDescent="0.3">
      <c r="D37" t="str">
        <v>Busca mi rostro</v>
      </c>
      <c r="H37" t="str">
        <v>Ven, no apartes de mí los ojos</v>
      </c>
      <c r="I37" t="str">
        <v>Dios nos convoca</v>
      </c>
      <c r="M37" t="str">
        <v>El Señor tenga piedad</v>
      </c>
      <c r="N37" t="str">
        <v>Cuatro vientos</v>
      </c>
      <c r="T37" t="str">
        <v>Una vida</v>
      </c>
      <c r="Z37" t="str">
        <v>Llevad la buena noticia</v>
      </c>
      <c r="AF37" t="str">
        <v>Brasas</v>
      </c>
      <c r="AG37" t="str">
        <v>Dios de la vida</v>
      </c>
      <c r="AH37" t="str">
        <v>Via Crucis VI La Verónica</v>
      </c>
    </row>
    <row r="38" spans="4:34" x14ac:dyDescent="0.3">
      <c r="D38" t="str">
        <v>Señor de la sabiduría</v>
      </c>
      <c r="H38" t="str">
        <v>Envíame</v>
      </c>
      <c r="I38" t="str">
        <v>Padre nuestro (Erdozáin)</v>
      </c>
      <c r="M38" t="str">
        <v>Caminaré en presencia del Señor</v>
      </c>
      <c r="N38" t="str">
        <v>Siempre imaginé</v>
      </c>
      <c r="T38" t="str">
        <v>Dios en la ciudad</v>
      </c>
      <c r="Z38" t="str">
        <v>Ten piedad de mi, Señor</v>
      </c>
      <c r="AF38" t="str">
        <v>Si tú quieres</v>
      </c>
      <c r="AG38" t="str">
        <v>El Señor es mi fortaleza</v>
      </c>
      <c r="AH38" t="str">
        <v>Via Crucis VII Jesús cae por segunda vez</v>
      </c>
    </row>
    <row r="39" spans="4:34" x14ac:dyDescent="0.3">
      <c r="D39" t="str">
        <v>Descansa en ti su mirada</v>
      </c>
      <c r="I39" t="str">
        <v>Este pan y vino</v>
      </c>
      <c r="M39" t="str">
        <v>El Señor es bueno</v>
      </c>
      <c r="N39" t="str">
        <v>Que no se pierda ninguno</v>
      </c>
      <c r="T39" t="str">
        <v>Somos una familia</v>
      </c>
      <c r="Z39" t="str">
        <v>Aleluya de Adviento</v>
      </c>
      <c r="AF39" t="str">
        <v>Dónde</v>
      </c>
      <c r="AG39" t="str">
        <v>El Señor, que viene en mi ayuda</v>
      </c>
      <c r="AH39" t="str">
        <v>Via Crucis VIII Jesús consuela a las mujeres</v>
      </c>
    </row>
    <row r="40" spans="4:34" x14ac:dyDescent="0.3">
      <c r="D40" t="str">
        <v>El amor</v>
      </c>
      <c r="M40" t="str">
        <v>Protégeme, Dios mío</v>
      </c>
      <c r="N40" t="str">
        <v>Nombre sobre todo nombre</v>
      </c>
      <c r="T40" t="str">
        <v>Eres el fuego, el amor</v>
      </c>
      <c r="Z40" t="str">
        <v>Siempre en ti</v>
      </c>
      <c r="AF40" t="str">
        <v>Escúchame</v>
      </c>
      <c r="AG40" t="str">
        <v>Permaneced conmigo</v>
      </c>
      <c r="AH40" t="str">
        <v>Via Crucis IX Jesús cae por tercera vez</v>
      </c>
    </row>
    <row r="41" spans="4:34" x14ac:dyDescent="0.3">
      <c r="D41" t="str">
        <v>María de Nazaret</v>
      </c>
      <c r="M41" t="str">
        <v>Himno a Nuestra Señora de la Almudena</v>
      </c>
      <c r="N41" t="str">
        <v>Tu rostro</v>
      </c>
      <c r="T41" t="str">
        <v>Me has seducido, Señor</v>
      </c>
      <c r="Z41" t="str">
        <v>Santo es el Señor</v>
      </c>
      <c r="AF41" t="str">
        <v>A la puerta</v>
      </c>
      <c r="AG41" t="str">
        <v>Por tu Cruz</v>
      </c>
      <c r="AH41" t="str">
        <v>Via Crucis X Jesús es despojado</v>
      </c>
    </row>
    <row r="42" spans="4:34" x14ac:dyDescent="0.3">
      <c r="D42" t="str">
        <v>Miradle</v>
      </c>
      <c r="M42" t="str">
        <v>Mujer fuerte</v>
      </c>
      <c r="N42" t="str">
        <v>Tonto</v>
      </c>
      <c r="T42" t="str">
        <v>Una vida que busca libertad</v>
      </c>
      <c r="Z42" t="str">
        <v>Señor, ten piedad de nosotros</v>
      </c>
      <c r="AF42" t="str">
        <v>En quién si no</v>
      </c>
      <c r="AG42" t="str">
        <v>Qué bueno es confiar en ti</v>
      </c>
      <c r="AH42" t="str">
        <v>Via Crucis XI Jesús es clavado en la Cruz</v>
      </c>
    </row>
    <row r="43" spans="4:34" x14ac:dyDescent="0.3">
      <c r="D43" t="str">
        <v>Venid conmigo</v>
      </c>
      <c r="M43" t="str">
        <v>Madre de los creyentes</v>
      </c>
      <c r="N43" t="str">
        <v>Mi pobre loco</v>
      </c>
      <c r="T43" t="str">
        <v>Nuestra buena madre</v>
      </c>
      <c r="Z43" t="str">
        <v>No quiero alejarme de ti</v>
      </c>
      <c r="AF43" t="str">
        <v>Silencio</v>
      </c>
      <c r="AG43" t="str">
        <v>Ten piedad, Señor 20</v>
      </c>
      <c r="AH43" t="str">
        <v>Via Crucis XII Jesús muere en la Cruz</v>
      </c>
    </row>
    <row r="44" spans="4:34" x14ac:dyDescent="0.3">
      <c r="D44" t="str">
        <v>Dios fiel</v>
      </c>
      <c r="M44" t="str">
        <v>A ti suspiramos</v>
      </c>
      <c r="N44" t="str">
        <v>Revolución</v>
      </c>
      <c r="T44" t="str">
        <v>Señor, yo no soy digno</v>
      </c>
      <c r="Z44" t="str">
        <v>Secuencia de Pascua</v>
      </c>
      <c r="AF44" t="str">
        <v>De repente</v>
      </c>
      <c r="AG44" t="str">
        <v>Ten piedad, Señor 8</v>
      </c>
      <c r="AH44" t="str">
        <v>Via Crucis XIII Jesús bajado de la Cruz</v>
      </c>
    </row>
    <row r="45" spans="4:34" x14ac:dyDescent="0.3">
      <c r="D45" t="str">
        <v>Hambre y sed de Ti</v>
      </c>
      <c r="M45" t="str">
        <v>Reina del Cielo</v>
      </c>
      <c r="N45" t="str">
        <v>Imprescindible</v>
      </c>
      <c r="T45" t="str">
        <v>No durmáis</v>
      </c>
      <c r="Z45" t="str">
        <v>Nueva aurora en nuestra noche</v>
      </c>
      <c r="AF45" t="str">
        <v>Quién amó primero</v>
      </c>
      <c r="AG45" t="str">
        <v>Tengo sed de ti</v>
      </c>
      <c r="AH45" t="str">
        <v>Via Crucis XIV El cuerpo de Jesús</v>
      </c>
    </row>
    <row r="46" spans="4:34" x14ac:dyDescent="0.3">
      <c r="D46" t="str">
        <v>Confianza</v>
      </c>
      <c r="M46" t="str">
        <v>Magnificat</v>
      </c>
      <c r="N46" t="str">
        <v>Pasión I No sé qué viste en mí</v>
      </c>
      <c r="T46" t="str">
        <v>Señor Dios, me tienes ante ti</v>
      </c>
      <c r="Z46" t="str">
        <v>Si despierta el corazón</v>
      </c>
      <c r="AF46" t="str">
        <v>Alabarte</v>
      </c>
      <c r="AG46" t="str">
        <v>Tu palabra alumbra</v>
      </c>
      <c r="AH46" t="str">
        <v>Via Crucis XV La fuerza de la Cruz</v>
      </c>
    </row>
    <row r="47" spans="4:34" x14ac:dyDescent="0.3">
      <c r="D47" t="str">
        <v>Pan compartido</v>
      </c>
      <c r="M47" t="str">
        <v>Morada de la luz</v>
      </c>
      <c r="N47" t="str">
        <v>Pasión II Mi peso en tus hombros</v>
      </c>
      <c r="T47" t="str">
        <v>Bienaventuranzas (Kairoi)</v>
      </c>
      <c r="Z47" t="str">
        <v>Acompáñame, Señor, en la tribulación</v>
      </c>
      <c r="AF47" t="str">
        <v>Bailaré</v>
      </c>
      <c r="AG47" t="str">
        <v>Danos la paz, Señor</v>
      </c>
    </row>
    <row r="48" spans="4:34" x14ac:dyDescent="0.3">
      <c r="D48" t="str">
        <v>Gloria Trinitario</v>
      </c>
      <c r="M48" t="str">
        <v>Madre del Redentor</v>
      </c>
      <c r="N48" t="str">
        <v>Pasión III Paraísos sin tu rostro</v>
      </c>
      <c r="T48" t="str">
        <v>Tu llamada</v>
      </c>
      <c r="Z48" t="str">
        <v>Confieso</v>
      </c>
      <c r="AF48" t="str">
        <v>Por ti, Jerusalén</v>
      </c>
      <c r="AG48" t="str">
        <v>La ayuda vendrá</v>
      </c>
    </row>
    <row r="49" spans="4:33" x14ac:dyDescent="0.3">
      <c r="D49" t="str">
        <v>A Ti</v>
      </c>
      <c r="M49" t="str">
        <v>Ángelus</v>
      </c>
      <c r="N49" t="str">
        <v>Pasión IV Un dios débil</v>
      </c>
      <c r="T49" t="str">
        <v>No es fácil</v>
      </c>
      <c r="Z49" t="str">
        <v>Antes de ser llevado a la muerte</v>
      </c>
      <c r="AF49" t="str">
        <v>Frontera</v>
      </c>
      <c r="AG49" t="str">
        <v>Aleluya 17</v>
      </c>
    </row>
    <row r="50" spans="4:33" x14ac:dyDescent="0.3">
      <c r="D50" t="str">
        <v>Tú lo sabes</v>
      </c>
      <c r="M50" t="str">
        <v>Madre nuestra</v>
      </c>
      <c r="N50" t="str">
        <v>Pasión V Cirineo</v>
      </c>
      <c r="T50" t="str">
        <v>Nacidos de la cruz</v>
      </c>
      <c r="Z50" t="str">
        <v>Dios es fiel</v>
      </c>
      <c r="AF50" t="str">
        <v>Despierto</v>
      </c>
      <c r="AG50" t="str">
        <v>Aleluya 96</v>
      </c>
    </row>
    <row r="51" spans="4:33" x14ac:dyDescent="0.3">
      <c r="D51" t="str">
        <v>Caná</v>
      </c>
      <c r="M51" t="str">
        <v>Ave María</v>
      </c>
      <c r="N51" t="str">
        <v>Pasión VI Verónica</v>
      </c>
      <c r="T51" t="str">
        <v>Jesús es Señor</v>
      </c>
      <c r="Z51" t="str">
        <v>El Señor es mi luz</v>
      </c>
      <c r="AF51" t="str">
        <v>Como niños</v>
      </c>
      <c r="AG51" t="str">
        <v>Aleluya 97</v>
      </c>
    </row>
    <row r="52" spans="4:33" x14ac:dyDescent="0.3">
      <c r="D52" t="str">
        <v>Ánimo, soy yo</v>
      </c>
      <c r="M52" t="str">
        <v>Unidos por la fe y el amor</v>
      </c>
      <c r="N52" t="str">
        <v>Pasión VII Y te caes</v>
      </c>
      <c r="T52" t="str">
        <v>Yo cantaré (Magnificat)</v>
      </c>
      <c r="Z52" t="str">
        <v>Es de locos</v>
      </c>
      <c r="AF52" t="str">
        <v>Vivir</v>
      </c>
      <c r="AG52" t="str">
        <v>Cantaré al Señor</v>
      </c>
    </row>
    <row r="53" spans="4:33" x14ac:dyDescent="0.3">
      <c r="D53" t="str">
        <v>Santo</v>
      </c>
      <c r="M53" t="str">
        <v>Ten piedad</v>
      </c>
      <c r="N53" t="str">
        <v>Pasión VIII Jerusalén</v>
      </c>
      <c r="T53" t="str">
        <v>Jesús está entre nosotros</v>
      </c>
      <c r="Z53" t="str">
        <v>Yo soy la Vida y la Verdad</v>
      </c>
      <c r="AG53" t="str">
        <v>Danos la paz del corazón</v>
      </c>
    </row>
    <row r="54" spans="4:33" x14ac:dyDescent="0.3">
      <c r="D54" t="str">
        <v>La mujer del perfume</v>
      </c>
      <c r="M54" t="str">
        <v>Gloria (misa coral en Re)</v>
      </c>
      <c r="N54" t="str">
        <v>Pasión IX Por qué</v>
      </c>
      <c r="T54" t="str">
        <v>Háblame</v>
      </c>
      <c r="Z54" t="str">
        <v>Ven a celebrar</v>
      </c>
      <c r="AG54" t="str">
        <v>Danos la paz, oh, Señor</v>
      </c>
    </row>
    <row r="55" spans="4:33" x14ac:dyDescent="0.3">
      <c r="D55" t="str">
        <v>Para estar contigo</v>
      </c>
      <c r="M55" t="str">
        <v>Aleluya (misa coral en Re)</v>
      </c>
      <c r="N55" t="str">
        <v>Pasión X Despojado</v>
      </c>
      <c r="T55" t="str">
        <v>Oración del pobre</v>
      </c>
      <c r="Z55" t="str">
        <v>Cordero de Dios (Maristas)</v>
      </c>
      <c r="AG55" t="str">
        <v>Este es el día del Señor (Taizé)</v>
      </c>
    </row>
    <row r="56" spans="4:33" x14ac:dyDescent="0.3">
      <c r="D56" t="str">
        <v>Samaritano</v>
      </c>
      <c r="M56" t="str">
        <v>Santo (misa coral en Re)</v>
      </c>
      <c r="N56" t="str">
        <v>Pasión XI La medida del amor</v>
      </c>
      <c r="T56" t="str">
        <v>Himno a Dios</v>
      </c>
      <c r="Z56" t="str">
        <v>Hoy, Señor, me has vuelto a perdonar</v>
      </c>
      <c r="AG56" t="str">
        <v>Jesús, mi vida</v>
      </c>
    </row>
    <row r="57" spans="4:33" x14ac:dyDescent="0.3">
      <c r="D57" t="str">
        <v>No hay fronteras</v>
      </c>
      <c r="M57" t="str">
        <v>Padre nuestro (misa coral en Re)</v>
      </c>
      <c r="N57" t="str">
        <v>Pasión XIII Madre</v>
      </c>
      <c r="T57" t="str">
        <v>Ven, Señor Jesús</v>
      </c>
      <c r="Z57" t="str">
        <v>Tanto amó Dios al mundo</v>
      </c>
      <c r="AG57" t="str">
        <v>Oh, Dios consolador</v>
      </c>
    </row>
    <row r="58" spans="4:33" x14ac:dyDescent="0.3">
      <c r="D58" t="str">
        <v>Descálzate</v>
      </c>
      <c r="M58" t="str">
        <v>Cordero de Dios (misa coral en Re)</v>
      </c>
      <c r="N58" t="str">
        <v>Pasión XIV Donde estás tú</v>
      </c>
      <c r="T58" t="str">
        <v>Padre, me pongo en tus manos</v>
      </c>
      <c r="Z58" t="str">
        <v>Gloria, gloria, aleluya</v>
      </c>
      <c r="AG58" t="str">
        <v>Oh, Dios, tú, Dios mío (canon)</v>
      </c>
    </row>
    <row r="59" spans="4:33" x14ac:dyDescent="0.3">
      <c r="D59" t="str">
        <v>La vid verdadera</v>
      </c>
      <c r="M59" t="str">
        <v>Dales, Señor, el descanso eterno</v>
      </c>
      <c r="N59" t="str">
        <v>Pasión XV Soy libre</v>
      </c>
      <c r="T59" t="str">
        <v>Gloria a Dios (No sé cómo alabarte)</v>
      </c>
      <c r="Z59" t="str">
        <v>Hoy el Señor resucitó</v>
      </c>
      <c r="AG59" t="str">
        <v>Que alabe al Señor</v>
      </c>
    </row>
    <row r="60" spans="4:33" x14ac:dyDescent="0.3">
      <c r="D60" t="str">
        <v>Ven, Espíritu de Dios</v>
      </c>
      <c r="M60" t="str">
        <v>En la plaza de un pueblo</v>
      </c>
      <c r="N60" t="str">
        <v>Pasión XVI Por mí, por ti</v>
      </c>
      <c r="T60" t="str">
        <v>Tú me sondeas</v>
      </c>
      <c r="Z60" t="str">
        <v>Nosotros venceremos</v>
      </c>
      <c r="AG60" t="str">
        <v>Ten piedad, Señor 6</v>
      </c>
    </row>
    <row r="61" spans="4:33" x14ac:dyDescent="0.3">
      <c r="D61" t="str">
        <v>Realidad</v>
      </c>
      <c r="M61" t="str">
        <v>Fariseo y publicano</v>
      </c>
      <c r="N61" t="str">
        <v>Me sobrepasa</v>
      </c>
      <c r="T61" t="str">
        <v>El agua del Señor</v>
      </c>
      <c r="Z61" t="str">
        <v>Quiero caminar contigo, María</v>
      </c>
      <c r="AG61" t="str">
        <v>Al Señor alabe</v>
      </c>
    </row>
    <row r="62" spans="4:33" x14ac:dyDescent="0.3">
      <c r="D62" t="str">
        <v>Boga mar adentro</v>
      </c>
      <c r="M62" t="str">
        <v>De cosas sencillas</v>
      </c>
      <c r="N62" t="str">
        <v>Descalzos</v>
      </c>
      <c r="T62" t="str">
        <v>Canta Jerusalén</v>
      </c>
      <c r="Z62" t="str">
        <v>Él vendrá y te salvará</v>
      </c>
      <c r="AG62" t="str">
        <v>Alabado sea el Señor</v>
      </c>
    </row>
    <row r="63" spans="4:33" x14ac:dyDescent="0.3">
      <c r="D63" t="str">
        <v>No tengas miedo</v>
      </c>
      <c r="M63" t="str">
        <v>Y ciegos son los hombres</v>
      </c>
      <c r="N63" t="str">
        <v>Un segundo</v>
      </c>
      <c r="T63" t="str">
        <v>Diremos que sí</v>
      </c>
      <c r="Z63" t="str">
        <v>Arriba nubes negras</v>
      </c>
      <c r="AG63" t="str">
        <v>Dentro llevas la fuente de vida</v>
      </c>
    </row>
    <row r="64" spans="4:33" x14ac:dyDescent="0.3">
      <c r="D64" t="str">
        <v>Magnificat</v>
      </c>
      <c r="M64" t="str">
        <v>En la viña del Señor</v>
      </c>
      <c r="N64" t="str">
        <v>Todo</v>
      </c>
      <c r="T64" t="str">
        <v>Gracias por tu don</v>
      </c>
      <c r="Z64" t="str">
        <v>De Jerusalén bajaba a Jericó</v>
      </c>
      <c r="AG64" t="str">
        <v>Ven, Espíritu (canon)</v>
      </c>
    </row>
    <row r="65" spans="4:33" x14ac:dyDescent="0.3">
      <c r="D65" t="str">
        <v>Ardo en celo</v>
      </c>
      <c r="M65" t="str">
        <v>Invitación</v>
      </c>
      <c r="N65" t="str">
        <v>El cielo aguarda</v>
      </c>
      <c r="T65" t="str">
        <v>Cortó la roca</v>
      </c>
      <c r="Z65" t="str">
        <v>Alza tu mano (Comunidad)</v>
      </c>
      <c r="AG65" t="str">
        <v>Yo ya sé qué veré</v>
      </c>
    </row>
    <row r="66" spans="4:33" x14ac:dyDescent="0.3">
      <c r="D66" t="str">
        <v>El amor no dice basta</v>
      </c>
      <c r="M66" t="str">
        <v>Dos señores</v>
      </c>
      <c r="N66" t="str">
        <v>Huracán</v>
      </c>
      <c r="T66" t="str">
        <v>Ave María I</v>
      </c>
      <c r="Z66" t="str">
        <v>Vivid la Navidad</v>
      </c>
      <c r="AG66" t="str">
        <v>Aleluya 7</v>
      </c>
    </row>
    <row r="67" spans="4:33" x14ac:dyDescent="0.3">
      <c r="D67" t="str">
        <v>Rut y Noemí</v>
      </c>
      <c r="M67" t="str">
        <v>Buen pastor</v>
      </c>
      <c r="N67" t="str">
        <v>Mirada</v>
      </c>
      <c r="T67" t="str">
        <v>Tú estás cerca</v>
      </c>
      <c r="Z67" t="str">
        <v>Gloria a Dios, gloria al Padre</v>
      </c>
      <c r="AG67" t="str">
        <v>Bendito el que viene (canon)</v>
      </c>
    </row>
    <row r="68" spans="4:33" x14ac:dyDescent="0.3">
      <c r="D68" t="str">
        <v>Ven, Espíritu</v>
      </c>
      <c r="M68" t="str">
        <v>El pobre Lázaro</v>
      </c>
      <c r="N68" t="str">
        <v>Pringados</v>
      </c>
      <c r="T68" t="str">
        <v>Madre de los hijos pobres</v>
      </c>
      <c r="Z68" t="str">
        <v>Señor, ten piedad</v>
      </c>
      <c r="AG68" t="str">
        <v>El Reino de Dios</v>
      </c>
    </row>
    <row r="69" spans="4:33" x14ac:dyDescent="0.3">
      <c r="D69" t="str">
        <v>María Magdalena</v>
      </c>
      <c r="M69" t="str">
        <v>Después de la medianoche</v>
      </c>
      <c r="N69" t="str">
        <v>Noche</v>
      </c>
      <c r="T69" t="str">
        <v>Magnificat</v>
      </c>
      <c r="Z69" t="str">
        <v>Un día abrí los ojos</v>
      </c>
      <c r="AG69" t="str">
        <v>Mi corazón te anhela</v>
      </c>
    </row>
    <row r="70" spans="4:33" x14ac:dyDescent="0.3">
      <c r="D70" t="str">
        <v>De todo corazón</v>
      </c>
      <c r="M70" t="str">
        <v>El Señor ha estado grande con nosotros</v>
      </c>
      <c r="N70" t="str">
        <v>Comunión espiritual</v>
      </c>
      <c r="T70" t="str">
        <v>Angelus</v>
      </c>
      <c r="Z70" t="str">
        <v>Victoria, tú reinarás</v>
      </c>
      <c r="AG70" t="str">
        <v>Tu santa cruz</v>
      </c>
    </row>
    <row r="71" spans="4:33" x14ac:dyDescent="0.3">
      <c r="D71" t="str">
        <v>Canto de Ana</v>
      </c>
      <c r="M71" t="str">
        <v>Reunidos en el nombre del Señor</v>
      </c>
      <c r="N71" t="str">
        <v>Sencillamente</v>
      </c>
      <c r="T71" t="str">
        <v>Gracias, Madre</v>
      </c>
      <c r="Z71" t="str">
        <v>En mi Getsemaní</v>
      </c>
      <c r="AG71" t="str">
        <v>Ven, Espíritu de Dios</v>
      </c>
    </row>
    <row r="72" spans="4:33" x14ac:dyDescent="0.3">
      <c r="D72" t="str">
        <v>Seguirte</v>
      </c>
      <c r="M72" t="str">
        <v>Tuyo es el reino</v>
      </c>
      <c r="N72" t="str">
        <v>Ocúpate Tú de todo</v>
      </c>
      <c r="T72" t="str">
        <v>María, música de Dios</v>
      </c>
      <c r="Z72" t="str">
        <v>Quiero ser pan</v>
      </c>
      <c r="AG72" t="str">
        <v>El Señor es quien restaura</v>
      </c>
    </row>
    <row r="73" spans="4:33" x14ac:dyDescent="0.3">
      <c r="D73" t="str">
        <v>Pueblo Suyo</v>
      </c>
      <c r="M73" t="str">
        <v>Bendice, alma mía, al Señor</v>
      </c>
      <c r="N73" t="str">
        <v>La piel por Ti</v>
      </c>
      <c r="T73" t="str">
        <v>Arcilla entre sus manos</v>
      </c>
      <c r="Z73" t="str">
        <v>Esto que te doy</v>
      </c>
      <c r="AG73" t="str">
        <v>Tú, luz del mundo</v>
      </c>
    </row>
    <row r="74" spans="4:33" x14ac:dyDescent="0.3">
      <c r="D74" t="str">
        <v>Quedas libre</v>
      </c>
      <c r="M74" t="str">
        <v>Alégrate y goza, Jerusalén</v>
      </c>
      <c r="N74" t="str">
        <v>El abrazo</v>
      </c>
      <c r="T74" t="str">
        <v>Tú eres del Señor</v>
      </c>
      <c r="Z74" t="str">
        <v>Corazón inquieto</v>
      </c>
      <c r="AG74" t="str">
        <v>Aleluya 11</v>
      </c>
    </row>
    <row r="75" spans="4:33" x14ac:dyDescent="0.3">
      <c r="D75" t="str">
        <v>Si le dais posada</v>
      </c>
      <c r="M75" t="str">
        <v>Te doy gracias, Señor</v>
      </c>
      <c r="N75" t="str">
        <v>En lo hondo</v>
      </c>
      <c r="T75" t="str">
        <v>Junto a ti, María</v>
      </c>
      <c r="Z75" t="str">
        <v>Alma misionera</v>
      </c>
      <c r="AG75" t="str">
        <v>Deja ahora</v>
      </c>
    </row>
    <row r="76" spans="4:33" x14ac:dyDescent="0.3">
      <c r="D76" t="str">
        <v>Es mi hermano</v>
      </c>
      <c r="M76" t="str">
        <v>Aleluya, aleluya, aleluya</v>
      </c>
      <c r="N76" t="str">
        <v>Colombia</v>
      </c>
      <c r="T76" t="str">
        <v>Tú eres María</v>
      </c>
      <c r="Z76" t="str">
        <v>El que muere por mí</v>
      </c>
      <c r="AG76" t="str">
        <v>Dios es ternura</v>
      </c>
    </row>
    <row r="77" spans="4:33" x14ac:dyDescent="0.3">
      <c r="D77" t="str">
        <v>Jesús</v>
      </c>
      <c r="M77" t="str">
        <v>Alabad al Señor por su inmensa grandeza</v>
      </c>
      <c r="N77" t="str">
        <v>Vértigo</v>
      </c>
      <c r="T77" t="str">
        <v>Pregón Pascual (Aleluya)</v>
      </c>
      <c r="Z77" t="str">
        <v>Quiero ser, oh, Señor</v>
      </c>
      <c r="AG77" t="str">
        <v>Dios te salve</v>
      </c>
    </row>
    <row r="78" spans="4:33" x14ac:dyDescent="0.3">
      <c r="D78" t="str">
        <v>El Reino de Dios</v>
      </c>
      <c r="M78" t="str">
        <v>Señor, Dios nuestro</v>
      </c>
      <c r="N78" t="str">
        <v>Conciénciame</v>
      </c>
      <c r="T78" t="str">
        <v>Nacidos de mujer</v>
      </c>
      <c r="Z78" t="str">
        <v>El camino no lo haremos solos</v>
      </c>
      <c r="AG78" t="str">
        <v>Dios, muéstrame tu senda</v>
      </c>
    </row>
    <row r="79" spans="4:33" x14ac:dyDescent="0.3">
      <c r="D79" t="str">
        <v>Recibid mi Espíritu</v>
      </c>
      <c r="M79" t="str">
        <v>Señor, tú has sido nuestro refugio</v>
      </c>
      <c r="N79" t="str">
        <v>Bendito</v>
      </c>
      <c r="T79" t="str">
        <v>Haced lo que Él os diga</v>
      </c>
      <c r="Z79" t="str">
        <v>Salve, Regina</v>
      </c>
      <c r="AG79" t="str">
        <v>Feliz quien se abandona</v>
      </c>
    </row>
    <row r="80" spans="4:33" x14ac:dyDescent="0.3">
      <c r="D80" t="str">
        <v>Confía</v>
      </c>
      <c r="M80" t="str">
        <v>Cantaré eternamente</v>
      </c>
      <c r="N80" t="str">
        <v>Arde (San José)</v>
      </c>
      <c r="T80" t="str">
        <v>En comunidad</v>
      </c>
      <c r="Z80" t="str">
        <v>Santo (Händel)</v>
      </c>
      <c r="AG80" t="str">
        <v>Ten piedad, Señor 1</v>
      </c>
    </row>
    <row r="81" spans="4:33" x14ac:dyDescent="0.3">
      <c r="D81" t="str">
        <v>Como Tú</v>
      </c>
      <c r="M81" t="str">
        <v>Oh, Dios, Tú mereces un himno en Sión</v>
      </c>
      <c r="N81" t="str">
        <v>Todos por todos</v>
      </c>
      <c r="T81" t="str">
        <v>Danos tu espíritu</v>
      </c>
      <c r="Z81" t="str">
        <v>Yo te nombro, libertad</v>
      </c>
      <c r="AG81" t="str">
        <v>Un canto nuevo</v>
      </c>
    </row>
    <row r="82" spans="4:33" x14ac:dyDescent="0.3">
      <c r="D82" t="str">
        <v>Pequeño Israel</v>
      </c>
      <c r="M82" t="str">
        <v>Aclamad, justos, al Señor</v>
      </c>
      <c r="N82" t="str">
        <v>Forofos</v>
      </c>
      <c r="T82" t="str">
        <v>Gloria (por María)</v>
      </c>
      <c r="Z82" t="str">
        <v>Tú eres capaz</v>
      </c>
      <c r="AG82" t="str">
        <v>Levanto mi alma</v>
      </c>
    </row>
    <row r="83" spans="4:33" x14ac:dyDescent="0.3">
      <c r="D83" t="str">
        <v>Vivid en comunión</v>
      </c>
      <c r="M83" t="str">
        <v>Ven a salvar a tu pueblo</v>
      </c>
      <c r="N83" t="str">
        <v>A ti te alabo</v>
      </c>
      <c r="T83" t="str">
        <v>Pequeño corazón</v>
      </c>
      <c r="Z83" t="str">
        <v>Dame, Señor, un corazón feliz</v>
      </c>
      <c r="AG83" t="str">
        <v>Misericordias Domini</v>
      </c>
    </row>
    <row r="84" spans="4:33" x14ac:dyDescent="0.3">
      <c r="D84" t="str">
        <v>Vengan a mí</v>
      </c>
      <c r="M84" t="str">
        <v>Vaso nuevo</v>
      </c>
      <c r="N84" t="str">
        <v>Los coros del universo</v>
      </c>
      <c r="T84" t="str">
        <v>Credo</v>
      </c>
      <c r="Z84" t="str">
        <v>Como habían dicho los profetas</v>
      </c>
      <c r="AG84" t="str">
        <v>Nada te turbe</v>
      </c>
    </row>
    <row r="85" spans="4:33" x14ac:dyDescent="0.3">
      <c r="D85" t="str">
        <v>Os envío</v>
      </c>
      <c r="M85" t="str">
        <v>Si me falta el amor</v>
      </c>
      <c r="N85" t="str">
        <v>En medio del fuego</v>
      </c>
      <c r="T85" t="str">
        <v>Creo en ti</v>
      </c>
      <c r="Z85" t="str">
        <v>Cantan los ángeles en Belén</v>
      </c>
      <c r="AG85" t="str">
        <v>Ubi caritas</v>
      </c>
    </row>
    <row r="86" spans="4:33" x14ac:dyDescent="0.3">
      <c r="D86" t="str">
        <v>Fuego</v>
      </c>
      <c r="N86" t="str">
        <v>Aleluya</v>
      </c>
      <c r="T86" t="str">
        <v>A las tres de la tarde</v>
      </c>
      <c r="Z86" t="str">
        <v>Si cada noche fuera Nochebuena</v>
      </c>
      <c r="AG86" t="str">
        <v>Magnificat (canon)</v>
      </c>
    </row>
    <row r="87" spans="4:33" x14ac:dyDescent="0.3">
      <c r="D87" t="str">
        <v>Mujeres en camino</v>
      </c>
      <c r="N87" t="str">
        <v>Ruah</v>
      </c>
      <c r="T87" t="str">
        <v>Vino nuevo</v>
      </c>
      <c r="Z87" t="str">
        <v>Esto es Navidad</v>
      </c>
      <c r="AG87" t="str">
        <v>De noche</v>
      </c>
    </row>
    <row r="88" spans="4:33" x14ac:dyDescent="0.3">
      <c r="D88" t="str">
        <v>No temas</v>
      </c>
      <c r="N88" t="str">
        <v>Padre</v>
      </c>
      <c r="T88" t="str">
        <v>Te seguiré</v>
      </c>
      <c r="Z88" t="str">
        <v>María, mírame</v>
      </c>
      <c r="AG88" t="str">
        <v>Confitemini Domino</v>
      </c>
    </row>
    <row r="89" spans="4:33" x14ac:dyDescent="0.3">
      <c r="D89" t="str">
        <v>Abre mis puertas</v>
      </c>
      <c r="N89" t="str">
        <v>Te alabaré</v>
      </c>
      <c r="T89" t="str">
        <v>Un solo corazón</v>
      </c>
      <c r="Z89" t="str">
        <v>Alimento de amor (El loco)</v>
      </c>
      <c r="AG89" t="str">
        <v>Laudate omnes gentes</v>
      </c>
    </row>
    <row r="90" spans="4:33" x14ac:dyDescent="0.3">
      <c r="D90" t="str">
        <v>Danos de beber</v>
      </c>
      <c r="N90" t="str">
        <v>Sanas</v>
      </c>
      <c r="T90" t="str">
        <v>Cristo Señor</v>
      </c>
      <c r="Z90" t="str">
        <v>Ven, si te has caído levántate</v>
      </c>
      <c r="AG90" t="str">
        <v>Aber du weisst den Weg für mich</v>
      </c>
    </row>
    <row r="91" spans="4:33" x14ac:dyDescent="0.3">
      <c r="D91" t="str">
        <v>Secuencia pascual</v>
      </c>
      <c r="N91" t="str">
        <v>Sólo Tú</v>
      </c>
      <c r="T91" t="str">
        <v>Tú serás mi hermano</v>
      </c>
      <c r="Z91" t="str">
        <v>Ven, Espíritu divino (Secuencia de Pentecostés)</v>
      </c>
      <c r="AG91" t="str">
        <v>Behüte mich Gott</v>
      </c>
    </row>
    <row r="92" spans="4:33" x14ac:dyDescent="0.3">
      <c r="D92" t="str">
        <v>Sólo en Dios</v>
      </c>
      <c r="N92" t="str">
        <v>El único rey</v>
      </c>
      <c r="T92" t="str">
        <v>Cristo</v>
      </c>
      <c r="Z92" t="str">
        <v>Cantemos al amor de los amores</v>
      </c>
      <c r="AG92" t="str">
        <v>Bénissez le Seigneur</v>
      </c>
    </row>
    <row r="93" spans="4:33" x14ac:dyDescent="0.3">
      <c r="D93" t="str">
        <v>Cantad al Señor</v>
      </c>
      <c r="N93" t="str">
        <v>Hoy en Belén</v>
      </c>
      <c r="T93" t="str">
        <v>Allí estás tú</v>
      </c>
      <c r="Z93" t="str">
        <v>Sigue habiendo</v>
      </c>
      <c r="AG93" t="str">
        <v>Despierta tú que duermes</v>
      </c>
    </row>
    <row r="94" spans="4:33" x14ac:dyDescent="0.3">
      <c r="D94" t="str">
        <v>Agua viva</v>
      </c>
      <c r="N94" t="str">
        <v>Lo imposible</v>
      </c>
      <c r="T94" t="str">
        <v>Deja que en tu vida cante Él</v>
      </c>
      <c r="Z94" t="str">
        <v>Caminaré hoy en tu presencia</v>
      </c>
      <c r="AG94" t="str">
        <v>Dieu ne peut que donner</v>
      </c>
    </row>
    <row r="95" spans="4:33" x14ac:dyDescent="0.3">
      <c r="D95" t="str">
        <v>Fuego y abrazo</v>
      </c>
      <c r="N95" t="str">
        <v>Del cielo</v>
      </c>
      <c r="T95" t="str">
        <v>Grito libertad</v>
      </c>
      <c r="Z95" t="str">
        <v>Como sal, como luz</v>
      </c>
      <c r="AG95" t="str">
        <v>In manus tuas</v>
      </c>
    </row>
    <row r="96" spans="4:33" x14ac:dyDescent="0.3">
      <c r="D96" t="str">
        <v>Habitaré</v>
      </c>
      <c r="N96" t="str">
        <v>Juntos</v>
      </c>
      <c r="T96" t="str">
        <v>Sí, Jesús</v>
      </c>
      <c r="Z96" t="str">
        <v>Muéveme mi Dios</v>
      </c>
      <c r="AG96" t="str">
        <v>In resurrectione tua</v>
      </c>
    </row>
    <row r="97" spans="4:33" x14ac:dyDescent="0.3">
      <c r="D97" t="str">
        <v>Discípulos</v>
      </c>
      <c r="T97" t="str">
        <v>No temáis</v>
      </c>
      <c r="Z97" t="str">
        <v>Aleluya por esa gente</v>
      </c>
      <c r="AG97" t="str">
        <v>Jesus, remember me</v>
      </c>
    </row>
    <row r="98" spans="4:33" x14ac:dyDescent="0.3">
      <c r="D98" t="str">
        <v>No os dejo solos</v>
      </c>
      <c r="T98" t="str">
        <v>La libertad del Espíritu</v>
      </c>
      <c r="Z98" t="str">
        <v>Santo (Olguín)</v>
      </c>
      <c r="AG98" t="str">
        <v>Jubilate coeli (canon)</v>
      </c>
    </row>
    <row r="99" spans="4:33" x14ac:dyDescent="0.3">
      <c r="D99" t="str">
        <v>Por amor a tu pueblo</v>
      </c>
      <c r="T99" t="str">
        <v>Quéjate si puedes</v>
      </c>
      <c r="Z99" t="str">
        <v>No temas</v>
      </c>
      <c r="AG99" t="str">
        <v>Let all who are thirsty come</v>
      </c>
    </row>
    <row r="100" spans="4:33" x14ac:dyDescent="0.3">
      <c r="D100" t="str">
        <v>Llama de amor viva</v>
      </c>
      <c r="T100" t="str">
        <v>Lo entregaron todo</v>
      </c>
      <c r="Z100" t="str">
        <v>Dios está aquí</v>
      </c>
      <c r="AG100" t="str">
        <v>Para mim, ser feliz</v>
      </c>
    </row>
    <row r="101" spans="4:33" x14ac:dyDescent="0.3">
      <c r="D101" t="str">
        <v>La piedra angular</v>
      </c>
      <c r="T101" t="str">
        <v>Vale más hablar con Dios</v>
      </c>
      <c r="Z101" t="str">
        <v>La cena del Señor</v>
      </c>
      <c r="AG101" t="str">
        <v>Surrexit Christus</v>
      </c>
    </row>
    <row r="102" spans="4:33" x14ac:dyDescent="0.3">
      <c r="D102" t="str">
        <v>Como pan pequeño</v>
      </c>
      <c r="T102" t="str">
        <v>De lo débil saca fuerzas Dios</v>
      </c>
      <c r="Z102" t="str">
        <v>Santo (Cielo y tierra pasarán)</v>
      </c>
      <c r="AG102" t="str">
        <v>Tu sei sorgente viva</v>
      </c>
    </row>
    <row r="103" spans="4:33" x14ac:dyDescent="0.3">
      <c r="D103" t="str">
        <v>En ti</v>
      </c>
      <c r="T103" t="str">
        <v>Fueron valientes</v>
      </c>
      <c r="Z103" t="str">
        <v>Tus manos son palomas de la paz</v>
      </c>
      <c r="AG103" t="str">
        <v>Adoramus te O Christe</v>
      </c>
    </row>
    <row r="104" spans="4:33" x14ac:dyDescent="0.3">
      <c r="D104" t="str">
        <v>Ven, Señor</v>
      </c>
      <c r="T104" t="str">
        <v>Te reclamarán la vida</v>
      </c>
      <c r="Z104" t="str">
        <v>Himno a San José</v>
      </c>
      <c r="AG104" t="str">
        <v>Eat this bread</v>
      </c>
    </row>
    <row r="105" spans="4:33" x14ac:dyDescent="0.3">
      <c r="D105" t="str">
        <v>Volemos</v>
      </c>
      <c r="T105" t="str">
        <v>Esperad al Señor</v>
      </c>
      <c r="Z105" t="str">
        <v>Navidad, Navidad</v>
      </c>
      <c r="AG105" t="str">
        <v>Jesus Christ, bread of life</v>
      </c>
    </row>
    <row r="106" spans="4:33" x14ac:dyDescent="0.3">
      <c r="D106" t="str">
        <v>Yo soy</v>
      </c>
      <c r="T106" t="str">
        <v>Buena Madre</v>
      </c>
      <c r="Z106" t="str">
        <v>Navidad, es Navidad</v>
      </c>
      <c r="AG106" t="str">
        <v>Spiritus Jesu Christi</v>
      </c>
    </row>
    <row r="107" spans="4:33" x14ac:dyDescent="0.3">
      <c r="D107" t="str">
        <v>A toda la tierra alcanza su pregón</v>
      </c>
      <c r="T107" t="str">
        <v>Constrúyenos la casa</v>
      </c>
      <c r="Z107" t="str">
        <v>Principio y fundamento</v>
      </c>
      <c r="AG107" t="str">
        <v>Tu palabra, Señor</v>
      </c>
    </row>
    <row r="108" spans="4:33" x14ac:dyDescent="0.3">
      <c r="D108" t="str">
        <v>Con amor eterno</v>
      </c>
      <c r="T108" t="str">
        <v>Hermano entre los hombres</v>
      </c>
      <c r="Z108" t="str">
        <v>Alegrémonos, hermanos</v>
      </c>
      <c r="AG108" t="str">
        <v>Alleluia 22</v>
      </c>
    </row>
    <row r="109" spans="4:33" x14ac:dyDescent="0.3">
      <c r="D109" t="str">
        <v>Lámpara es tu palabra</v>
      </c>
      <c r="T109" t="str">
        <v>En torno al pan</v>
      </c>
      <c r="Z109" t="str">
        <v>Juntos cantemos hoy</v>
      </c>
      <c r="AG109" t="str">
        <v>Alleluia 94</v>
      </c>
    </row>
    <row r="110" spans="4:33" x14ac:dyDescent="0.3">
      <c r="D110" t="str">
        <v>Anunciarte</v>
      </c>
      <c r="T110" t="str">
        <v>Acuérdate, María</v>
      </c>
      <c r="Z110" t="str">
        <v>Jesús, nuestra Pascua</v>
      </c>
      <c r="AG110" t="str">
        <v>Beati voi poveri</v>
      </c>
    </row>
    <row r="111" spans="4:33" x14ac:dyDescent="0.3">
      <c r="D111" t="str">
        <v>Invítanos</v>
      </c>
      <c r="T111" t="str">
        <v>Hermano, adiós</v>
      </c>
      <c r="Z111" t="str">
        <v>Ayúdame a caminar</v>
      </c>
      <c r="AG111" t="str">
        <v>Dans nos obscurités</v>
      </c>
    </row>
    <row r="112" spans="4:33" x14ac:dyDescent="0.3">
      <c r="D112" t="str">
        <v>Hágase</v>
      </c>
      <c r="T112" t="str">
        <v>En tu cruz sigues hoy</v>
      </c>
      <c r="Z112" t="str">
        <v>La palabra nos la dio el Señor</v>
      </c>
      <c r="AG112" t="str">
        <v>Jubelt und freut euch</v>
      </c>
    </row>
    <row r="113" spans="4:33" x14ac:dyDescent="0.3">
      <c r="D113" t="str">
        <v>Creatura habitada</v>
      </c>
      <c r="T113" t="str">
        <v>En la cruz nos das la vida</v>
      </c>
      <c r="Z113" t="str">
        <v>Alabad al Señor en su templo</v>
      </c>
      <c r="AG113" t="str">
        <v>Staňte se solí</v>
      </c>
    </row>
    <row r="114" spans="4:33" x14ac:dyDescent="0.3">
      <c r="D114" t="str">
        <v>El hombre de Gerasa</v>
      </c>
      <c r="T114" t="str">
        <v>Siento tu llamada</v>
      </c>
      <c r="Z114" t="str">
        <v>Lámpara es tu palabra</v>
      </c>
      <c r="AG114" t="str">
        <v>Surrexit Dominus vere (canon)</v>
      </c>
    </row>
    <row r="115" spans="4:33" x14ac:dyDescent="0.3">
      <c r="D115" t="str">
        <v>Llueve Tú</v>
      </c>
      <c r="T115" t="str">
        <v>El Señor es la esperanza</v>
      </c>
      <c r="Z115" t="str">
        <v>Oh, Dios, tú eres mi Dios (Sed de Dios)</v>
      </c>
      <c r="AG115" t="str">
        <v>Bleibet hier</v>
      </c>
    </row>
    <row r="116" spans="4:33" x14ac:dyDescent="0.3">
      <c r="D116" t="str">
        <v>Benedictus</v>
      </c>
      <c r="T116" t="str">
        <v>El Señor está aquí</v>
      </c>
      <c r="Z116" t="str">
        <v>Resucitó, aleluya</v>
      </c>
      <c r="AG116" t="str">
        <v>Bless the Lord</v>
      </c>
    </row>
    <row r="117" spans="4:33" x14ac:dyDescent="0.3">
      <c r="D117" t="str">
        <v>Heme aquí</v>
      </c>
      <c r="T117" t="str">
        <v>Caminad</v>
      </c>
      <c r="Z117" t="str">
        <v>Yo celebraré</v>
      </c>
      <c r="AG117" t="str">
        <v>Bonum est confidere</v>
      </c>
    </row>
    <row r="118" spans="4:33" x14ac:dyDescent="0.3">
      <c r="T118" t="str">
        <v>Acógeme, Dios</v>
      </c>
      <c r="Z118" t="str">
        <v>Canta aleluya</v>
      </c>
      <c r="AG118" t="str">
        <v>Christe Salvator</v>
      </c>
    </row>
    <row r="119" spans="4:33" x14ac:dyDescent="0.3">
      <c r="T119" t="str">
        <v>María, madre del dolor</v>
      </c>
      <c r="Z119" t="str">
        <v>Fe no es aguardar</v>
      </c>
      <c r="AG119" t="str">
        <v>Da pacem cordium (canon)</v>
      </c>
    </row>
    <row r="120" spans="4:33" x14ac:dyDescent="0.3">
      <c r="T120" t="str">
        <v>El Señor nos ha reunido</v>
      </c>
      <c r="Z120" t="str">
        <v>Acuérdate de Jesucristo</v>
      </c>
      <c r="AG120" t="str">
        <v>Dominus spiritus est</v>
      </c>
    </row>
    <row r="121" spans="4:33" x14ac:dyDescent="0.3">
      <c r="T121" t="str">
        <v>Llama de vida</v>
      </c>
      <c r="Z121" t="str">
        <v>Anunciaremos tu Reino, Señor</v>
      </c>
      <c r="AG121" t="str">
        <v>El Senyor</v>
      </c>
    </row>
    <row r="122" spans="4:33" x14ac:dyDescent="0.3">
      <c r="T122" t="str">
        <v>Venga tu reino</v>
      </c>
      <c r="Z122" t="str">
        <v>Oh, Señor, envía tu Espíritu</v>
      </c>
      <c r="AG122" t="str">
        <v>Jésus le Christ</v>
      </c>
    </row>
    <row r="123" spans="4:33" x14ac:dyDescent="0.3">
      <c r="T123" t="str">
        <v>Pregón Pascual (Gloria)</v>
      </c>
      <c r="Z123" t="str">
        <v>Un solo Señor</v>
      </c>
      <c r="AG123" t="str">
        <v>Kyrie 20</v>
      </c>
    </row>
    <row r="124" spans="4:33" x14ac:dyDescent="0.3">
      <c r="T124" t="str">
        <v>Mirad, Jesús resucita hoy</v>
      </c>
      <c r="Z124" t="str">
        <v>Sois la sal</v>
      </c>
      <c r="AG124" t="str">
        <v>Kyrie 8</v>
      </c>
    </row>
    <row r="125" spans="4:33" x14ac:dyDescent="0.3">
      <c r="T125" t="str">
        <v>Somos testigos</v>
      </c>
      <c r="Z125" t="str">
        <v>Amando hasta el extremo</v>
      </c>
      <c r="AG125" t="str">
        <v>Per crucem</v>
      </c>
    </row>
    <row r="126" spans="4:33" x14ac:dyDescent="0.3">
      <c r="T126" t="str">
        <v>Tu camino y tu verdad</v>
      </c>
      <c r="Z126" t="str">
        <v>Quiero alabarte</v>
      </c>
      <c r="AG126" t="str">
        <v>Sanasi on lamppu</v>
      </c>
    </row>
    <row r="127" spans="4:33" x14ac:dyDescent="0.3">
      <c r="T127" t="str">
        <v>Seguir amando</v>
      </c>
      <c r="Z127" t="str">
        <v>Jesús, amigo</v>
      </c>
      <c r="AG127" t="str">
        <v>Voici Dieu qui vient à mon secours</v>
      </c>
    </row>
    <row r="128" spans="4:33" x14ac:dyDescent="0.3">
      <c r="T128" t="str">
        <v>Y se vive la vida</v>
      </c>
      <c r="Z128" t="str">
        <v>Te amo, Señor</v>
      </c>
      <c r="AG128" t="str">
        <v>Zu wem sollen wir gehen</v>
      </c>
    </row>
    <row r="129" spans="20:33" x14ac:dyDescent="0.3">
      <c r="T129" t="str">
        <v>Jesús, cámbianos</v>
      </c>
      <c r="Z129" t="str">
        <v>Quién nos separará</v>
      </c>
      <c r="AG129" t="str">
        <v>Da pacem... in diebus</v>
      </c>
    </row>
    <row r="130" spans="20:33" x14ac:dyDescent="0.3">
      <c r="T130" t="str">
        <v>Como María</v>
      </c>
      <c r="Z130" t="str">
        <v>Adiós, adiós amigos</v>
      </c>
      <c r="AG130" t="str">
        <v>L’ajuda em vindrà</v>
      </c>
    </row>
    <row r="131" spans="20:33" x14ac:dyDescent="0.3">
      <c r="T131" t="str">
        <v>Nos marca el caminar</v>
      </c>
      <c r="Z131" t="str">
        <v>Nadie te ama como Yo</v>
      </c>
      <c r="AG131" t="str">
        <v>Alleluia 17</v>
      </c>
    </row>
    <row r="132" spans="20:33" x14ac:dyDescent="0.3">
      <c r="T132" t="str">
        <v>Soy mujer</v>
      </c>
      <c r="Z132" t="str">
        <v>Hágase</v>
      </c>
      <c r="AG132" t="str">
        <v>Alleluia 96</v>
      </c>
    </row>
    <row r="133" spans="20:33" x14ac:dyDescent="0.3">
      <c r="T133" t="str">
        <v>En ti solo descanso</v>
      </c>
      <c r="Z133" t="str">
        <v>No se cansó de hacer el bien</v>
      </c>
      <c r="AG133" t="str">
        <v>Alleluia 97</v>
      </c>
    </row>
    <row r="134" spans="20:33" x14ac:dyDescent="0.3">
      <c r="T134" t="str">
        <v>Dios de la vida</v>
      </c>
      <c r="Z134" t="str">
        <v>María de Nazaret</v>
      </c>
      <c r="AG134" t="str">
        <v>Cantarei ao Senhor</v>
      </c>
    </row>
    <row r="135" spans="20:33" x14ac:dyDescent="0.3">
      <c r="T135" t="str">
        <v>Sueña</v>
      </c>
      <c r="Z135" t="str">
        <v>Yendo contigo</v>
      </c>
      <c r="AG135" t="str">
        <v>Deus, Deus meus (canon)</v>
      </c>
    </row>
    <row r="136" spans="20:33" x14ac:dyDescent="0.3">
      <c r="T136" t="str">
        <v>Paz en la tierra</v>
      </c>
      <c r="Z136" t="str">
        <v>Creo, Señor, firmemente</v>
      </c>
      <c r="AG136" t="str">
        <v>Dona la pace</v>
      </c>
    </row>
    <row r="137" spans="20:33" x14ac:dyDescent="0.3">
      <c r="T137" t="str">
        <v>Me estás llamando</v>
      </c>
      <c r="Z137" t="str">
        <v>No hay cosa más bonita que mirar</v>
      </c>
      <c r="AG137" t="str">
        <v>Dona nobis pacem</v>
      </c>
    </row>
    <row r="138" spans="20:33" x14ac:dyDescent="0.3">
      <c r="T138" t="str">
        <v>Todo mi ser (Alabo tu bondad)</v>
      </c>
      <c r="Z138" t="str">
        <v>Santo salvadoreño</v>
      </c>
      <c r="AG138" t="str">
        <v>El alma que anda en amor</v>
      </c>
    </row>
    <row r="139" spans="20:33" x14ac:dyDescent="0.3">
      <c r="T139" t="str">
        <v>Tocaré para ti</v>
      </c>
      <c r="Z139" t="str">
        <v>Vamos todos al banquete</v>
      </c>
      <c r="AG139" t="str">
        <v>Esprit consolateur</v>
      </c>
    </row>
    <row r="140" spans="20:33" x14ac:dyDescent="0.3">
      <c r="T140" t="str">
        <v>El amor es nuestro canto</v>
      </c>
      <c r="Z140" t="str">
        <v>Cordero de Dios (MiEs)</v>
      </c>
      <c r="AG140" t="str">
        <v>Jésus, ma joie</v>
      </c>
    </row>
    <row r="141" spans="20:33" x14ac:dyDescent="0.3">
      <c r="T141" t="str">
        <v>Enséñanos a orar</v>
      </c>
      <c r="Z141" t="str">
        <v>Santo (Mocedades)</v>
      </c>
      <c r="AG141" t="str">
        <v>Kyrie 6</v>
      </c>
    </row>
    <row r="142" spans="20:33" x14ac:dyDescent="0.3">
      <c r="T142" t="str">
        <v>Tú, Señor</v>
      </c>
      <c r="Z142" t="str">
        <v>Aleluya (Santiago)</v>
      </c>
      <c r="AG142" t="str">
        <v>Laudate Dominum</v>
      </c>
    </row>
    <row r="143" spans="20:33" x14ac:dyDescent="0.3">
      <c r="T143" t="str">
        <v>Esperando con María</v>
      </c>
      <c r="Z143" t="str">
        <v>El Señor es mi pastor (Nico Montero)</v>
      </c>
      <c r="AG143" t="str">
        <v>Psallite Deo</v>
      </c>
    </row>
    <row r="144" spans="20:33" x14ac:dyDescent="0.3">
      <c r="T144" t="str">
        <v>Ven, Espíritu de Dios (Kairoi)</v>
      </c>
      <c r="Z144" t="str">
        <v>Una voz clama en el desierto</v>
      </c>
      <c r="AG144" t="str">
        <v>I am sure I shall see</v>
      </c>
    </row>
    <row r="145" spans="20:33" x14ac:dyDescent="0.3">
      <c r="T145" t="str">
        <v>Padre nuestro I</v>
      </c>
      <c r="Z145" t="str">
        <v>Gritad que Dios es grande</v>
      </c>
      <c r="AG145" t="str">
        <v>Jubilate Deo</v>
      </c>
    </row>
    <row r="146" spans="20:33" x14ac:dyDescent="0.3">
      <c r="T146" t="str">
        <v>Amaos (Como el Padre me amó)</v>
      </c>
      <c r="Z146" t="str">
        <v>La noticia es amor</v>
      </c>
      <c r="AG146" t="str">
        <v>V tebi je izvir življenja</v>
      </c>
    </row>
    <row r="147" spans="20:33" x14ac:dyDescent="0.3">
      <c r="Z147" t="str">
        <v>Juntos nos acercamos</v>
      </c>
      <c r="AG147" t="str">
        <v>Vieni Spirito creatore (canon)</v>
      </c>
    </row>
    <row r="148" spans="20:33" x14ac:dyDescent="0.3">
      <c r="Z148" t="str">
        <v>Aquí tienes el Pan</v>
      </c>
      <c r="AG148" t="str">
        <v>Wysławiajcie Pana</v>
      </c>
    </row>
    <row r="149" spans="20:33" x14ac:dyDescent="0.3">
      <c r="Z149" t="str">
        <v>Hay un corazón que late</v>
      </c>
      <c r="AG149" t="str">
        <v>Alleluia 7</v>
      </c>
    </row>
    <row r="150" spans="20:33" x14ac:dyDescent="0.3">
      <c r="Z150" t="str">
        <v>Adorando</v>
      </c>
      <c r="AG150" t="str">
        <v>Benedictus qui venit (canon)</v>
      </c>
    </row>
    <row r="151" spans="20:33" x14ac:dyDescent="0.3">
      <c r="Z151" t="str">
        <v>Padre nuestro zaragozano</v>
      </c>
      <c r="AG151" t="str">
        <v>Crucem tuam</v>
      </c>
    </row>
    <row r="152" spans="20:33" x14ac:dyDescent="0.3">
      <c r="Z152" t="str">
        <v>A ti acudo</v>
      </c>
      <c r="AG152" t="str">
        <v>Iedere nacht verlang ik</v>
      </c>
    </row>
    <row r="153" spans="20:33" x14ac:dyDescent="0.3">
      <c r="Z153" t="str">
        <v>Cantad a Dios</v>
      </c>
      <c r="AG153" t="str">
        <v>Señor, que florezca tu justicia</v>
      </c>
    </row>
    <row r="154" spans="20:33" x14ac:dyDescent="0.3">
      <c r="Z154" t="str">
        <v>María, fuiste siempre pobre de Yahvé</v>
      </c>
      <c r="AG154" t="str">
        <v>The kingdom of God</v>
      </c>
    </row>
    <row r="155" spans="20:33" x14ac:dyDescent="0.3">
      <c r="Z155" t="str">
        <v>Nacerá una nueva hermandad</v>
      </c>
      <c r="AG155" t="str">
        <v>Tui amoris</v>
      </c>
    </row>
    <row r="156" spans="20:33" x14ac:dyDescent="0.3">
      <c r="Z156" t="str">
        <v>Tomado de la mano</v>
      </c>
      <c r="AG156" t="str">
        <v>Christe, lux mundi</v>
      </c>
    </row>
    <row r="157" spans="20:33" x14ac:dyDescent="0.3">
      <c r="Z157" t="str">
        <v>A ti que eres el signo</v>
      </c>
      <c r="AG157" t="str">
        <v>Il Signore ti ristora</v>
      </c>
    </row>
    <row r="158" spans="20:33" x14ac:dyDescent="0.3">
      <c r="Z158" t="str">
        <v>Como lo había anunciado</v>
      </c>
      <c r="AG158" t="str">
        <v>Alleluia 11</v>
      </c>
    </row>
    <row r="159" spans="20:33" x14ac:dyDescent="0.3">
      <c r="Z159" t="str">
        <v>María, guardabas todo</v>
      </c>
      <c r="AG159" t="str">
        <v>Bóg jest miłością</v>
      </c>
    </row>
    <row r="160" spans="20:33" x14ac:dyDescent="0.3">
      <c r="Z160" t="str">
        <v>Ilumíname, Señor</v>
      </c>
      <c r="AG160" t="str">
        <v>Bogoroditse Dievo 1</v>
      </c>
    </row>
    <row r="161" spans="26:33" x14ac:dyDescent="0.3">
      <c r="Z161" t="str">
        <v>Mi Dios está vivo</v>
      </c>
      <c r="AG161" t="str">
        <v>Cantate Domino canticum novum</v>
      </c>
    </row>
    <row r="162" spans="26:33" x14ac:dyDescent="0.3">
      <c r="Z162" t="str">
        <v>Gracias, Señor</v>
      </c>
      <c r="AG162" t="str">
        <v>Herre, visa mig vägen</v>
      </c>
    </row>
    <row r="163" spans="26:33" x14ac:dyDescent="0.3">
      <c r="Z163" t="str">
        <v>Dime cómo ser pan</v>
      </c>
      <c r="AG163" t="str">
        <v>Heureux qui s’abandonne à toi</v>
      </c>
    </row>
    <row r="164" spans="26:33" x14ac:dyDescent="0.3">
      <c r="Z164" t="str">
        <v>Cerca de Ti, Señor</v>
      </c>
      <c r="AG164" t="str">
        <v>Kyrie 1</v>
      </c>
    </row>
    <row r="165" spans="26:33" x14ac:dyDescent="0.3">
      <c r="Z165" t="str">
        <v>Padre nuestro, tú que estás</v>
      </c>
      <c r="AG165" t="str">
        <v>Nunc dimittis</v>
      </c>
    </row>
    <row r="166" spans="26:33" x14ac:dyDescent="0.3">
      <c r="Z166" t="str">
        <v>Quiero caminar</v>
      </c>
      <c r="AG166" t="str">
        <v>Ad te Jesu Christe</v>
      </c>
    </row>
    <row r="167" spans="26:33" x14ac:dyDescent="0.3">
      <c r="Z167" t="str">
        <v>Preparad el camino al Señor</v>
      </c>
    </row>
    <row r="168" spans="26:33" x14ac:dyDescent="0.3">
      <c r="Z168" t="str">
        <v>Yo soy el Pan de Vida</v>
      </c>
    </row>
    <row r="169" spans="26:33" x14ac:dyDescent="0.3">
      <c r="Z169" t="str">
        <v>Santo (The Beatles)</v>
      </c>
    </row>
    <row r="170" spans="26:33" x14ac:dyDescent="0.3">
      <c r="Z170" t="str">
        <v>Junto a ti al caer de la tarde</v>
      </c>
    </row>
    <row r="171" spans="26:33" x14ac:dyDescent="0.3">
      <c r="Z171" t="str">
        <v>Cordero de Dios (Aragüés)</v>
      </c>
    </row>
    <row r="172" spans="26:33" x14ac:dyDescent="0.3">
      <c r="Z172" t="str">
        <v>A dónde me queréis llevar</v>
      </c>
    </row>
    <row r="173" spans="26:33" x14ac:dyDescent="0.3">
      <c r="Z173" t="str">
        <v>Algo nuevo</v>
      </c>
    </row>
    <row r="174" spans="26:33" x14ac:dyDescent="0.3">
      <c r="Z174" t="str">
        <v>Santo, Santo, Santo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C45-DBA8-4C31-A2F5-032BA8E1E8FA}">
  <sheetPr codeName="Hoja4"/>
  <dimension ref="A1:J36"/>
  <sheetViews>
    <sheetView workbookViewId="0">
      <selection activeCell="C2" sqref="C2"/>
    </sheetView>
  </sheetViews>
  <sheetFormatPr baseColWidth="10" defaultRowHeight="14.4" x14ac:dyDescent="0.3"/>
  <cols>
    <col min="2" max="2" width="19.21875" bestFit="1" customWidth="1"/>
    <col min="3" max="3" width="31.21875" bestFit="1" customWidth="1"/>
  </cols>
  <sheetData>
    <row r="1" spans="1:10" x14ac:dyDescent="0.3">
      <c r="A1" t="s">
        <v>0</v>
      </c>
      <c r="B1" t="s">
        <v>478</v>
      </c>
      <c r="C1" t="s">
        <v>2146</v>
      </c>
      <c r="D1" t="s">
        <v>1930</v>
      </c>
      <c r="E1" t="s">
        <v>2134</v>
      </c>
      <c r="F1" t="s">
        <v>2125</v>
      </c>
      <c r="J1" t="s">
        <v>543</v>
      </c>
    </row>
    <row r="2" spans="1:10" x14ac:dyDescent="0.3">
      <c r="A2">
        <v>1</v>
      </c>
      <c r="B2" t="s">
        <v>209</v>
      </c>
      <c r="C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nsb</v>
      </c>
      <c r="D2" t="s">
        <v>2138</v>
      </c>
      <c r="E2" t="s">
        <v>795</v>
      </c>
      <c r="F2" t="str">
        <f>"&lt;a href=""#"&amp;Autores[[#This Row],[id]]&amp;""" class=""btn-indice""&gt;"&amp;Autores[[#This Row],[Autor]]&amp;"&lt;/a&gt;"</f>
        <v>&lt;a href="#nsb" class="btn-indice"&gt;NSB&lt;/a&gt;</v>
      </c>
      <c r="J2" t="s">
        <v>620</v>
      </c>
    </row>
    <row r="3" spans="1:10" x14ac:dyDescent="0.3">
      <c r="A3">
        <v>2</v>
      </c>
      <c r="B3" t="s">
        <v>2140</v>
      </c>
      <c r="C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taize_original</v>
      </c>
      <c r="D3" t="s">
        <v>2137</v>
      </c>
      <c r="E3" t="s">
        <v>795</v>
      </c>
      <c r="F3" t="str">
        <f>"&lt;a href=""#"&amp;Autores[[#This Row],[id]]&amp;""" class=""btn-indice""&gt;"&amp;Autores[[#This Row],[Autor]]&amp;"&lt;/a&gt;"</f>
        <v>&lt;a href="#taiz_org" class="btn-indice"&gt;Taizé original&lt;/a&gt;</v>
      </c>
      <c r="J3" t="s">
        <v>574</v>
      </c>
    </row>
    <row r="4" spans="1:10" x14ac:dyDescent="0.3">
      <c r="A4">
        <v>3</v>
      </c>
      <c r="B4" t="s">
        <v>1940</v>
      </c>
      <c r="C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taize_en_español</v>
      </c>
      <c r="D4" t="s">
        <v>1931</v>
      </c>
      <c r="E4" t="s">
        <v>795</v>
      </c>
      <c r="F4" t="str">
        <f>"&lt;a href=""#"&amp;Autores[[#This Row],[id]]&amp;""" class=""btn-indice""&gt;"&amp;Autores[[#This Row],[Autor]]&amp;"&lt;/a&gt;"</f>
        <v>&lt;a href="#taiz_esp" class="btn-indice"&gt;Taizé en español&lt;/a&gt;</v>
      </c>
      <c r="J4" t="s">
        <v>1515</v>
      </c>
    </row>
    <row r="5" spans="1:10" x14ac:dyDescent="0.3">
      <c r="B5" t="s">
        <v>268</v>
      </c>
      <c r="C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</v>
      </c>
    </row>
    <row r="6" spans="1:10" x14ac:dyDescent="0.3">
      <c r="A6">
        <v>4</v>
      </c>
      <c r="B6" t="s">
        <v>1513</v>
      </c>
      <c r="C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nuevas</v>
      </c>
      <c r="D6" t="str">
        <f>IF(Autores[[#This Row],[id_lado]]="i",
LEFT(SUBSTITUTE(SUBSTITUTE(Autores[[#This Row],[Secciones]],"_",""),"/",""),4),
LEFT(SUBSTITUTE(SUBSTITUTE(_xlfn.TEXTAFTER(Autores[[#This Row],[Secciones]],"_",-1),"_",""),"/",""),4))</f>
        <v>nuev</v>
      </c>
      <c r="E6" t="s">
        <v>2135</v>
      </c>
      <c r="F6" t="str">
        <f>"&lt;a href=""#"&amp;Autores[[#This Row],[id]]&amp;""" class=""btn-indice""&gt;"&amp;Autores[[#This Row],[Autor]]&amp;"&lt;/a&gt;"</f>
        <v>&lt;a href="#nuev" class="btn-indice"&gt;Nuevas&lt;/a&gt;</v>
      </c>
      <c r="J6" t="s">
        <v>1516</v>
      </c>
    </row>
    <row r="7" spans="1:10" x14ac:dyDescent="0.3">
      <c r="A7">
        <v>5</v>
      </c>
      <c r="B7" t="s">
        <v>2139</v>
      </c>
      <c r="C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villancicos</v>
      </c>
      <c r="D7" t="s">
        <v>2141</v>
      </c>
      <c r="E7" t="s">
        <v>2135</v>
      </c>
      <c r="F7" t="str">
        <f>"&lt;a href=""#"&amp;Autores[[#This Row],[id]]&amp;""" class=""btn-indice""&gt;"&amp;Autores[[#This Row],[Autor]]&amp;"&lt;/a&gt;"</f>
        <v>&lt;a href="#navi" class="btn-indice"&gt;Villancicos&lt;/a&gt;</v>
      </c>
      <c r="J7" t="s">
        <v>1517</v>
      </c>
    </row>
    <row r="8" spans="1:10" x14ac:dyDescent="0.3">
      <c r="A8">
        <v>6</v>
      </c>
      <c r="B8" t="s">
        <v>484</v>
      </c>
      <c r="C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kairoi</v>
      </c>
      <c r="D8" t="str">
        <f>IF(Autores[[#This Row],[id_lado]]="i",
LEFT(SUBSTITUTE(SUBSTITUTE(Autores[[#This Row],[Secciones]],"_",""),"/",""),4),
LEFT(SUBSTITUTE(SUBSTITUTE(_xlfn.TEXTAFTER(Autores[[#This Row],[Secciones]],"_",-1),"_",""),"/",""),4))</f>
        <v>kair</v>
      </c>
      <c r="E8" t="s">
        <v>2135</v>
      </c>
      <c r="F8" t="str">
        <f>"&lt;a href=""#"&amp;Autores[[#This Row],[id]]&amp;""" class=""btn-indice""&gt;"&amp;Autores[[#This Row],[Autor]]&amp;"&lt;/a&gt;"</f>
        <v>&lt;a href="#kair" class="btn-indice"&gt;Kairoi&lt;/a&gt;</v>
      </c>
      <c r="J8" t="s">
        <v>1518</v>
      </c>
    </row>
    <row r="9" spans="1:10" x14ac:dyDescent="0.3">
      <c r="A9">
        <v>7</v>
      </c>
      <c r="B9" t="s">
        <v>501</v>
      </c>
      <c r="C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ain_karem</v>
      </c>
      <c r="D9" t="str">
        <f>IF(Autores[[#This Row],[id_lado]]="i",
LEFT(SUBSTITUTE(SUBSTITUTE(Autores[[#This Row],[Secciones]],"_",""),"/",""),4),
LEFT(SUBSTITUTE(SUBSTITUTE(_xlfn.TEXTAFTER(Autores[[#This Row],[Secciones]],"_",-1),"_",""),"/",""),4))</f>
        <v>aink</v>
      </c>
      <c r="E9" t="s">
        <v>2135</v>
      </c>
      <c r="F9" t="str">
        <f>"&lt;a href=""#"&amp;Autores[[#This Row],[id]]&amp;""" class=""btn-indice""&gt;"&amp;Autores[[#This Row],[Autor]]&amp;"&lt;/a&gt;"</f>
        <v>&lt;a href="#aink" class="btn-indice"&gt;Ain Karem&lt;/a&gt;</v>
      </c>
      <c r="J9" t="s">
        <v>1531</v>
      </c>
    </row>
    <row r="10" spans="1:10" x14ac:dyDescent="0.3">
      <c r="A10">
        <v>8</v>
      </c>
      <c r="B10" t="s">
        <v>1758</v>
      </c>
      <c r="C1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ruah</v>
      </c>
      <c r="D10" t="str">
        <f>IF(Autores[[#This Row],[id_lado]]="i",
LEFT(SUBSTITUTE(SUBSTITUTE(Autores[[#This Row],[Secciones]],"_",""),"/",""),4),
LEFT(SUBSTITUTE(SUBSTITUTE(_xlfn.TEXTAFTER(Autores[[#This Row],[Secciones]],"_",-1),"_",""),"/",""),4))</f>
        <v>ruah</v>
      </c>
      <c r="E10" t="s">
        <v>2135</v>
      </c>
      <c r="F10" t="str">
        <f>"&lt;a href=""#"&amp;Autores[[#This Row],[id]]&amp;""" class=""btn-indice""&gt;"&amp;Autores[[#This Row],[Autor]]&amp;"&lt;/a&gt;"</f>
        <v>&lt;a href="#ruah" class="btn-indice"&gt;Ruah&lt;/a&gt;</v>
      </c>
      <c r="J10" t="s">
        <v>1532</v>
      </c>
    </row>
    <row r="11" spans="1:10" x14ac:dyDescent="0.3">
      <c r="A11">
        <v>9</v>
      </c>
      <c r="B11" t="s">
        <v>261</v>
      </c>
      <c r="C1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hakuna</v>
      </c>
      <c r="D11" t="str">
        <f>IF(Autores[[#This Row],[id_lado]]="i",
LEFT(SUBSTITUTE(SUBSTITUTE(Autores[[#This Row],[Secciones]],"_",""),"/",""),4),
LEFT(SUBSTITUTE(SUBSTITUTE(_xlfn.TEXTAFTER(Autores[[#This Row],[Secciones]],"_",-1),"_",""),"/",""),4))</f>
        <v>haku</v>
      </c>
      <c r="E11" t="s">
        <v>2135</v>
      </c>
      <c r="F11" t="str">
        <f>"&lt;a href=""#"&amp;Autores[[#This Row],[id]]&amp;""" class=""btn-indice""&gt;"&amp;Autores[[#This Row],[Autor]]&amp;"&lt;/a&gt;"</f>
        <v>&lt;a href="#haku" class="btn-indice"&gt;Hakuna&lt;/a&gt;</v>
      </c>
      <c r="J11" t="s">
        <v>1519</v>
      </c>
    </row>
    <row r="12" spans="1:10" x14ac:dyDescent="0.3">
      <c r="A12">
        <v>10</v>
      </c>
      <c r="B12" t="s">
        <v>486</v>
      </c>
      <c r="C1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antonio_alcalde</v>
      </c>
      <c r="D12" t="str">
        <f>IF(Autores[[#This Row],[id_lado]]="i",
LEFT(SUBSTITUTE(SUBSTITUTE(Autores[[#This Row],[Secciones]],"_",""),"/",""),4),
LEFT(SUBSTITUTE(SUBSTITUTE(_xlfn.TEXTAFTER(Autores[[#This Row],[Secciones]],"_",-1),"_",""),"/",""),4))</f>
        <v>alca</v>
      </c>
      <c r="E12" t="s">
        <v>2136</v>
      </c>
      <c r="F12" t="str">
        <f>"&lt;a href=""#"&amp;Autores[[#This Row],[id]]&amp;""" class=""btn-indice""&gt;"&amp;Autores[[#This Row],[Autor]]&amp;"&lt;/a&gt;"</f>
        <v>&lt;a href="#alca" class="btn-indice"&gt;Antonio Alcalde&lt;/a&gt;</v>
      </c>
      <c r="J12" t="s">
        <v>1520</v>
      </c>
    </row>
    <row r="13" spans="1:10" x14ac:dyDescent="0.3">
      <c r="A13">
        <v>11</v>
      </c>
      <c r="B13" t="s">
        <v>499</v>
      </c>
      <c r="C1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brotes_de_olivo</v>
      </c>
      <c r="D13" t="str">
        <f>IF(Autores[[#This Row],[id_lado]]="i",
LEFT(SUBSTITUTE(SUBSTITUTE(Autores[[#This Row],[Secciones]],"_",""),"/",""),4),
LEFT(SUBSTITUTE(SUBSTITUTE(_xlfn.TEXTAFTER(Autores[[#This Row],[Secciones]],"_",-1),"_",""),"/",""),4))</f>
        <v>brot</v>
      </c>
      <c r="E13" t="s">
        <v>2135</v>
      </c>
      <c r="F13" t="str">
        <f>"&lt;a href=""#"&amp;Autores[[#This Row],[id]]&amp;""" class=""btn-indice""&gt;"&amp;Autores[[#This Row],[Autor]]&amp;"&lt;/a&gt;"</f>
        <v>&lt;a href="#brot" class="btn-indice"&gt;Brotes de Olivo&lt;/a&gt;</v>
      </c>
      <c r="J13" t="s">
        <v>258</v>
      </c>
    </row>
    <row r="14" spans="1:10" x14ac:dyDescent="0.3">
      <c r="A14">
        <v>12</v>
      </c>
      <c r="B14" t="s">
        <v>479</v>
      </c>
      <c r="C1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carmelo_erdozain</v>
      </c>
      <c r="D14" t="str">
        <f>IF(Autores[[#This Row],[id_lado]]="i",
LEFT(SUBSTITUTE(SUBSTITUTE(Autores[[#This Row],[Secciones]],"_",""),"/",""),4),
LEFT(SUBSTITUTE(SUBSTITUTE(_xlfn.TEXTAFTER(Autores[[#This Row],[Secciones]],"_",-1),"_",""),"/",""),4))</f>
        <v>erdo</v>
      </c>
      <c r="E14" t="s">
        <v>2136</v>
      </c>
      <c r="F14" t="str">
        <f>"&lt;a href=""#"&amp;Autores[[#This Row],[id]]&amp;""" class=""btn-indice""&gt;"&amp;Autores[[#This Row],[Autor]]&amp;"&lt;/a&gt;"</f>
        <v>&lt;a href="#erdo" class="btn-indice"&gt;Carmelo Erdozáin&lt;/a&gt;</v>
      </c>
      <c r="J14" t="s">
        <v>493</v>
      </c>
    </row>
    <row r="15" spans="1:10" x14ac:dyDescent="0.3">
      <c r="A15">
        <v>13</v>
      </c>
      <c r="B15" t="s">
        <v>1514</v>
      </c>
      <c r="C1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cesareo_gabarain</v>
      </c>
      <c r="D15" t="str">
        <f>IF(Autores[[#This Row],[id_lado]]="i",
LEFT(SUBSTITUTE(SUBSTITUTE(Autores[[#This Row],[Secciones]],"_",""),"/",""),4),
LEFT(SUBSTITUTE(SUBSTITUTE(_xlfn.TEXTAFTER(Autores[[#This Row],[Secciones]],"_",-1),"_",""),"/",""),4))</f>
        <v>gaba</v>
      </c>
      <c r="E15" t="s">
        <v>2136</v>
      </c>
      <c r="F15" t="str">
        <f>"&lt;a href=""#"&amp;Autores[[#This Row],[id]]&amp;""" class=""btn-indice""&gt;"&amp;Autores[[#This Row],[Autor]]&amp;"&lt;/a&gt;"</f>
        <v>&lt;a href="#gaba" class="btn-indice"&gt;Cesáreo Gabaráin&lt;/a&gt;</v>
      </c>
      <c r="J15" t="s">
        <v>499</v>
      </c>
    </row>
    <row r="16" spans="1:10" x14ac:dyDescent="0.3">
      <c r="A16">
        <v>14</v>
      </c>
      <c r="B16" t="s">
        <v>543</v>
      </c>
      <c r="C1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emilio_vicente_mateu</v>
      </c>
      <c r="D16" t="str">
        <f>IF(Autores[[#This Row],[id_lado]]="i",
LEFT(SUBSTITUTE(SUBSTITUTE(Autores[[#This Row],[Secciones]],"_",""),"/",""),4),
LEFT(SUBSTITUTE(SUBSTITUTE(_xlfn.TEXTAFTER(Autores[[#This Row],[Secciones]],"_",-1),"_",""),"/",""),4))</f>
        <v>mate</v>
      </c>
      <c r="E16" t="s">
        <v>2136</v>
      </c>
      <c r="F16" t="str">
        <f>"&lt;a href=""#"&amp;Autores[[#This Row],[id]]&amp;""" class=""btn-indice""&gt;"&amp;Autores[[#This Row],[Autor]]&amp;"&lt;/a&gt;"</f>
        <v>&lt;a href="#mate" class="btn-indice"&gt;Emilio Vicente Mateu&lt;/a&gt;</v>
      </c>
      <c r="J16" t="s">
        <v>521</v>
      </c>
    </row>
    <row r="17" spans="1:10" x14ac:dyDescent="0.3">
      <c r="A17">
        <v>15</v>
      </c>
      <c r="B17" t="s">
        <v>481</v>
      </c>
      <c r="C1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francisco_palazon</v>
      </c>
      <c r="D17" t="str">
        <f>IF(Autores[[#This Row],[id_lado]]="i",
LEFT(SUBSTITUTE(SUBSTITUTE(Autores[[#This Row],[Secciones]],"_",""),"/",""),4),
LEFT(SUBSTITUTE(SUBSTITUTE(_xlfn.TEXTAFTER(Autores[[#This Row],[Secciones]],"_",-1),"_",""),"/",""),4))</f>
        <v>pala</v>
      </c>
      <c r="E17" t="s">
        <v>2136</v>
      </c>
      <c r="F17" t="str">
        <f>"&lt;a href=""#"&amp;Autores[[#This Row],[id]]&amp;""" class=""btn-indice""&gt;"&amp;Autores[[#This Row],[Autor]]&amp;"&lt;/a&gt;"</f>
        <v>&lt;a href="#pala" class="btn-indice"&gt;Francisco Palazón&lt;/a&gt;</v>
      </c>
      <c r="J17" t="s">
        <v>1535</v>
      </c>
    </row>
    <row r="18" spans="1:10" x14ac:dyDescent="0.3">
      <c r="A18">
        <v>16</v>
      </c>
      <c r="B18" t="s">
        <v>521</v>
      </c>
      <c r="C1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ixcis</v>
      </c>
      <c r="D18" t="str">
        <f>IF(Autores[[#This Row],[id_lado]]="i",
LEFT(SUBSTITUTE(SUBSTITUTE(Autores[[#This Row],[Secciones]],"_",""),"/",""),4),
LEFT(SUBSTITUTE(SUBSTITUTE(_xlfn.TEXTAFTER(Autores[[#This Row],[Secciones]],"_",-1),"_",""),"/",""),4))</f>
        <v>ixci</v>
      </c>
      <c r="E18" t="s">
        <v>2135</v>
      </c>
      <c r="F18" t="str">
        <f>"&lt;a href=""#"&amp;Autores[[#This Row],[id]]&amp;""" class=""btn-indice""&gt;"&amp;Autores[[#This Row],[Autor]]&amp;"&lt;/a&gt;"</f>
        <v>&lt;a href="#ixci" class="btn-indice"&gt;Ixcís&lt;/a&gt;</v>
      </c>
      <c r="J18" t="s">
        <v>1521</v>
      </c>
    </row>
    <row r="19" spans="1:10" x14ac:dyDescent="0.3">
      <c r="A19">
        <v>17</v>
      </c>
      <c r="B19" t="s">
        <v>485</v>
      </c>
      <c r="C1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joaquin_madurga</v>
      </c>
      <c r="D19" t="str">
        <f>IF(Autores[[#This Row],[id_lado]]="i",
LEFT(SUBSTITUTE(SUBSTITUTE(Autores[[#This Row],[Secciones]],"_",""),"/",""),4),
LEFT(SUBSTITUTE(SUBSTITUTE(_xlfn.TEXTAFTER(Autores[[#This Row],[Secciones]],"_",-1),"_",""),"/",""),4))</f>
        <v>madu</v>
      </c>
      <c r="E19" t="s">
        <v>2136</v>
      </c>
      <c r="F19" t="str">
        <f>"&lt;a href=""#"&amp;Autores[[#This Row],[id]]&amp;""" class=""btn-indice""&gt;"&amp;Autores[[#This Row],[Autor]]&amp;"&lt;/a&gt;"</f>
        <v>&lt;a href="#madu" class="btn-indice"&gt;Joaquín Madurga&lt;/a&gt;</v>
      </c>
      <c r="J19" t="s">
        <v>510</v>
      </c>
    </row>
    <row r="20" spans="1:10" x14ac:dyDescent="0.3">
      <c r="A20">
        <v>18</v>
      </c>
      <c r="B20" t="s">
        <v>491</v>
      </c>
      <c r="C2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juan_antonio_espinosa</v>
      </c>
      <c r="D20" t="str">
        <f>IF(Autores[[#This Row],[id_lado]]="i",
LEFT(SUBSTITUTE(SUBSTITUTE(Autores[[#This Row],[Secciones]],"_",""),"/",""),4),
LEFT(SUBSTITUTE(SUBSTITUTE(_xlfn.TEXTAFTER(Autores[[#This Row],[Secciones]],"_",-1),"_",""),"/",""),4))</f>
        <v>espi</v>
      </c>
      <c r="E20" t="s">
        <v>2136</v>
      </c>
      <c r="F20" t="str">
        <f>"&lt;a href=""#"&amp;Autores[[#This Row],[id]]&amp;""" class=""btn-indice""&gt;"&amp;Autores[[#This Row],[Autor]]&amp;"&lt;/a&gt;"</f>
        <v>&lt;a href="#espi" class="btn-indice"&gt;Juan Antonio Espinosa&lt;/a&gt;</v>
      </c>
      <c r="J20" t="s">
        <v>499</v>
      </c>
    </row>
    <row r="21" spans="1:10" x14ac:dyDescent="0.3">
      <c r="A21">
        <v>19</v>
      </c>
      <c r="B21" t="s">
        <v>480</v>
      </c>
      <c r="C2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juanjo_elezkano</v>
      </c>
      <c r="D21" t="str">
        <f>IF(Autores[[#This Row],[id_lado]]="i",
LEFT(SUBSTITUTE(SUBSTITUTE(Autores[[#This Row],[Secciones]],"_",""),"/",""),4),
LEFT(SUBSTITUTE(SUBSTITUTE(_xlfn.TEXTAFTER(Autores[[#This Row],[Secciones]],"_",-1),"_",""),"/",""),4))</f>
        <v>elez</v>
      </c>
      <c r="E21" t="s">
        <v>2136</v>
      </c>
      <c r="F21" t="str">
        <f>"&lt;a href=""#"&amp;Autores[[#This Row],[id]]&amp;""" class=""btn-indice""&gt;"&amp;Autores[[#This Row],[Autor]]&amp;"&lt;/a&gt;"</f>
        <v>&lt;a href="#elez" class="btn-indice"&gt;Juanjo Elezkano&lt;/a&gt;</v>
      </c>
      <c r="J21" t="s">
        <v>1910</v>
      </c>
    </row>
    <row r="22" spans="1:10" x14ac:dyDescent="0.3">
      <c r="A22">
        <v>20</v>
      </c>
      <c r="B22" t="s">
        <v>487</v>
      </c>
      <c r="C2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miguel_manzano</v>
      </c>
      <c r="D22" t="str">
        <f>IF(Autores[[#This Row],[id_lado]]="i",
LEFT(SUBSTITUTE(SUBSTITUTE(Autores[[#This Row],[Secciones]],"_",""),"/",""),4),
LEFT(SUBSTITUTE(SUBSTITUTE(_xlfn.TEXTAFTER(Autores[[#This Row],[Secciones]],"_",-1),"_",""),"/",""),4))</f>
        <v>manz</v>
      </c>
      <c r="E22" t="s">
        <v>2136</v>
      </c>
      <c r="F22" t="str">
        <f>"&lt;a href=""#"&amp;Autores[[#This Row],[id]]&amp;""" class=""btn-indice""&gt;"&amp;Autores[[#This Row],[Autor]]&amp;"&lt;/a&gt;"</f>
        <v>&lt;a href="#manz" class="btn-indice"&gt;Miguel Manzano&lt;/a&gt;</v>
      </c>
      <c r="J22" t="s">
        <v>1533</v>
      </c>
    </row>
    <row r="23" spans="1:10" x14ac:dyDescent="0.3">
      <c r="A23">
        <v>21</v>
      </c>
      <c r="B23" t="s">
        <v>258</v>
      </c>
      <c r="C2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migueli</v>
      </c>
      <c r="D23" t="str">
        <f>IF(Autores[[#This Row],[id_lado]]="i",
LEFT(SUBSTITUTE(SUBSTITUTE(Autores[[#This Row],[Secciones]],"_",""),"/",""),4),
LEFT(SUBSTITUTE(SUBSTITUTE(_xlfn.TEXTAFTER(Autores[[#This Row],[Secciones]],"_",-1),"_",""),"/",""),4))</f>
        <v>migu</v>
      </c>
      <c r="E23" t="s">
        <v>2135</v>
      </c>
      <c r="F23" t="str">
        <f>"&lt;a href=""#"&amp;Autores[[#This Row],[id]]&amp;""" class=""btn-indice""&gt;"&amp;Autores[[#This Row],[Autor]]&amp;"&lt;/a&gt;"</f>
        <v>&lt;a href="#migu" class="btn-indice"&gt;Migueli&lt;/a&gt;</v>
      </c>
      <c r="J23" t="s">
        <v>1534</v>
      </c>
    </row>
    <row r="24" spans="1:10" x14ac:dyDescent="0.3">
      <c r="A24">
        <v>22</v>
      </c>
      <c r="B24" t="s">
        <v>498</v>
      </c>
      <c r="C2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pedro_nuñez</v>
      </c>
      <c r="D24" t="str">
        <f>IF(Autores[[#This Row],[id_lado]]="i",
LEFT(SUBSTITUTE(SUBSTITUTE(Autores[[#This Row],[Secciones]],"_",""),"/",""),4),
LEFT(SUBSTITUTE(SUBSTITUTE(_xlfn.TEXTAFTER(Autores[[#This Row],[Secciones]],"_",-1),"_",""),"/",""),4))</f>
        <v>nuñe</v>
      </c>
      <c r="E24" t="s">
        <v>2136</v>
      </c>
      <c r="F24" t="str">
        <f>"&lt;a href=""#"&amp;Autores[[#This Row],[id]]&amp;""" class=""btn-indice""&gt;"&amp;Autores[[#This Row],[Autor]]&amp;"&lt;/a&gt;"</f>
        <v>&lt;a href="#nuñe" class="btn-indice"&gt;Pedro Núñez&lt;/a&gt;</v>
      </c>
      <c r="J24" t="s">
        <v>1522</v>
      </c>
    </row>
    <row r="25" spans="1:10" x14ac:dyDescent="0.3">
      <c r="A25">
        <v>23</v>
      </c>
      <c r="B25" t="s">
        <v>509</v>
      </c>
      <c r="C2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ricardo_cantalapiedra</v>
      </c>
      <c r="D25" t="str">
        <f>IF(Autores[[#This Row],[id_lado]]="i",
LEFT(SUBSTITUTE(SUBSTITUTE(Autores[[#This Row],[Secciones]],"_",""),"/",""),4),
LEFT(SUBSTITUTE(SUBSTITUTE(_xlfn.TEXTAFTER(Autores[[#This Row],[Secciones]],"_",-1),"_",""),"/",""),4))</f>
        <v>cant</v>
      </c>
      <c r="E25" t="s">
        <v>2136</v>
      </c>
      <c r="F25" t="str">
        <f>"&lt;a href=""#"&amp;Autores[[#This Row],[id]]&amp;""" class=""btn-indice""&gt;"&amp;Autores[[#This Row],[Autor]]&amp;"&lt;/a&gt;"</f>
        <v>&lt;a href="#cant" class="btn-indice"&gt;Ricardo Cantalapiedra&lt;/a&gt;</v>
      </c>
      <c r="J25" t="s">
        <v>1523</v>
      </c>
    </row>
    <row r="26" spans="1:10" x14ac:dyDescent="0.3">
      <c r="A26">
        <v>24</v>
      </c>
      <c r="B26" t="s">
        <v>482</v>
      </c>
      <c r="C2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toño_casado</v>
      </c>
      <c r="D26" t="str">
        <f>IF(Autores[[#This Row],[id_lado]]="i",
LEFT(SUBSTITUTE(SUBSTITUTE(Autores[[#This Row],[Secciones]],"_",""),"/",""),4),
LEFT(SUBSTITUTE(SUBSTITUTE(_xlfn.TEXTAFTER(Autores[[#This Row],[Secciones]],"_",-1),"_",""),"/",""),4))</f>
        <v>toño</v>
      </c>
      <c r="E26" t="s">
        <v>2135</v>
      </c>
      <c r="F26" t="str">
        <f>"&lt;a href=""#"&amp;Autores[[#This Row],[id]]&amp;""" class=""btn-indice""&gt;"&amp;Autores[[#This Row],[Autor]]&amp;"&lt;/a&gt;"</f>
        <v>&lt;a href="#toño" class="btn-indice"&gt;Toño Casado&lt;/a&gt;</v>
      </c>
      <c r="J26" t="s">
        <v>1524</v>
      </c>
    </row>
    <row r="27" spans="1:10" x14ac:dyDescent="0.3">
      <c r="A27">
        <v>25</v>
      </c>
      <c r="B27" t="s">
        <v>590</v>
      </c>
      <c r="C2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alejandro_ruiz</v>
      </c>
      <c r="D27" t="str">
        <f>IF(Autores[[#This Row],[id_lado]]="i",
LEFT(SUBSTITUTE(SUBSTITUTE(Autores[[#This Row],[Secciones]],"_",""),"/",""),4),
LEFT(SUBSTITUTE(SUBSTITUTE(_xlfn.TEXTAFTER(Autores[[#This Row],[Secciones]],"_",-1),"_",""),"/",""),4))</f>
        <v>ruiz</v>
      </c>
      <c r="E27" t="s">
        <v>2136</v>
      </c>
      <c r="F27" t="str">
        <f>"&lt;a href=""#"&amp;Autores[[#This Row],[id]]&amp;""" class=""btn-indice""&gt;"&amp;Autores[[#This Row],[Autor]]&amp;"&lt;/a&gt;"</f>
        <v>&lt;a href="#ruiz" class="btn-indice"&gt;Alejandro Ruiz&lt;/a&gt;</v>
      </c>
      <c r="J27" t="s">
        <v>1525</v>
      </c>
    </row>
    <row r="28" spans="1:10" x14ac:dyDescent="0.3">
      <c r="A28">
        <v>26</v>
      </c>
      <c r="B28" t="s">
        <v>488</v>
      </c>
      <c r="C2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al-haraca</v>
      </c>
      <c r="D28" t="str">
        <f>IF(Autores[[#This Row],[id_lado]]="i",
LEFT(SUBSTITUTE(SUBSTITUTE(Autores[[#This Row],[Secciones]],"_",""),"/",""),4),
LEFT(SUBSTITUTE(SUBSTITUTE(_xlfn.TEXTAFTER(Autores[[#This Row],[Secciones]],"_",-1),"_",""),"/",""),4))</f>
        <v>al-h</v>
      </c>
      <c r="E28" t="s">
        <v>2135</v>
      </c>
      <c r="F28" t="str">
        <f>"&lt;a href=""#"&amp;Autores[[#This Row],[id]]&amp;""" class=""btn-indice""&gt;"&amp;Autores[[#This Row],[Autor]]&amp;"&lt;/a&gt;"</f>
        <v>&lt;a href="#al-h" class="btn-indice"&gt;Al-Haraca&lt;/a&gt;</v>
      </c>
      <c r="J28" t="s">
        <v>1526</v>
      </c>
    </row>
    <row r="29" spans="1:10" x14ac:dyDescent="0.3">
      <c r="A29">
        <v>27</v>
      </c>
      <c r="B29" t="s">
        <v>2229</v>
      </c>
      <c r="C2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hermana_glenda</v>
      </c>
      <c r="D29" t="str">
        <f>IF(Autores[[#This Row],[id_lado]]="i",
LEFT(SUBSTITUTE(SUBSTITUTE(Autores[[#This Row],[Secciones]],"_",""),"/",""),4),
LEFT(SUBSTITUTE(SUBSTITUTE(_xlfn.TEXTAFTER(Autores[[#This Row],[Secciones]],"_",-1),"_",""),"/",""),4))</f>
        <v>glen</v>
      </c>
      <c r="E29" t="s">
        <v>2136</v>
      </c>
      <c r="F29" t="str">
        <f>"&lt;a href=""#"&amp;Autores[[#This Row],[id]]&amp;""" class=""btn-indice""&gt;"&amp;Autores[[#This Row],[Autor]]&amp;"&lt;/a&gt;"</f>
        <v>&lt;a href="#glen" class="btn-indice"&gt;Hermana Glenda&lt;/a&gt;</v>
      </c>
      <c r="J29" t="s">
        <v>1527</v>
      </c>
    </row>
    <row r="30" spans="1:10" x14ac:dyDescent="0.3">
      <c r="A30">
        <v>28</v>
      </c>
      <c r="B30" t="s">
        <v>539</v>
      </c>
      <c r="C3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josep_asuncion</v>
      </c>
      <c r="D30" t="str">
        <f>IF(Autores[[#This Row],[id_lado]]="i",
LEFT(SUBSTITUTE(SUBSTITUTE(Autores[[#This Row],[Secciones]],"_",""),"/",""),4),
LEFT(SUBSTITUTE(SUBSTITUTE(_xlfn.TEXTAFTER(Autores[[#This Row],[Secciones]],"_",-1),"_",""),"/",""),4))</f>
        <v>asun</v>
      </c>
      <c r="E30" t="s">
        <v>2136</v>
      </c>
      <c r="F30" t="str">
        <f>"&lt;a href=""#"&amp;Autores[[#This Row],[id]]&amp;""" class=""btn-indice""&gt;"&amp;Autores[[#This Row],[Autor]]&amp;"&lt;/a&gt;"</f>
        <v>&lt;a href="#asun" class="btn-indice"&gt;Josep Asunción&lt;/a&gt;</v>
      </c>
      <c r="J30" t="s">
        <v>1528</v>
      </c>
    </row>
    <row r="31" spans="1:10" x14ac:dyDescent="0.3">
      <c r="A31">
        <v>29</v>
      </c>
      <c r="B31" t="s">
        <v>2407</v>
      </c>
      <c r="C3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lazaro_iparraguirre</v>
      </c>
      <c r="D31" t="str">
        <f>IF(Autores[[#This Row],[id_lado]]="i",
LEFT(SUBSTITUTE(SUBSTITUTE(Autores[[#This Row],[Secciones]],"_",""),"/",""),4),
LEFT(SUBSTITUTE(SUBSTITUTE(_xlfn.TEXTAFTER(Autores[[#This Row],[Secciones]],"_",-1),"_",""),"/",""),4))</f>
        <v>ipar</v>
      </c>
      <c r="E31" t="s">
        <v>2136</v>
      </c>
      <c r="F31" t="str">
        <f>"&lt;a href=""#"&amp;Autores[[#This Row],[id]]&amp;""" class=""btn-indice""&gt;"&amp;Autores[[#This Row],[Autor]]&amp;"&lt;/a&gt;"</f>
        <v>&lt;a href="#ipar" class="btn-indice"&gt;Lázaro Iparraguirre&lt;/a&gt;</v>
      </c>
      <c r="J31" t="s">
        <v>1529</v>
      </c>
    </row>
    <row r="32" spans="1:10" x14ac:dyDescent="0.3">
      <c r="A32">
        <v>30</v>
      </c>
      <c r="B32" t="s">
        <v>2400</v>
      </c>
      <c r="C3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luis_alfredo_diaz</v>
      </c>
      <c r="D32" t="str">
        <f>IF(Autores[[#This Row],[id_lado]]="i",
LEFT(SUBSTITUTE(SUBSTITUTE(Autores[[#This Row],[Secciones]],"_",""),"/",""),4),
LEFT(SUBSTITUTE(SUBSTITUTE(_xlfn.TEXTAFTER(Autores[[#This Row],[Secciones]],"_",-1),"_",""),"/",""),4))</f>
        <v>diaz</v>
      </c>
      <c r="E32" t="s">
        <v>2136</v>
      </c>
      <c r="F32" t="str">
        <f>"&lt;a href=""#"&amp;Autores[[#This Row],[id]]&amp;""" class=""btn-indice""&gt;"&amp;Autores[[#This Row],[Autor]]&amp;"&lt;/a&gt;"</f>
        <v>&lt;a href="#diaz" class="btn-indice"&gt;Luis Alfredo Díaz&lt;/a&gt;</v>
      </c>
      <c r="J32" t="s">
        <v>1530</v>
      </c>
    </row>
    <row r="33" spans="1:6" x14ac:dyDescent="0.3">
      <c r="A33">
        <v>31</v>
      </c>
      <c r="B33" t="s">
        <v>2393</v>
      </c>
      <c r="C3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marcos_witt</v>
      </c>
      <c r="D33" t="str">
        <f>IF(Autores[[#This Row],[id_lado]]="i",
LEFT(SUBSTITUTE(SUBSTITUTE(Autores[[#This Row],[Secciones]],"_",""),"/",""),4),
LEFT(SUBSTITUTE(SUBSTITUTE(_xlfn.TEXTAFTER(Autores[[#This Row],[Secciones]],"_",-1),"_",""),"/",""),4))</f>
        <v>witt</v>
      </c>
      <c r="E33" t="s">
        <v>2136</v>
      </c>
      <c r="F33" t="str">
        <f>"&lt;a href=""#"&amp;Autores[[#This Row],[id]]&amp;""" class=""btn-indice""&gt;"&amp;Autores[[#This Row],[Autor]]&amp;"&lt;/a&gt;"</f>
        <v>&lt;a href="#witt" class="btn-indice"&gt;Marcos Witt&lt;/a&gt;</v>
      </c>
    </row>
    <row r="34" spans="1:6" x14ac:dyDescent="0.3">
      <c r="A34">
        <v>32</v>
      </c>
      <c r="B34" t="s">
        <v>2944</v>
      </c>
      <c r="C3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marta_gil_delgado</v>
      </c>
      <c r="D34" t="str">
        <f>IF(Autores[[#This Row],[id_lado]]="i",
LEFT(SUBSTITUTE(SUBSTITUTE(Autores[[#This Row],[Secciones]],"_",""),"/",""),4),
LEFT(SUBSTITUTE(SUBSTITUTE(_xlfn.TEXTAFTER(Autores[[#This Row],[Secciones]],"_",-1),"_",""),"/",""),4))</f>
        <v>delg</v>
      </c>
      <c r="E34" t="s">
        <v>2136</v>
      </c>
      <c r="F34" t="str">
        <f>"&lt;a href=""#"&amp;Autores[[#This Row],[id]]&amp;""" class=""btn-indice""&gt;"&amp;Autores[[#This Row],[Autor]]&amp;"&lt;/a&gt;"</f>
        <v>&lt;a href="#delg" class="btn-indice"&gt;Marta Gil Delgado&lt;/a&gt;</v>
      </c>
    </row>
    <row r="35" spans="1:6" x14ac:dyDescent="0.3">
      <c r="A35">
        <v>33</v>
      </c>
      <c r="B35" t="s">
        <v>570</v>
      </c>
      <c r="C3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pelayo_sanchez</v>
      </c>
      <c r="D35" t="str">
        <f>IF(Autores[[#This Row],[id_lado]]="i",
LEFT(SUBSTITUTE(SUBSTITUTE(Autores[[#This Row],[Secciones]],"_",""),"/",""),4),
LEFT(SUBSTITUTE(SUBSTITUTE(_xlfn.TEXTAFTER(Autores[[#This Row],[Secciones]],"_",-1),"_",""),"/",""),4))</f>
        <v>pela</v>
      </c>
      <c r="E35" t="s">
        <v>2135</v>
      </c>
      <c r="F35" t="str">
        <f>"&lt;a href=""#"&amp;Autores[[#This Row],[id]]&amp;""" class=""btn-indice""&gt;"&amp;Autores[[#This Row],[Autor]]&amp;"&lt;/a&gt;"</f>
        <v>&lt;a href="#pela" class="btn-indice"&gt;Pelayo Sánchez&lt;/a&gt;</v>
      </c>
    </row>
    <row r="36" spans="1:6" x14ac:dyDescent="0.3">
      <c r="A36">
        <v>34</v>
      </c>
      <c r="B36" t="s">
        <v>2504</v>
      </c>
      <c r="C3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rosa_cruz</v>
      </c>
      <c r="D36" t="str">
        <f>IF(Autores[[#This Row],[id_lado]]="i",
LEFT(SUBSTITUTE(SUBSTITUTE(Autores[[#This Row],[Secciones]],"_",""),"/",""),4),
LEFT(SUBSTITUTE(SUBSTITUTE(_xlfn.TEXTAFTER(Autores[[#This Row],[Secciones]],"_",-1),"_",""),"/",""),4))</f>
        <v>cruz</v>
      </c>
      <c r="E36" t="s">
        <v>2136</v>
      </c>
      <c r="F36" t="str">
        <f>"&lt;a href=""#"&amp;Autores[[#This Row],[id]]&amp;""" class=""btn-indice""&gt;"&amp;Autores[[#This Row],[Autor]]&amp;"&lt;/a&gt;"</f>
        <v>&lt;a href="#cruz" class="btn-indice"&gt;Rosa Cruz&lt;/a&gt;</v>
      </c>
    </row>
  </sheetData>
  <sortState xmlns:xlrd2="http://schemas.microsoft.com/office/spreadsheetml/2017/richdata2" ref="L3:M20">
    <sortCondition ref="L3:L20"/>
  </sortState>
  <conditionalFormatting sqref="B1:B1048576">
    <cfRule type="duplicateValues" dxfId="3" priority="92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C6FAD-C639-45CA-9AA4-75F34FA744BA}">
  <sheetPr codeName="Hoja11"/>
  <dimension ref="A1:A19"/>
  <sheetViews>
    <sheetView workbookViewId="0"/>
  </sheetViews>
  <sheetFormatPr baseColWidth="10" defaultRowHeight="14.4" x14ac:dyDescent="0.3"/>
  <cols>
    <col min="1" max="1" width="14.109375" bestFit="1" customWidth="1"/>
  </cols>
  <sheetData>
    <row r="1" spans="1:1" x14ac:dyDescent="0.3">
      <c r="A1" t="s">
        <v>992</v>
      </c>
    </row>
    <row r="2" spans="1:1" x14ac:dyDescent="0.3">
      <c r="A2" t="s">
        <v>191</v>
      </c>
    </row>
    <row r="3" spans="1:1" x14ac:dyDescent="0.3">
      <c r="A3" t="s">
        <v>192</v>
      </c>
    </row>
    <row r="4" spans="1:1" x14ac:dyDescent="0.3">
      <c r="A4" t="s">
        <v>193</v>
      </c>
    </row>
    <row r="5" spans="1:1" x14ac:dyDescent="0.3">
      <c r="A5" t="s">
        <v>201</v>
      </c>
    </row>
    <row r="6" spans="1:1" x14ac:dyDescent="0.3">
      <c r="A6" t="s">
        <v>194</v>
      </c>
    </row>
    <row r="7" spans="1:1" x14ac:dyDescent="0.3">
      <c r="A7" t="s">
        <v>195</v>
      </c>
    </row>
    <row r="8" spans="1:1" x14ac:dyDescent="0.3">
      <c r="A8" t="s">
        <v>196</v>
      </c>
    </row>
    <row r="9" spans="1:1" x14ac:dyDescent="0.3">
      <c r="A9" t="s">
        <v>197</v>
      </c>
    </row>
    <row r="10" spans="1:1" x14ac:dyDescent="0.3">
      <c r="A10" t="s">
        <v>198</v>
      </c>
    </row>
    <row r="11" spans="1:1" x14ac:dyDescent="0.3">
      <c r="A11" t="s">
        <v>202</v>
      </c>
    </row>
    <row r="12" spans="1:1" x14ac:dyDescent="0.3">
      <c r="A12" t="s">
        <v>993</v>
      </c>
    </row>
    <row r="13" spans="1:1" x14ac:dyDescent="0.3">
      <c r="A13" t="s">
        <v>199</v>
      </c>
    </row>
    <row r="14" spans="1:1" x14ac:dyDescent="0.3">
      <c r="A14" t="s">
        <v>200</v>
      </c>
    </row>
    <row r="15" spans="1:1" x14ac:dyDescent="0.3">
      <c r="A15" t="s">
        <v>476</v>
      </c>
    </row>
    <row r="16" spans="1:1" x14ac:dyDescent="0.3">
      <c r="A16" t="s">
        <v>219</v>
      </c>
    </row>
    <row r="17" spans="1:1" x14ac:dyDescent="0.3">
      <c r="A17" t="s">
        <v>211</v>
      </c>
    </row>
    <row r="18" spans="1:1" x14ac:dyDescent="0.3">
      <c r="A18" t="s">
        <v>1022</v>
      </c>
    </row>
    <row r="19" spans="1:1" x14ac:dyDescent="0.3">
      <c r="A19" t="s">
        <v>1021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09071-1D14-4D56-9870-78810646CB38}">
  <sheetPr codeName="Hoja12"/>
  <dimension ref="A1:L192"/>
  <sheetViews>
    <sheetView workbookViewId="0"/>
  </sheetViews>
  <sheetFormatPr baseColWidth="10" defaultColWidth="35.6640625" defaultRowHeight="14.4" x14ac:dyDescent="0.3"/>
  <cols>
    <col min="1" max="1" width="9.5546875" style="1" bestFit="1" customWidth="1"/>
    <col min="2" max="2" width="35.6640625" style="1"/>
    <col min="3" max="9" width="15.6640625" style="1" customWidth="1"/>
    <col min="10" max="10" width="12" style="1" bestFit="1" customWidth="1"/>
    <col min="11" max="16384" width="35.6640625" style="1"/>
  </cols>
  <sheetData>
    <row r="1" spans="1:12" s="3" customFormat="1" x14ac:dyDescent="0.3">
      <c r="A1" s="3" t="s">
        <v>267</v>
      </c>
      <c r="B1" s="3" t="s">
        <v>268</v>
      </c>
      <c r="C1" s="3" t="s">
        <v>269</v>
      </c>
      <c r="D1" s="3" t="s">
        <v>270</v>
      </c>
      <c r="E1" s="3" t="s">
        <v>271</v>
      </c>
      <c r="F1" s="3" t="s">
        <v>272</v>
      </c>
      <c r="G1" s="3" t="s">
        <v>273</v>
      </c>
      <c r="H1" s="3" t="s">
        <v>274</v>
      </c>
      <c r="I1" s="3" t="s">
        <v>275</v>
      </c>
      <c r="J1" s="3" t="s">
        <v>512</v>
      </c>
      <c r="K1" s="1"/>
      <c r="L1" s="1"/>
    </row>
    <row r="2" spans="1:12" x14ac:dyDescent="0.3">
      <c r="A2" s="1">
        <f>ROW(Tabla2[[#This Row],[Taizé]])-1</f>
        <v>1</v>
      </c>
      <c r="B2" s="4" t="s">
        <v>277</v>
      </c>
      <c r="C2" s="1" t="s">
        <v>221</v>
      </c>
      <c r="D2" s="1" t="s">
        <v>221</v>
      </c>
      <c r="E2" s="1" t="s">
        <v>221</v>
      </c>
      <c r="J2" s="1" t="s">
        <v>537</v>
      </c>
    </row>
    <row r="3" spans="1:12" x14ac:dyDescent="0.3">
      <c r="A3" s="1">
        <f>ROW(Tabla2[[#This Row],[Taizé]])-1</f>
        <v>2</v>
      </c>
      <c r="B3" s="4" t="s">
        <v>278</v>
      </c>
      <c r="C3" s="1" t="s">
        <v>221</v>
      </c>
      <c r="D3" s="1" t="s">
        <v>221</v>
      </c>
      <c r="E3" s="1" t="s">
        <v>221</v>
      </c>
      <c r="F3" s="5" t="s">
        <v>279</v>
      </c>
      <c r="J3" s="1" t="s">
        <v>537</v>
      </c>
    </row>
    <row r="4" spans="1:12" x14ac:dyDescent="0.3">
      <c r="A4" s="1">
        <f>ROW(Tabla2[[#This Row],[Taizé]])-1</f>
        <v>3</v>
      </c>
      <c r="B4" s="4" t="s">
        <v>280</v>
      </c>
      <c r="C4" s="1" t="s">
        <v>221</v>
      </c>
      <c r="D4" s="1" t="s">
        <v>221</v>
      </c>
      <c r="E4" s="1" t="s">
        <v>221</v>
      </c>
      <c r="J4" s="1" t="s">
        <v>221</v>
      </c>
    </row>
    <row r="5" spans="1:12" x14ac:dyDescent="0.3">
      <c r="A5" s="1">
        <f>ROW(Tabla2[[#This Row],[Taizé]])-1</f>
        <v>4</v>
      </c>
      <c r="B5" s="4" t="s">
        <v>281</v>
      </c>
      <c r="C5" s="1" t="s">
        <v>221</v>
      </c>
      <c r="D5" s="1" t="s">
        <v>221</v>
      </c>
      <c r="E5" s="1" t="s">
        <v>221</v>
      </c>
      <c r="H5" s="1" t="s">
        <v>282</v>
      </c>
      <c r="J5" s="1" t="s">
        <v>268</v>
      </c>
    </row>
    <row r="6" spans="1:12" x14ac:dyDescent="0.3">
      <c r="A6" s="1">
        <f>ROW(Tabla2[[#This Row],[Taizé]])-1</f>
        <v>5</v>
      </c>
      <c r="B6" s="4" t="s">
        <v>284</v>
      </c>
      <c r="G6" s="7" t="s">
        <v>285</v>
      </c>
      <c r="J6" s="1" t="s">
        <v>268</v>
      </c>
    </row>
    <row r="7" spans="1:12" x14ac:dyDescent="0.3">
      <c r="A7" s="1">
        <f>ROW(Tabla2[[#This Row],[Taizé]])-1</f>
        <v>6</v>
      </c>
      <c r="B7" s="4" t="s">
        <v>286</v>
      </c>
      <c r="J7" s="1" t="s">
        <v>268</v>
      </c>
    </row>
    <row r="8" spans="1:12" x14ac:dyDescent="0.3">
      <c r="A8" s="1">
        <f>ROW(Tabla2[[#This Row],[Taizé]])-1</f>
        <v>7</v>
      </c>
      <c r="B8" s="4" t="s">
        <v>287</v>
      </c>
      <c r="G8" s="7" t="s">
        <v>285</v>
      </c>
      <c r="H8" s="6" t="s">
        <v>283</v>
      </c>
      <c r="J8" s="1" t="s">
        <v>268</v>
      </c>
    </row>
    <row r="9" spans="1:12" x14ac:dyDescent="0.3">
      <c r="A9" s="1">
        <f>ROW(Tabla2[[#This Row],[Taizé]])-1</f>
        <v>8</v>
      </c>
      <c r="B9" s="4" t="s">
        <v>288</v>
      </c>
    </row>
    <row r="10" spans="1:12" x14ac:dyDescent="0.3">
      <c r="A10" s="1">
        <f>ROW(Tabla2[[#This Row],[Taizé]])-1</f>
        <v>9</v>
      </c>
      <c r="B10" s="4" t="s">
        <v>289</v>
      </c>
      <c r="I10" s="1" t="s">
        <v>290</v>
      </c>
    </row>
    <row r="11" spans="1:12" x14ac:dyDescent="0.3">
      <c r="A11" s="1">
        <f>ROW(Tabla2[[#This Row],[Taizé]])-1</f>
        <v>10</v>
      </c>
      <c r="B11" s="4" t="s">
        <v>291</v>
      </c>
    </row>
    <row r="12" spans="1:12" x14ac:dyDescent="0.3">
      <c r="A12" s="1">
        <f>ROW(Tabla2[[#This Row],[Taizé]])-1</f>
        <v>11</v>
      </c>
      <c r="B12" s="8" t="s">
        <v>292</v>
      </c>
      <c r="I12" s="1" t="s">
        <v>293</v>
      </c>
    </row>
    <row r="13" spans="1:12" x14ac:dyDescent="0.3">
      <c r="A13" s="1">
        <f>ROW(Tabla2[[#This Row],[Taizé]])-1</f>
        <v>12</v>
      </c>
      <c r="B13" s="4" t="s">
        <v>294</v>
      </c>
      <c r="F13" s="5" t="s">
        <v>279</v>
      </c>
    </row>
    <row r="14" spans="1:12" x14ac:dyDescent="0.3">
      <c r="A14" s="1">
        <f>ROW(Tabla2[[#This Row],[Taizé]])-1</f>
        <v>13</v>
      </c>
      <c r="B14" s="4" t="s">
        <v>295</v>
      </c>
      <c r="F14" s="5" t="s">
        <v>279</v>
      </c>
    </row>
    <row r="15" spans="1:12" x14ac:dyDescent="0.3">
      <c r="A15" s="1">
        <f>ROW(Tabla2[[#This Row],[Taizé]])-1</f>
        <v>14</v>
      </c>
      <c r="B15" s="4" t="s">
        <v>296</v>
      </c>
    </row>
    <row r="16" spans="1:12" x14ac:dyDescent="0.3">
      <c r="A16" s="1">
        <f>ROW(Tabla2[[#This Row],[Taizé]])-1</f>
        <v>15</v>
      </c>
      <c r="B16" s="4" t="s">
        <v>297</v>
      </c>
      <c r="F16" s="5" t="s">
        <v>279</v>
      </c>
      <c r="J16" s="1" t="s">
        <v>268</v>
      </c>
    </row>
    <row r="17" spans="1:10" x14ac:dyDescent="0.3">
      <c r="A17" s="1">
        <f>ROW(Tabla2[[#This Row],[Taizé]])-1</f>
        <v>16</v>
      </c>
      <c r="B17" s="4" t="s">
        <v>298</v>
      </c>
    </row>
    <row r="18" spans="1:10" x14ac:dyDescent="0.3">
      <c r="A18" s="1">
        <f>ROW(Tabla2[[#This Row],[Taizé]])-1</f>
        <v>17</v>
      </c>
      <c r="B18" s="4" t="s">
        <v>299</v>
      </c>
      <c r="F18" s="5" t="s">
        <v>279</v>
      </c>
      <c r="J18" s="1" t="s">
        <v>268</v>
      </c>
    </row>
    <row r="19" spans="1:10" x14ac:dyDescent="0.3">
      <c r="A19" s="1">
        <f>ROW(Tabla2[[#This Row],[Taizé]])-1</f>
        <v>18</v>
      </c>
      <c r="B19" s="4" t="s">
        <v>300</v>
      </c>
    </row>
    <row r="20" spans="1:10" x14ac:dyDescent="0.3">
      <c r="A20" s="1">
        <f>ROW(Tabla2[[#This Row],[Taizé]])-1</f>
        <v>19</v>
      </c>
      <c r="B20" s="4" t="s">
        <v>301</v>
      </c>
    </row>
    <row r="21" spans="1:10" x14ac:dyDescent="0.3">
      <c r="A21" s="1">
        <f>ROW(Tabla2[[#This Row],[Taizé]])-1</f>
        <v>20</v>
      </c>
      <c r="B21" s="4" t="s">
        <v>302</v>
      </c>
    </row>
    <row r="22" spans="1:10" x14ac:dyDescent="0.3">
      <c r="A22" s="1">
        <f>ROW(Tabla2[[#This Row],[Taizé]])-1</f>
        <v>21</v>
      </c>
      <c r="B22" s="4" t="s">
        <v>303</v>
      </c>
      <c r="G22" s="6" t="s">
        <v>283</v>
      </c>
      <c r="J22" s="1" t="s">
        <v>268</v>
      </c>
    </row>
    <row r="23" spans="1:10" x14ac:dyDescent="0.3">
      <c r="A23" s="1">
        <f>ROW(Tabla2[[#This Row],[Taizé]])-1</f>
        <v>22</v>
      </c>
      <c r="B23" s="4" t="s">
        <v>304</v>
      </c>
      <c r="G23" s="7" t="s">
        <v>285</v>
      </c>
    </row>
    <row r="24" spans="1:10" x14ac:dyDescent="0.3">
      <c r="A24" s="1">
        <f>ROW(Tabla2[[#This Row],[Taizé]])-1</f>
        <v>23</v>
      </c>
      <c r="B24" s="4" t="s">
        <v>305</v>
      </c>
      <c r="I24" s="1" t="s">
        <v>290</v>
      </c>
    </row>
    <row r="25" spans="1:10" x14ac:dyDescent="0.3">
      <c r="A25" s="1">
        <f>ROW(Tabla2[[#This Row],[Taizé]])-1</f>
        <v>24</v>
      </c>
      <c r="B25" s="4" t="s">
        <v>306</v>
      </c>
      <c r="C25" s="1" t="s">
        <v>221</v>
      </c>
      <c r="D25" s="1" t="s">
        <v>221</v>
      </c>
      <c r="E25" s="1" t="s">
        <v>221</v>
      </c>
    </row>
    <row r="26" spans="1:10" x14ac:dyDescent="0.3">
      <c r="A26" s="1">
        <f>ROW(Tabla2[[#This Row],[Taizé]])-1</f>
        <v>25</v>
      </c>
      <c r="B26" s="8" t="s">
        <v>307</v>
      </c>
      <c r="I26" s="1" t="s">
        <v>290</v>
      </c>
    </row>
    <row r="27" spans="1:10" x14ac:dyDescent="0.3">
      <c r="A27" s="1">
        <f>ROW(Tabla2[[#This Row],[Taizé]])-1</f>
        <v>26</v>
      </c>
      <c r="B27" s="8" t="s">
        <v>308</v>
      </c>
      <c r="I27" s="1" t="s">
        <v>290</v>
      </c>
    </row>
    <row r="28" spans="1:10" x14ac:dyDescent="0.3">
      <c r="A28" s="1">
        <f>ROW(Tabla2[[#This Row],[Taizé]])-1</f>
        <v>27</v>
      </c>
      <c r="B28" s="8" t="s">
        <v>309</v>
      </c>
      <c r="I28" s="1" t="s">
        <v>290</v>
      </c>
    </row>
    <row r="29" spans="1:10" x14ac:dyDescent="0.3">
      <c r="A29" s="1">
        <f>ROW(Tabla2[[#This Row],[Taizé]])-1</f>
        <v>28</v>
      </c>
      <c r="B29" s="4" t="s">
        <v>310</v>
      </c>
      <c r="C29" s="1" t="s">
        <v>221</v>
      </c>
      <c r="D29" s="1" t="s">
        <v>221</v>
      </c>
      <c r="E29" s="1" t="s">
        <v>221</v>
      </c>
      <c r="J29" s="1" t="s">
        <v>268</v>
      </c>
    </row>
    <row r="30" spans="1:10" x14ac:dyDescent="0.3">
      <c r="A30" s="1">
        <f>ROW(Tabla2[[#This Row],[Taizé]])-1</f>
        <v>29</v>
      </c>
      <c r="B30" s="1" t="s">
        <v>311</v>
      </c>
      <c r="C30" s="1" t="s">
        <v>221</v>
      </c>
      <c r="D30" s="1" t="s">
        <v>221</v>
      </c>
      <c r="E30" s="1" t="s">
        <v>221</v>
      </c>
      <c r="F30" s="7">
        <v>101</v>
      </c>
      <c r="G30" s="7" t="s">
        <v>285</v>
      </c>
    </row>
    <row r="31" spans="1:10" x14ac:dyDescent="0.3">
      <c r="A31" s="1">
        <f>ROW(Tabla2[[#This Row],[Taizé]])-1</f>
        <v>30</v>
      </c>
      <c r="B31" s="4" t="s">
        <v>312</v>
      </c>
      <c r="C31" s="1" t="s">
        <v>221</v>
      </c>
      <c r="D31" s="1" t="s">
        <v>221</v>
      </c>
      <c r="E31" s="1" t="s">
        <v>221</v>
      </c>
      <c r="J31" s="1" t="s">
        <v>268</v>
      </c>
    </row>
    <row r="32" spans="1:10" x14ac:dyDescent="0.3">
      <c r="A32" s="1">
        <f>ROW(Tabla2[[#This Row],[Taizé]])-1</f>
        <v>31</v>
      </c>
      <c r="B32" s="4" t="s">
        <v>313</v>
      </c>
      <c r="C32" s="1" t="s">
        <v>221</v>
      </c>
      <c r="D32" s="1" t="s">
        <v>221</v>
      </c>
      <c r="E32" s="1" t="s">
        <v>221</v>
      </c>
      <c r="F32" s="5" t="s">
        <v>279</v>
      </c>
    </row>
    <row r="33" spans="1:10" x14ac:dyDescent="0.3">
      <c r="A33" s="1">
        <f>ROW(Tabla2[[#This Row],[Taizé]])-1</f>
        <v>32</v>
      </c>
      <c r="B33" s="4" t="s">
        <v>314</v>
      </c>
      <c r="C33" s="1" t="s">
        <v>221</v>
      </c>
      <c r="D33" s="1" t="s">
        <v>221</v>
      </c>
      <c r="E33" s="1" t="s">
        <v>221</v>
      </c>
      <c r="J33" s="1" t="s">
        <v>537</v>
      </c>
    </row>
    <row r="34" spans="1:10" x14ac:dyDescent="0.3">
      <c r="A34" s="1">
        <f>ROW(Tabla2[[#This Row],[Taizé]])-1</f>
        <v>33</v>
      </c>
      <c r="B34" s="4" t="s">
        <v>315</v>
      </c>
      <c r="C34" s="1" t="s">
        <v>221</v>
      </c>
      <c r="D34" s="1" t="s">
        <v>221</v>
      </c>
      <c r="E34" s="1" t="s">
        <v>221</v>
      </c>
    </row>
    <row r="35" spans="1:10" x14ac:dyDescent="0.3">
      <c r="A35" s="1">
        <f>ROW(Tabla2[[#This Row],[Taizé]])-1</f>
        <v>34</v>
      </c>
      <c r="B35" s="4" t="s">
        <v>316</v>
      </c>
      <c r="C35" s="1" t="s">
        <v>221</v>
      </c>
      <c r="D35" s="1" t="s">
        <v>221</v>
      </c>
      <c r="E35" s="1" t="s">
        <v>221</v>
      </c>
      <c r="F35" s="5" t="s">
        <v>279</v>
      </c>
      <c r="H35" s="1" t="s">
        <v>282</v>
      </c>
      <c r="J35" s="1" t="s">
        <v>268</v>
      </c>
    </row>
    <row r="36" spans="1:10" x14ac:dyDescent="0.3">
      <c r="A36" s="1">
        <f>ROW(Tabla2[[#This Row],[Taizé]])-1</f>
        <v>35</v>
      </c>
      <c r="B36" s="4" t="s">
        <v>317</v>
      </c>
      <c r="C36" s="1" t="s">
        <v>221</v>
      </c>
      <c r="D36" s="1" t="s">
        <v>221</v>
      </c>
      <c r="E36" s="1" t="s">
        <v>221</v>
      </c>
    </row>
    <row r="37" spans="1:10" x14ac:dyDescent="0.3">
      <c r="A37" s="1">
        <f>ROW(Tabla2[[#This Row],[Taizé]])-1</f>
        <v>36</v>
      </c>
      <c r="B37" s="4" t="s">
        <v>318</v>
      </c>
      <c r="C37" s="1" t="s">
        <v>221</v>
      </c>
      <c r="D37" s="1" t="s">
        <v>221</v>
      </c>
      <c r="E37" s="1" t="s">
        <v>221</v>
      </c>
      <c r="F37" s="5" t="s">
        <v>279</v>
      </c>
      <c r="G37" s="6" t="s">
        <v>283</v>
      </c>
      <c r="J37" s="1" t="s">
        <v>537</v>
      </c>
    </row>
    <row r="38" spans="1:10" x14ac:dyDescent="0.3">
      <c r="A38" s="1">
        <f>ROW(Tabla2[[#This Row],[Taizé]])-1</f>
        <v>37</v>
      </c>
      <c r="B38" s="4" t="s">
        <v>319</v>
      </c>
      <c r="C38" s="1" t="s">
        <v>221</v>
      </c>
      <c r="D38" s="1" t="s">
        <v>221</v>
      </c>
      <c r="E38" s="1" t="s">
        <v>221</v>
      </c>
      <c r="F38" s="5" t="s">
        <v>279</v>
      </c>
      <c r="G38" s="6" t="s">
        <v>283</v>
      </c>
      <c r="J38" s="1" t="s">
        <v>537</v>
      </c>
    </row>
    <row r="39" spans="1:10" x14ac:dyDescent="0.3">
      <c r="A39" s="1">
        <f>ROW(Tabla2[[#This Row],[Taizé]])-1</f>
        <v>38</v>
      </c>
      <c r="B39" s="4" t="s">
        <v>320</v>
      </c>
      <c r="C39" s="1" t="s">
        <v>221</v>
      </c>
      <c r="D39" s="1" t="s">
        <v>221</v>
      </c>
      <c r="E39" s="1" t="s">
        <v>221</v>
      </c>
      <c r="F39" s="5" t="s">
        <v>279</v>
      </c>
      <c r="G39" s="6" t="s">
        <v>283</v>
      </c>
      <c r="J39" s="1" t="s">
        <v>268</v>
      </c>
    </row>
    <row r="40" spans="1:10" x14ac:dyDescent="0.3">
      <c r="A40" s="1">
        <f>ROW(Tabla2[[#This Row],[Taizé]])-1</f>
        <v>39</v>
      </c>
      <c r="B40" s="4" t="s">
        <v>321</v>
      </c>
      <c r="C40" s="1" t="s">
        <v>221</v>
      </c>
      <c r="D40" s="1" t="s">
        <v>221</v>
      </c>
      <c r="E40" s="1" t="s">
        <v>221</v>
      </c>
      <c r="J40" s="1" t="s">
        <v>537</v>
      </c>
    </row>
    <row r="41" spans="1:10" x14ac:dyDescent="0.3">
      <c r="A41" s="1">
        <f>ROW(Tabla2[[#This Row],[Taizé]])-1</f>
        <v>40</v>
      </c>
      <c r="B41" s="4" t="s">
        <v>322</v>
      </c>
      <c r="C41" s="1" t="s">
        <v>221</v>
      </c>
      <c r="D41" s="1" t="s">
        <v>221</v>
      </c>
      <c r="E41" s="1" t="s">
        <v>221</v>
      </c>
    </row>
    <row r="42" spans="1:10" x14ac:dyDescent="0.3">
      <c r="A42" s="1">
        <f>ROW(Tabla2[[#This Row],[Taizé]])-1</f>
        <v>41</v>
      </c>
      <c r="B42" s="4" t="s">
        <v>323</v>
      </c>
      <c r="C42" s="1" t="s">
        <v>221</v>
      </c>
      <c r="D42" s="1" t="s">
        <v>221</v>
      </c>
      <c r="E42" s="1" t="s">
        <v>221</v>
      </c>
      <c r="J42" s="1" t="s">
        <v>268</v>
      </c>
    </row>
    <row r="43" spans="1:10" x14ac:dyDescent="0.3">
      <c r="A43" s="1">
        <f>ROW(Tabla2[[#This Row],[Taizé]])-1</f>
        <v>42</v>
      </c>
      <c r="B43" s="4" t="s">
        <v>324</v>
      </c>
      <c r="C43" s="1" t="s">
        <v>221</v>
      </c>
      <c r="D43" s="1" t="s">
        <v>221</v>
      </c>
      <c r="E43" s="1" t="s">
        <v>221</v>
      </c>
      <c r="F43" s="5" t="s">
        <v>279</v>
      </c>
    </row>
    <row r="44" spans="1:10" x14ac:dyDescent="0.3">
      <c r="A44" s="1">
        <f>ROW(Tabla2[[#This Row],[Taizé]])-1</f>
        <v>43</v>
      </c>
      <c r="B44" s="4" t="s">
        <v>325</v>
      </c>
      <c r="C44" s="1" t="s">
        <v>221</v>
      </c>
      <c r="D44" s="1" t="s">
        <v>221</v>
      </c>
      <c r="E44" s="1" t="s">
        <v>221</v>
      </c>
      <c r="F44" s="5" t="s">
        <v>279</v>
      </c>
      <c r="G44" s="6" t="s">
        <v>283</v>
      </c>
      <c r="J44" s="1" t="s">
        <v>537</v>
      </c>
    </row>
    <row r="45" spans="1:10" x14ac:dyDescent="0.3">
      <c r="A45" s="1">
        <f>ROW(Tabla2[[#This Row],[Taizé]])-1</f>
        <v>44</v>
      </c>
      <c r="B45" s="9" t="s">
        <v>326</v>
      </c>
    </row>
    <row r="46" spans="1:10" x14ac:dyDescent="0.3">
      <c r="A46" s="1">
        <f>ROW(Tabla2[[#This Row],[Taizé]])-1</f>
        <v>45</v>
      </c>
      <c r="B46" s="4" t="s">
        <v>327</v>
      </c>
      <c r="C46" s="1" t="s">
        <v>221</v>
      </c>
      <c r="D46" s="1" t="s">
        <v>221</v>
      </c>
      <c r="E46" s="1" t="s">
        <v>221</v>
      </c>
      <c r="F46" s="5" t="s">
        <v>279</v>
      </c>
      <c r="J46" s="1" t="s">
        <v>268</v>
      </c>
    </row>
    <row r="47" spans="1:10" x14ac:dyDescent="0.3">
      <c r="A47" s="1">
        <f>ROW(Tabla2[[#This Row],[Taizé]])-1</f>
        <v>46</v>
      </c>
      <c r="B47" s="4" t="s">
        <v>328</v>
      </c>
      <c r="I47" s="1" t="s">
        <v>290</v>
      </c>
    </row>
    <row r="48" spans="1:10" x14ac:dyDescent="0.3">
      <c r="A48" s="1">
        <f>ROW(Tabla2[[#This Row],[Taizé]])-1</f>
        <v>47</v>
      </c>
      <c r="B48" s="4" t="s">
        <v>329</v>
      </c>
      <c r="C48" s="1" t="s">
        <v>221</v>
      </c>
      <c r="D48" s="1" t="s">
        <v>221</v>
      </c>
      <c r="E48" s="1" t="s">
        <v>221</v>
      </c>
      <c r="J48" s="1" t="s">
        <v>537</v>
      </c>
    </row>
    <row r="49" spans="1:10" x14ac:dyDescent="0.3">
      <c r="A49" s="1">
        <f>ROW(Tabla2[[#This Row],[Taizé]])-1</f>
        <v>48</v>
      </c>
      <c r="B49" s="4" t="s">
        <v>330</v>
      </c>
      <c r="C49" s="1" t="s">
        <v>221</v>
      </c>
      <c r="D49" s="1" t="s">
        <v>221</v>
      </c>
      <c r="E49" s="1" t="s">
        <v>221</v>
      </c>
      <c r="J49" s="1" t="s">
        <v>537</v>
      </c>
    </row>
    <row r="50" spans="1:10" x14ac:dyDescent="0.3">
      <c r="A50" s="1">
        <f>ROW(Tabla2[[#This Row],[Taizé]])-1</f>
        <v>49</v>
      </c>
      <c r="B50" s="4" t="s">
        <v>331</v>
      </c>
      <c r="C50" s="1" t="s">
        <v>221</v>
      </c>
      <c r="D50" s="1" t="s">
        <v>221</v>
      </c>
      <c r="E50" s="1" t="s">
        <v>221</v>
      </c>
    </row>
    <row r="51" spans="1:10" x14ac:dyDescent="0.3">
      <c r="A51" s="1">
        <f>ROW(Tabla2[[#This Row],[Taizé]])-1</f>
        <v>50</v>
      </c>
      <c r="B51" s="4" t="s">
        <v>332</v>
      </c>
      <c r="C51" s="1" t="s">
        <v>221</v>
      </c>
      <c r="D51" s="1" t="s">
        <v>221</v>
      </c>
      <c r="E51" s="1" t="s">
        <v>221</v>
      </c>
      <c r="F51" s="5" t="s">
        <v>279</v>
      </c>
      <c r="J51" s="1" t="s">
        <v>268</v>
      </c>
    </row>
    <row r="52" spans="1:10" x14ac:dyDescent="0.3">
      <c r="A52" s="1">
        <f>ROW(Tabla2[[#This Row],[Taizé]])-1</f>
        <v>51</v>
      </c>
      <c r="B52" s="4" t="s">
        <v>39</v>
      </c>
      <c r="I52" s="1" t="s">
        <v>290</v>
      </c>
    </row>
    <row r="53" spans="1:10" x14ac:dyDescent="0.3">
      <c r="A53" s="1">
        <f>ROW(Tabla2[[#This Row],[Taizé]])-1</f>
        <v>52</v>
      </c>
      <c r="B53" s="4" t="s">
        <v>333</v>
      </c>
      <c r="C53" s="1" t="s">
        <v>221</v>
      </c>
      <c r="D53" s="1" t="s">
        <v>221</v>
      </c>
      <c r="E53" s="1" t="s">
        <v>221</v>
      </c>
      <c r="F53" s="5" t="s">
        <v>279</v>
      </c>
      <c r="J53" s="1" t="s">
        <v>268</v>
      </c>
    </row>
    <row r="54" spans="1:10" x14ac:dyDescent="0.3">
      <c r="A54" s="1">
        <f>ROW(Tabla2[[#This Row],[Taizé]])-1</f>
        <v>53</v>
      </c>
      <c r="B54" s="4" t="s">
        <v>334</v>
      </c>
      <c r="C54" s="1" t="s">
        <v>221</v>
      </c>
      <c r="D54" s="1" t="s">
        <v>221</v>
      </c>
      <c r="E54" s="1" t="s">
        <v>221</v>
      </c>
      <c r="G54" s="6" t="s">
        <v>283</v>
      </c>
      <c r="J54" s="1" t="s">
        <v>537</v>
      </c>
    </row>
    <row r="55" spans="1:10" x14ac:dyDescent="0.3">
      <c r="A55" s="1">
        <f>ROW(Tabla2[[#This Row],[Taizé]])-1</f>
        <v>54</v>
      </c>
      <c r="B55" s="4" t="s">
        <v>335</v>
      </c>
      <c r="C55" s="1" t="s">
        <v>221</v>
      </c>
      <c r="D55" s="1" t="s">
        <v>221</v>
      </c>
      <c r="E55" s="1" t="s">
        <v>221</v>
      </c>
      <c r="J55" s="1" t="s">
        <v>537</v>
      </c>
    </row>
    <row r="56" spans="1:10" x14ac:dyDescent="0.3">
      <c r="A56" s="1">
        <f>ROW(Tabla2[[#This Row],[Taizé]])-1</f>
        <v>55</v>
      </c>
      <c r="B56" s="4" t="s">
        <v>336</v>
      </c>
      <c r="C56" s="1" t="s">
        <v>221</v>
      </c>
      <c r="D56" s="1" t="s">
        <v>221</v>
      </c>
      <c r="E56" s="1" t="s">
        <v>221</v>
      </c>
      <c r="F56" s="5" t="s">
        <v>279</v>
      </c>
      <c r="J56" s="1" t="s">
        <v>268</v>
      </c>
    </row>
    <row r="57" spans="1:10" x14ac:dyDescent="0.3">
      <c r="A57" s="1">
        <f>ROW(Tabla2[[#This Row],[Taizé]])-1</f>
        <v>56</v>
      </c>
      <c r="B57" s="4" t="s">
        <v>337</v>
      </c>
      <c r="C57" s="1" t="s">
        <v>221</v>
      </c>
      <c r="D57" s="1" t="s">
        <v>221</v>
      </c>
      <c r="E57" s="1" t="s">
        <v>221</v>
      </c>
      <c r="F57" s="5" t="s">
        <v>279</v>
      </c>
      <c r="G57" s="6" t="s">
        <v>283</v>
      </c>
      <c r="J57" s="1" t="s">
        <v>268</v>
      </c>
    </row>
    <row r="58" spans="1:10" x14ac:dyDescent="0.3">
      <c r="A58" s="1">
        <f>ROW(Tabla2[[#This Row],[Taizé]])-1</f>
        <v>57</v>
      </c>
      <c r="B58" s="4" t="s">
        <v>338</v>
      </c>
      <c r="D58" s="1" t="s">
        <v>221</v>
      </c>
      <c r="E58" s="1" t="s">
        <v>221</v>
      </c>
      <c r="G58" s="6" t="s">
        <v>283</v>
      </c>
      <c r="J58" s="1" t="s">
        <v>268</v>
      </c>
    </row>
    <row r="59" spans="1:10" x14ac:dyDescent="0.3">
      <c r="A59" s="1">
        <f>ROW(Tabla2[[#This Row],[Taizé]])-1</f>
        <v>58</v>
      </c>
      <c r="B59" s="4" t="s">
        <v>339</v>
      </c>
      <c r="D59" s="1" t="s">
        <v>221</v>
      </c>
      <c r="E59" s="1" t="s">
        <v>221</v>
      </c>
      <c r="F59" s="7">
        <v>161</v>
      </c>
      <c r="G59" s="7" t="s">
        <v>285</v>
      </c>
      <c r="J59" s="1" t="s">
        <v>537</v>
      </c>
    </row>
    <row r="60" spans="1:10" x14ac:dyDescent="0.3">
      <c r="A60" s="1">
        <f>ROW(Tabla2[[#This Row],[Taizé]])-1</f>
        <v>59</v>
      </c>
      <c r="B60" s="4" t="s">
        <v>340</v>
      </c>
      <c r="C60" s="1" t="s">
        <v>221</v>
      </c>
      <c r="D60" s="1" t="s">
        <v>221</v>
      </c>
      <c r="E60" s="1" t="s">
        <v>221</v>
      </c>
      <c r="J60" s="1" t="s">
        <v>537</v>
      </c>
    </row>
    <row r="61" spans="1:10" x14ac:dyDescent="0.3">
      <c r="A61" s="1">
        <f>ROW(Tabla2[[#This Row],[Taizé]])-1</f>
        <v>60</v>
      </c>
      <c r="B61" s="1" t="s">
        <v>341</v>
      </c>
      <c r="D61" s="1" t="s">
        <v>221</v>
      </c>
      <c r="E61" s="1" t="s">
        <v>221</v>
      </c>
      <c r="F61" s="7">
        <v>167</v>
      </c>
      <c r="G61" s="7" t="s">
        <v>285</v>
      </c>
      <c r="I61" s="1" t="s">
        <v>290</v>
      </c>
    </row>
    <row r="62" spans="1:10" x14ac:dyDescent="0.3">
      <c r="A62" s="1">
        <f>ROW(Tabla2[[#This Row],[Taizé]])-1</f>
        <v>61</v>
      </c>
      <c r="B62" s="4" t="s">
        <v>342</v>
      </c>
      <c r="C62" s="1" t="s">
        <v>221</v>
      </c>
      <c r="D62" s="1" t="s">
        <v>221</v>
      </c>
      <c r="E62" s="1" t="s">
        <v>221</v>
      </c>
      <c r="J62" s="1" t="s">
        <v>537</v>
      </c>
    </row>
    <row r="63" spans="1:10" x14ac:dyDescent="0.3">
      <c r="A63" s="1">
        <f>ROW(Tabla2[[#This Row],[Taizé]])-1</f>
        <v>62</v>
      </c>
      <c r="B63" s="4" t="s">
        <v>343</v>
      </c>
      <c r="C63" s="1" t="s">
        <v>221</v>
      </c>
      <c r="D63" s="1" t="s">
        <v>221</v>
      </c>
      <c r="E63" s="1" t="s">
        <v>221</v>
      </c>
      <c r="F63" s="5" t="s">
        <v>279</v>
      </c>
      <c r="J63" s="1" t="s">
        <v>537</v>
      </c>
    </row>
    <row r="64" spans="1:10" x14ac:dyDescent="0.3">
      <c r="A64" s="1">
        <f>ROW(Tabla2[[#This Row],[Taizé]])-1</f>
        <v>63</v>
      </c>
      <c r="B64" s="4" t="s">
        <v>344</v>
      </c>
      <c r="C64" s="1" t="s">
        <v>221</v>
      </c>
      <c r="D64" s="1" t="s">
        <v>221</v>
      </c>
      <c r="E64" s="1" t="s">
        <v>221</v>
      </c>
      <c r="J64" s="1" t="s">
        <v>537</v>
      </c>
    </row>
    <row r="65" spans="1:10" x14ac:dyDescent="0.3">
      <c r="A65" s="1">
        <f>ROW(Tabla2[[#This Row],[Taizé]])-1</f>
        <v>64</v>
      </c>
      <c r="B65" s="4" t="s">
        <v>345</v>
      </c>
      <c r="C65" s="1" t="s">
        <v>221</v>
      </c>
      <c r="D65" s="1" t="s">
        <v>221</v>
      </c>
      <c r="E65" s="1" t="s">
        <v>221</v>
      </c>
      <c r="F65" s="5" t="s">
        <v>279</v>
      </c>
      <c r="J65" s="1" t="s">
        <v>268</v>
      </c>
    </row>
    <row r="66" spans="1:10" x14ac:dyDescent="0.3">
      <c r="A66" s="1">
        <f>ROW(Tabla2[[#This Row],[Taizé]])-1</f>
        <v>65</v>
      </c>
      <c r="B66" s="4" t="s">
        <v>346</v>
      </c>
      <c r="C66" s="1" t="s">
        <v>221</v>
      </c>
      <c r="D66" s="1" t="s">
        <v>221</v>
      </c>
      <c r="E66" s="1" t="s">
        <v>221</v>
      </c>
      <c r="F66" s="5" t="s">
        <v>279</v>
      </c>
      <c r="J66" s="1" t="s">
        <v>268</v>
      </c>
    </row>
    <row r="67" spans="1:10" x14ac:dyDescent="0.3">
      <c r="A67" s="1">
        <f>ROW(Tabla2[[#This Row],[Taizé]])-1</f>
        <v>66</v>
      </c>
      <c r="B67" s="4" t="s">
        <v>347</v>
      </c>
      <c r="C67" s="1" t="s">
        <v>221</v>
      </c>
      <c r="D67" s="1" t="s">
        <v>221</v>
      </c>
      <c r="E67" s="1" t="s">
        <v>221</v>
      </c>
      <c r="F67" s="5" t="s">
        <v>279</v>
      </c>
      <c r="I67" s="4" t="s">
        <v>348</v>
      </c>
      <c r="J67" s="1" t="s">
        <v>268</v>
      </c>
    </row>
    <row r="68" spans="1:10" x14ac:dyDescent="0.3">
      <c r="A68" s="1">
        <f>ROW(Tabla2[[#This Row],[Taizé]])-1</f>
        <v>67</v>
      </c>
      <c r="B68" s="4" t="s">
        <v>349</v>
      </c>
      <c r="C68" s="1" t="s">
        <v>221</v>
      </c>
      <c r="D68" s="1" t="s">
        <v>221</v>
      </c>
      <c r="E68" s="1" t="s">
        <v>221</v>
      </c>
      <c r="J68" s="1" t="s">
        <v>268</v>
      </c>
    </row>
    <row r="69" spans="1:10" x14ac:dyDescent="0.3">
      <c r="A69" s="1">
        <f>ROW(Tabla2[[#This Row],[Taizé]])-1</f>
        <v>68</v>
      </c>
      <c r="B69" s="4" t="s">
        <v>350</v>
      </c>
      <c r="C69" s="1" t="s">
        <v>221</v>
      </c>
      <c r="D69" s="1" t="s">
        <v>221</v>
      </c>
      <c r="E69" s="1" t="s">
        <v>221</v>
      </c>
    </row>
    <row r="70" spans="1:10" x14ac:dyDescent="0.3">
      <c r="A70" s="1">
        <f>ROW(Tabla2[[#This Row],[Taizé]])-1</f>
        <v>69</v>
      </c>
      <c r="B70" s="4" t="s">
        <v>351</v>
      </c>
      <c r="C70" s="1" t="s">
        <v>221</v>
      </c>
      <c r="D70" s="1" t="s">
        <v>221</v>
      </c>
      <c r="E70" s="1" t="s">
        <v>221</v>
      </c>
    </row>
    <row r="71" spans="1:10" x14ac:dyDescent="0.3">
      <c r="A71" s="1">
        <f>ROW(Tabla2[[#This Row],[Taizé]])-1</f>
        <v>70</v>
      </c>
      <c r="B71" s="4" t="s">
        <v>352</v>
      </c>
      <c r="C71" s="1" t="s">
        <v>221</v>
      </c>
      <c r="D71" s="1" t="s">
        <v>221</v>
      </c>
      <c r="E71" s="1" t="s">
        <v>221</v>
      </c>
    </row>
    <row r="72" spans="1:10" x14ac:dyDescent="0.3">
      <c r="A72" s="1">
        <f>ROW(Tabla2[[#This Row],[Taizé]])-1</f>
        <v>71</v>
      </c>
      <c r="B72" s="4" t="s">
        <v>353</v>
      </c>
      <c r="C72" s="1" t="s">
        <v>221</v>
      </c>
      <c r="D72" s="1" t="s">
        <v>221</v>
      </c>
      <c r="E72" s="1" t="s">
        <v>221</v>
      </c>
      <c r="F72" s="5" t="s">
        <v>279</v>
      </c>
    </row>
    <row r="73" spans="1:10" x14ac:dyDescent="0.3">
      <c r="A73" s="1">
        <f>ROW(Tabla2[[#This Row],[Taizé]])-1</f>
        <v>72</v>
      </c>
      <c r="B73" s="4" t="s">
        <v>354</v>
      </c>
      <c r="C73" s="1" t="s">
        <v>221</v>
      </c>
      <c r="D73" s="1" t="s">
        <v>221</v>
      </c>
      <c r="E73" s="1" t="s">
        <v>221</v>
      </c>
    </row>
    <row r="74" spans="1:10" x14ac:dyDescent="0.3">
      <c r="A74" s="1">
        <f>ROW(Tabla2[[#This Row],[Taizé]])-1</f>
        <v>73</v>
      </c>
      <c r="B74" s="4" t="s">
        <v>355</v>
      </c>
      <c r="C74" s="1" t="s">
        <v>221</v>
      </c>
      <c r="D74" s="1" t="s">
        <v>221</v>
      </c>
      <c r="E74" s="1" t="s">
        <v>221</v>
      </c>
    </row>
    <row r="75" spans="1:10" x14ac:dyDescent="0.3">
      <c r="A75" s="1">
        <f>ROW(Tabla2[[#This Row],[Taizé]])-1</f>
        <v>74</v>
      </c>
      <c r="B75" s="4" t="s">
        <v>356</v>
      </c>
      <c r="C75" s="1" t="s">
        <v>221</v>
      </c>
      <c r="D75" s="1" t="s">
        <v>221</v>
      </c>
      <c r="E75" s="1" t="s">
        <v>221</v>
      </c>
    </row>
    <row r="76" spans="1:10" x14ac:dyDescent="0.3">
      <c r="A76" s="1">
        <f>ROW(Tabla2[[#This Row],[Taizé]])-1</f>
        <v>75</v>
      </c>
      <c r="B76" s="1" t="s">
        <v>357</v>
      </c>
      <c r="F76" s="7">
        <v>104</v>
      </c>
      <c r="G76" s="7" t="s">
        <v>285</v>
      </c>
      <c r="I76" s="1" t="s">
        <v>290</v>
      </c>
    </row>
    <row r="77" spans="1:10" x14ac:dyDescent="0.3">
      <c r="A77" s="1">
        <f>ROW(Tabla2[[#This Row],[Taizé]])-1</f>
        <v>76</v>
      </c>
      <c r="B77" s="1" t="s">
        <v>358</v>
      </c>
      <c r="I77" s="1" t="s">
        <v>290</v>
      </c>
    </row>
    <row r="78" spans="1:10" x14ac:dyDescent="0.3">
      <c r="A78" s="1">
        <f>ROW(Tabla2[[#This Row],[Taizé]])-1</f>
        <v>77</v>
      </c>
      <c r="B78" s="1" t="s">
        <v>359</v>
      </c>
      <c r="F78" s="7">
        <v>105</v>
      </c>
      <c r="G78" s="7" t="s">
        <v>285</v>
      </c>
      <c r="I78" s="1" t="s">
        <v>290</v>
      </c>
    </row>
    <row r="79" spans="1:10" x14ac:dyDescent="0.3">
      <c r="A79" s="1">
        <f>ROW(Tabla2[[#This Row],[Taizé]])-1</f>
        <v>78</v>
      </c>
      <c r="B79" s="1" t="s">
        <v>360</v>
      </c>
      <c r="F79" s="7">
        <v>106</v>
      </c>
      <c r="G79" s="7" t="s">
        <v>285</v>
      </c>
      <c r="I79" s="1" t="s">
        <v>290</v>
      </c>
    </row>
    <row r="80" spans="1:10" x14ac:dyDescent="0.3">
      <c r="A80" s="1">
        <f>ROW(Tabla2[[#This Row],[Taizé]])-1</f>
        <v>79</v>
      </c>
      <c r="B80" s="1" t="s">
        <v>361</v>
      </c>
      <c r="I80" s="1" t="s">
        <v>290</v>
      </c>
    </row>
    <row r="81" spans="1:10" x14ac:dyDescent="0.3">
      <c r="A81" s="1">
        <f>ROW(Tabla2[[#This Row],[Taizé]])-1</f>
        <v>80</v>
      </c>
      <c r="B81" s="4" t="s">
        <v>362</v>
      </c>
      <c r="C81" s="1" t="s">
        <v>221</v>
      </c>
      <c r="D81" s="1" t="s">
        <v>221</v>
      </c>
      <c r="E81" s="1" t="s">
        <v>221</v>
      </c>
    </row>
    <row r="82" spans="1:10" x14ac:dyDescent="0.3">
      <c r="A82" s="1">
        <f>ROW(Tabla2[[#This Row],[Taizé]])-1</f>
        <v>81</v>
      </c>
      <c r="B82" s="4" t="s">
        <v>276</v>
      </c>
      <c r="D82" s="1" t="s">
        <v>221</v>
      </c>
      <c r="E82" s="1" t="s">
        <v>221</v>
      </c>
      <c r="F82" s="7">
        <v>159</v>
      </c>
      <c r="G82" s="7" t="s">
        <v>285</v>
      </c>
      <c r="J82" s="1" t="s">
        <v>537</v>
      </c>
    </row>
    <row r="83" spans="1:10" x14ac:dyDescent="0.3">
      <c r="A83" s="1">
        <f>ROW(Tabla2[[#This Row],[Taizé]])-1</f>
        <v>82</v>
      </c>
      <c r="B83" s="4" t="s">
        <v>363</v>
      </c>
      <c r="C83" s="1" t="s">
        <v>221</v>
      </c>
      <c r="D83" s="1" t="s">
        <v>221</v>
      </c>
      <c r="E83" s="1" t="s">
        <v>221</v>
      </c>
      <c r="J83" s="1" t="s">
        <v>537</v>
      </c>
    </row>
    <row r="84" spans="1:10" x14ac:dyDescent="0.3">
      <c r="A84" s="1">
        <f>ROW(Tabla2[[#This Row],[Taizé]])-1</f>
        <v>83</v>
      </c>
      <c r="B84" s="10" t="s">
        <v>364</v>
      </c>
      <c r="C84" s="1" t="s">
        <v>221</v>
      </c>
    </row>
    <row r="85" spans="1:10" x14ac:dyDescent="0.3">
      <c r="A85" s="1">
        <f>ROW(Tabla2[[#This Row],[Taizé]])-1</f>
        <v>84</v>
      </c>
      <c r="B85" s="10" t="s">
        <v>365</v>
      </c>
      <c r="C85" s="11" t="s">
        <v>221</v>
      </c>
      <c r="D85" s="11" t="s">
        <v>221</v>
      </c>
      <c r="E85" s="11" t="s">
        <v>221</v>
      </c>
      <c r="F85" s="12">
        <v>98</v>
      </c>
      <c r="G85" s="12" t="s">
        <v>285</v>
      </c>
      <c r="H85" s="11"/>
      <c r="I85" s="13"/>
    </row>
    <row r="86" spans="1:10" x14ac:dyDescent="0.3">
      <c r="A86" s="1">
        <f>ROW(Tabla2[[#This Row],[Taizé]])-1</f>
        <v>85</v>
      </c>
      <c r="B86" s="11" t="s">
        <v>366</v>
      </c>
      <c r="C86" s="11"/>
      <c r="D86" s="11" t="s">
        <v>221</v>
      </c>
      <c r="E86" s="11"/>
      <c r="F86" s="12">
        <v>169</v>
      </c>
      <c r="G86" s="12" t="s">
        <v>285</v>
      </c>
    </row>
    <row r="87" spans="1:10" x14ac:dyDescent="0.3">
      <c r="A87" s="1">
        <f>ROW(Tabla2[[#This Row],[Taizé]])-1</f>
        <v>86</v>
      </c>
      <c r="B87" s="4" t="s">
        <v>367</v>
      </c>
      <c r="C87" s="1" t="s">
        <v>221</v>
      </c>
      <c r="D87" s="1" t="s">
        <v>221</v>
      </c>
      <c r="E87" s="1" t="s">
        <v>221</v>
      </c>
      <c r="F87" s="5" t="s">
        <v>279</v>
      </c>
      <c r="J87" s="1" t="s">
        <v>537</v>
      </c>
    </row>
    <row r="88" spans="1:10" x14ac:dyDescent="0.3">
      <c r="A88" s="1">
        <f>ROW(Tabla2[[#This Row],[Taizé]])-1</f>
        <v>87</v>
      </c>
      <c r="B88" s="4" t="s">
        <v>368</v>
      </c>
      <c r="C88" s="1" t="s">
        <v>221</v>
      </c>
      <c r="D88" s="1" t="s">
        <v>221</v>
      </c>
      <c r="E88" s="1" t="s">
        <v>221</v>
      </c>
      <c r="J88" s="1" t="s">
        <v>268</v>
      </c>
    </row>
    <row r="89" spans="1:10" x14ac:dyDescent="0.3">
      <c r="A89" s="1">
        <f>ROW(Tabla2[[#This Row],[Taizé]])-1</f>
        <v>88</v>
      </c>
      <c r="B89" s="4" t="s">
        <v>369</v>
      </c>
      <c r="C89" s="1" t="s">
        <v>221</v>
      </c>
      <c r="D89" s="1" t="s">
        <v>221</v>
      </c>
      <c r="E89" s="1" t="s">
        <v>221</v>
      </c>
      <c r="F89" s="5" t="s">
        <v>279</v>
      </c>
      <c r="J89" s="1" t="s">
        <v>537</v>
      </c>
    </row>
    <row r="90" spans="1:10" x14ac:dyDescent="0.3">
      <c r="A90" s="1">
        <f>ROW(Tabla2[[#This Row],[Taizé]])-1</f>
        <v>89</v>
      </c>
      <c r="B90" s="4" t="s">
        <v>370</v>
      </c>
      <c r="C90" s="1" t="s">
        <v>221</v>
      </c>
      <c r="D90" s="1" t="s">
        <v>221</v>
      </c>
      <c r="E90" s="1" t="s">
        <v>221</v>
      </c>
      <c r="F90" s="5" t="s">
        <v>279</v>
      </c>
      <c r="G90" s="6" t="s">
        <v>283</v>
      </c>
      <c r="J90" s="1" t="s">
        <v>537</v>
      </c>
    </row>
    <row r="91" spans="1:10" x14ac:dyDescent="0.3">
      <c r="A91" s="1">
        <f>ROW(Tabla2[[#This Row],[Taizé]])-1</f>
        <v>90</v>
      </c>
      <c r="B91" s="4" t="s">
        <v>371</v>
      </c>
      <c r="C91" s="1" t="s">
        <v>221</v>
      </c>
      <c r="D91" s="1" t="s">
        <v>221</v>
      </c>
      <c r="E91" s="1" t="s">
        <v>221</v>
      </c>
      <c r="J91" s="1" t="s">
        <v>268</v>
      </c>
    </row>
    <row r="92" spans="1:10" x14ac:dyDescent="0.3">
      <c r="A92" s="1">
        <f>ROW(Tabla2[[#This Row],[Taizé]])-1</f>
        <v>91</v>
      </c>
      <c r="B92" s="4" t="s">
        <v>372</v>
      </c>
      <c r="C92" s="1" t="s">
        <v>221</v>
      </c>
      <c r="D92" s="1" t="s">
        <v>221</v>
      </c>
      <c r="E92" s="1" t="s">
        <v>221</v>
      </c>
    </row>
    <row r="93" spans="1:10" x14ac:dyDescent="0.3">
      <c r="A93" s="1">
        <f>ROW(Tabla2[[#This Row],[Taizé]])-1</f>
        <v>92</v>
      </c>
      <c r="B93" s="1" t="s">
        <v>373</v>
      </c>
      <c r="D93" s="1" t="s">
        <v>221</v>
      </c>
      <c r="E93" s="1" t="s">
        <v>221</v>
      </c>
      <c r="F93" s="7">
        <v>165</v>
      </c>
      <c r="G93" s="7" t="s">
        <v>285</v>
      </c>
    </row>
    <row r="94" spans="1:10" x14ac:dyDescent="0.3">
      <c r="A94" s="1">
        <f>ROW(Tabla2[[#This Row],[Taizé]])-1</f>
        <v>93</v>
      </c>
      <c r="B94" s="4" t="s">
        <v>374</v>
      </c>
      <c r="C94" s="1" t="s">
        <v>221</v>
      </c>
      <c r="D94" s="1" t="s">
        <v>221</v>
      </c>
      <c r="E94" s="1" t="s">
        <v>221</v>
      </c>
    </row>
    <row r="95" spans="1:10" x14ac:dyDescent="0.3">
      <c r="A95" s="1">
        <f>ROW(Tabla2[[#This Row],[Taizé]])-1</f>
        <v>94</v>
      </c>
      <c r="B95" s="4" t="s">
        <v>375</v>
      </c>
      <c r="C95" s="1" t="s">
        <v>221</v>
      </c>
      <c r="D95" s="1" t="s">
        <v>221</v>
      </c>
      <c r="E95" s="1" t="s">
        <v>221</v>
      </c>
    </row>
    <row r="96" spans="1:10" x14ac:dyDescent="0.3">
      <c r="A96" s="1">
        <f>ROW(Tabla2[[#This Row],[Taizé]])-1</f>
        <v>95</v>
      </c>
      <c r="B96" s="1" t="s">
        <v>376</v>
      </c>
      <c r="D96" s="1" t="s">
        <v>221</v>
      </c>
      <c r="E96" s="1" t="s">
        <v>221</v>
      </c>
      <c r="F96" s="7">
        <v>166</v>
      </c>
      <c r="G96" s="7" t="s">
        <v>285</v>
      </c>
      <c r="I96" s="1" t="s">
        <v>290</v>
      </c>
    </row>
    <row r="97" spans="1:10" x14ac:dyDescent="0.3">
      <c r="A97" s="1">
        <f>ROW(Tabla2[[#This Row],[Taizé]])-1</f>
        <v>96</v>
      </c>
      <c r="B97" s="4" t="s">
        <v>377</v>
      </c>
      <c r="C97" s="1" t="s">
        <v>221</v>
      </c>
      <c r="D97" s="1" t="s">
        <v>221</v>
      </c>
      <c r="E97" s="1" t="s">
        <v>221</v>
      </c>
      <c r="F97" s="5" t="s">
        <v>279</v>
      </c>
      <c r="J97" s="1" t="s">
        <v>537</v>
      </c>
    </row>
    <row r="98" spans="1:10" x14ac:dyDescent="0.3">
      <c r="A98" s="1">
        <f>ROW(Tabla2[[#This Row],[Taizé]])-1</f>
        <v>97</v>
      </c>
      <c r="B98" s="4" t="s">
        <v>378</v>
      </c>
      <c r="C98" s="1" t="s">
        <v>221</v>
      </c>
      <c r="D98" s="1" t="s">
        <v>221</v>
      </c>
      <c r="E98" s="1" t="s">
        <v>221</v>
      </c>
      <c r="J98" s="1" t="s">
        <v>268</v>
      </c>
    </row>
    <row r="99" spans="1:10" x14ac:dyDescent="0.3">
      <c r="A99" s="1">
        <f>ROW(Tabla2[[#This Row],[Taizé]])-1</f>
        <v>98</v>
      </c>
      <c r="B99" s="4" t="s">
        <v>379</v>
      </c>
      <c r="C99" s="1" t="s">
        <v>221</v>
      </c>
      <c r="D99" s="1" t="s">
        <v>221</v>
      </c>
      <c r="E99" s="1" t="s">
        <v>221</v>
      </c>
      <c r="F99" s="5" t="s">
        <v>279</v>
      </c>
      <c r="J99" s="1" t="s">
        <v>537</v>
      </c>
    </row>
    <row r="100" spans="1:10" x14ac:dyDescent="0.3">
      <c r="A100" s="1">
        <f>ROW(Tabla2[[#This Row],[Taizé]])-1</f>
        <v>99</v>
      </c>
      <c r="B100" s="4" t="s">
        <v>380</v>
      </c>
      <c r="C100" s="1" t="s">
        <v>221</v>
      </c>
      <c r="D100" s="1" t="s">
        <v>221</v>
      </c>
      <c r="E100" s="1" t="s">
        <v>221</v>
      </c>
      <c r="J100" s="1" t="s">
        <v>268</v>
      </c>
    </row>
    <row r="101" spans="1:10" x14ac:dyDescent="0.3">
      <c r="A101" s="1">
        <f>ROW(Tabla2[[#This Row],[Taizé]])-1</f>
        <v>100</v>
      </c>
      <c r="B101" s="4" t="s">
        <v>381</v>
      </c>
      <c r="C101" s="1" t="s">
        <v>221</v>
      </c>
      <c r="D101" s="1" t="s">
        <v>221</v>
      </c>
      <c r="E101" s="1" t="s">
        <v>221</v>
      </c>
      <c r="J101" s="1" t="s">
        <v>537</v>
      </c>
    </row>
    <row r="102" spans="1:10" x14ac:dyDescent="0.3">
      <c r="A102" s="1">
        <f>ROW(Tabla2[[#This Row],[Taizé]])-1</f>
        <v>101</v>
      </c>
      <c r="B102" s="4" t="s">
        <v>382</v>
      </c>
      <c r="C102" s="1" t="s">
        <v>221</v>
      </c>
      <c r="D102" s="1" t="s">
        <v>221</v>
      </c>
      <c r="E102" s="1" t="s">
        <v>221</v>
      </c>
      <c r="J102" s="1" t="s">
        <v>268</v>
      </c>
    </row>
    <row r="103" spans="1:10" x14ac:dyDescent="0.3">
      <c r="A103" s="1">
        <f>ROW(Tabla2[[#This Row],[Taizé]])-1</f>
        <v>102</v>
      </c>
      <c r="B103" s="4" t="s">
        <v>383</v>
      </c>
      <c r="C103" s="1" t="s">
        <v>221</v>
      </c>
      <c r="D103" s="1" t="s">
        <v>221</v>
      </c>
      <c r="E103" s="1" t="s">
        <v>221</v>
      </c>
    </row>
    <row r="104" spans="1:10" x14ac:dyDescent="0.3">
      <c r="A104" s="1">
        <f>ROW(Tabla2[[#This Row],[Taizé]])-1</f>
        <v>103</v>
      </c>
      <c r="B104" s="1" t="s">
        <v>384</v>
      </c>
    </row>
    <row r="105" spans="1:10" x14ac:dyDescent="0.3">
      <c r="A105" s="1">
        <f>ROW(Tabla2[[#This Row],[Taizé]])-1</f>
        <v>104</v>
      </c>
      <c r="B105" s="4" t="s">
        <v>385</v>
      </c>
      <c r="C105" s="1" t="s">
        <v>221</v>
      </c>
      <c r="D105" s="1" t="s">
        <v>221</v>
      </c>
      <c r="E105" s="1" t="s">
        <v>221</v>
      </c>
      <c r="F105" s="5" t="s">
        <v>279</v>
      </c>
    </row>
    <row r="106" spans="1:10" x14ac:dyDescent="0.3">
      <c r="A106" s="1">
        <f>ROW(Tabla2[[#This Row],[Taizé]])-1</f>
        <v>105</v>
      </c>
      <c r="B106" s="4" t="s">
        <v>386</v>
      </c>
      <c r="J106" s="1" t="s">
        <v>268</v>
      </c>
    </row>
    <row r="107" spans="1:10" x14ac:dyDescent="0.3">
      <c r="A107" s="1">
        <f>ROW(Tabla2[[#This Row],[Taizé]])-1</f>
        <v>106</v>
      </c>
      <c r="B107" s="4" t="s">
        <v>387</v>
      </c>
    </row>
    <row r="108" spans="1:10" x14ac:dyDescent="0.3">
      <c r="A108" s="1">
        <f>ROW(Tabla2[[#This Row],[Taizé]])-1</f>
        <v>107</v>
      </c>
      <c r="B108" s="4" t="s">
        <v>388</v>
      </c>
      <c r="F108" s="5" t="s">
        <v>279</v>
      </c>
      <c r="J108" s="1" t="s">
        <v>268</v>
      </c>
    </row>
    <row r="109" spans="1:10" x14ac:dyDescent="0.3">
      <c r="A109" s="1">
        <f>ROW(Tabla2[[#This Row],[Taizé]])-1</f>
        <v>108</v>
      </c>
      <c r="B109" s="4" t="s">
        <v>389</v>
      </c>
      <c r="F109" s="5" t="s">
        <v>279</v>
      </c>
      <c r="I109" s="1" t="s">
        <v>290</v>
      </c>
    </row>
    <row r="110" spans="1:10" x14ac:dyDescent="0.3">
      <c r="A110" s="1">
        <f>ROW(Tabla2[[#This Row],[Taizé]])-1</f>
        <v>109</v>
      </c>
      <c r="B110" s="4" t="s">
        <v>390</v>
      </c>
      <c r="J110" s="1" t="s">
        <v>268</v>
      </c>
    </row>
    <row r="111" spans="1:10" x14ac:dyDescent="0.3">
      <c r="A111" s="1">
        <f>ROW(Tabla2[[#This Row],[Taizé]])-1</f>
        <v>110</v>
      </c>
      <c r="B111" s="4" t="s">
        <v>391</v>
      </c>
    </row>
    <row r="112" spans="1:10" x14ac:dyDescent="0.3">
      <c r="A112" s="1">
        <f>ROW(Tabla2[[#This Row],[Taizé]])-1</f>
        <v>111</v>
      </c>
      <c r="B112" s="4" t="s">
        <v>392</v>
      </c>
      <c r="F112" s="5" t="s">
        <v>279</v>
      </c>
    </row>
    <row r="113" spans="1:10" x14ac:dyDescent="0.3">
      <c r="A113" s="1">
        <f>ROW(Tabla2[[#This Row],[Taizé]])-1</f>
        <v>112</v>
      </c>
      <c r="B113" s="7" t="s">
        <v>393</v>
      </c>
      <c r="F113" s="5" t="s">
        <v>279</v>
      </c>
    </row>
    <row r="114" spans="1:10" x14ac:dyDescent="0.3">
      <c r="A114" s="1">
        <f>ROW(Tabla2[[#This Row],[Taizé]])-1</f>
        <v>113</v>
      </c>
      <c r="B114" s="4" t="s">
        <v>394</v>
      </c>
    </row>
    <row r="115" spans="1:10" x14ac:dyDescent="0.3">
      <c r="A115" s="1">
        <f>ROW(Tabla2[[#This Row],[Taizé]])-1</f>
        <v>114</v>
      </c>
      <c r="B115" s="4" t="s">
        <v>395</v>
      </c>
    </row>
    <row r="116" spans="1:10" x14ac:dyDescent="0.3">
      <c r="A116" s="1">
        <f>ROW(Tabla2[[#This Row],[Taizé]])-1</f>
        <v>115</v>
      </c>
      <c r="B116" s="1" t="s">
        <v>396</v>
      </c>
      <c r="I116" s="1" t="s">
        <v>290</v>
      </c>
    </row>
    <row r="117" spans="1:10" x14ac:dyDescent="0.3">
      <c r="A117" s="1">
        <f>ROW(Tabla2[[#This Row],[Taizé]])-1</f>
        <v>116</v>
      </c>
      <c r="B117" s="4" t="s">
        <v>397</v>
      </c>
    </row>
    <row r="118" spans="1:10" x14ac:dyDescent="0.3">
      <c r="A118" s="1">
        <f>ROW(Tabla2[[#This Row],[Taizé]])-1</f>
        <v>117</v>
      </c>
      <c r="B118" s="4" t="s">
        <v>398</v>
      </c>
    </row>
    <row r="119" spans="1:10" x14ac:dyDescent="0.3">
      <c r="A119" s="1">
        <f>ROW(Tabla2[[#This Row],[Taizé]])-1</f>
        <v>118</v>
      </c>
      <c r="B119" s="4" t="s">
        <v>399</v>
      </c>
      <c r="G119" s="6" t="s">
        <v>283</v>
      </c>
      <c r="J119" s="1" t="s">
        <v>537</v>
      </c>
    </row>
    <row r="120" spans="1:10" x14ac:dyDescent="0.3">
      <c r="A120" s="1">
        <f>ROW(Tabla2[[#This Row],[Taizé]])-1</f>
        <v>119</v>
      </c>
      <c r="B120" s="4" t="s">
        <v>400</v>
      </c>
    </row>
    <row r="121" spans="1:10" x14ac:dyDescent="0.3">
      <c r="A121" s="1">
        <f>ROW(Tabla2[[#This Row],[Taizé]])-1</f>
        <v>120</v>
      </c>
      <c r="B121" s="4" t="s">
        <v>401</v>
      </c>
      <c r="C121" s="1" t="s">
        <v>221</v>
      </c>
      <c r="D121" s="1" t="s">
        <v>221</v>
      </c>
      <c r="E121" s="1" t="s">
        <v>221</v>
      </c>
      <c r="G121" s="6" t="s">
        <v>283</v>
      </c>
      <c r="J121" s="1" t="s">
        <v>268</v>
      </c>
    </row>
    <row r="122" spans="1:10" x14ac:dyDescent="0.3">
      <c r="A122" s="1">
        <f>ROW(Tabla2[[#This Row],[Taizé]])-1</f>
        <v>121</v>
      </c>
      <c r="B122" s="4" t="s">
        <v>402</v>
      </c>
      <c r="C122" s="1" t="s">
        <v>221</v>
      </c>
      <c r="D122" s="1" t="s">
        <v>221</v>
      </c>
      <c r="E122" s="1" t="s">
        <v>221</v>
      </c>
      <c r="F122" s="5" t="s">
        <v>279</v>
      </c>
    </row>
    <row r="123" spans="1:10" x14ac:dyDescent="0.3">
      <c r="A123" s="1">
        <f>ROW(Tabla2[[#This Row],[Taizé]])-1</f>
        <v>122</v>
      </c>
      <c r="B123" s="4" t="s">
        <v>403</v>
      </c>
      <c r="C123" s="1" t="s">
        <v>221</v>
      </c>
      <c r="D123" s="1" t="s">
        <v>221</v>
      </c>
      <c r="E123" s="1" t="s">
        <v>221</v>
      </c>
    </row>
    <row r="124" spans="1:10" x14ac:dyDescent="0.3">
      <c r="A124" s="1">
        <f>ROW(Tabla2[[#This Row],[Taizé]])-1</f>
        <v>123</v>
      </c>
      <c r="B124" s="4" t="s">
        <v>404</v>
      </c>
      <c r="C124" s="1" t="s">
        <v>221</v>
      </c>
      <c r="D124" s="1" t="s">
        <v>221</v>
      </c>
      <c r="E124" s="1" t="s">
        <v>221</v>
      </c>
    </row>
    <row r="125" spans="1:10" x14ac:dyDescent="0.3">
      <c r="A125" s="1">
        <f>ROW(Tabla2[[#This Row],[Taizé]])-1</f>
        <v>124</v>
      </c>
      <c r="B125" s="4" t="s">
        <v>405</v>
      </c>
      <c r="C125" s="1" t="s">
        <v>221</v>
      </c>
      <c r="D125" s="1" t="s">
        <v>221</v>
      </c>
      <c r="E125" s="1" t="s">
        <v>221</v>
      </c>
      <c r="F125" s="5" t="s">
        <v>279</v>
      </c>
      <c r="J125" s="1" t="s">
        <v>537</v>
      </c>
    </row>
    <row r="126" spans="1:10" x14ac:dyDescent="0.3">
      <c r="A126" s="1">
        <f>ROW(Tabla2[[#This Row],[Taizé]])-1</f>
        <v>125</v>
      </c>
      <c r="B126" s="4" t="s">
        <v>406</v>
      </c>
      <c r="C126" s="1" t="s">
        <v>221</v>
      </c>
      <c r="D126" s="1" t="s">
        <v>221</v>
      </c>
      <c r="E126" s="1" t="s">
        <v>221</v>
      </c>
      <c r="F126" s="5" t="s">
        <v>279</v>
      </c>
      <c r="G126" s="6" t="s">
        <v>283</v>
      </c>
      <c r="J126" s="1" t="s">
        <v>268</v>
      </c>
    </row>
    <row r="127" spans="1:10" x14ac:dyDescent="0.3">
      <c r="A127" s="1">
        <f>ROW(Tabla2[[#This Row],[Taizé]])-1</f>
        <v>126</v>
      </c>
      <c r="B127" s="4" t="s">
        <v>407</v>
      </c>
      <c r="C127" s="1" t="s">
        <v>221</v>
      </c>
      <c r="D127" s="1" t="s">
        <v>221</v>
      </c>
      <c r="E127" s="1" t="s">
        <v>221</v>
      </c>
    </row>
    <row r="128" spans="1:10" x14ac:dyDescent="0.3">
      <c r="A128" s="1">
        <f>ROW(Tabla2[[#This Row],[Taizé]])-1</f>
        <v>127</v>
      </c>
      <c r="B128" s="4" t="s">
        <v>408</v>
      </c>
      <c r="C128" s="1" t="s">
        <v>221</v>
      </c>
      <c r="D128" s="1" t="s">
        <v>221</v>
      </c>
      <c r="E128" s="1" t="s">
        <v>221</v>
      </c>
      <c r="J128" s="1" t="s">
        <v>537</v>
      </c>
    </row>
    <row r="129" spans="1:10" x14ac:dyDescent="0.3">
      <c r="A129" s="1">
        <f>ROW(Tabla2[[#This Row],[Taizé]])-1</f>
        <v>128</v>
      </c>
      <c r="B129" s="4" t="s">
        <v>409</v>
      </c>
      <c r="C129" s="1" t="s">
        <v>221</v>
      </c>
      <c r="D129" s="1" t="s">
        <v>221</v>
      </c>
      <c r="E129" s="1" t="s">
        <v>221</v>
      </c>
      <c r="G129" s="6" t="s">
        <v>283</v>
      </c>
      <c r="J129" s="1" t="s">
        <v>268</v>
      </c>
    </row>
    <row r="130" spans="1:10" x14ac:dyDescent="0.3">
      <c r="A130" s="1">
        <f>ROW(Tabla2[[#This Row],[Taizé]])-1</f>
        <v>129</v>
      </c>
      <c r="B130" s="4" t="s">
        <v>410</v>
      </c>
      <c r="C130" s="1" t="s">
        <v>221</v>
      </c>
      <c r="D130" s="1" t="s">
        <v>221</v>
      </c>
      <c r="E130" s="1" t="s">
        <v>221</v>
      </c>
    </row>
    <row r="131" spans="1:10" x14ac:dyDescent="0.3">
      <c r="A131" s="1">
        <f>ROW(Tabla2[[#This Row],[Taizé]])-1</f>
        <v>130</v>
      </c>
      <c r="B131" s="4" t="s">
        <v>411</v>
      </c>
      <c r="C131" s="1" t="s">
        <v>221</v>
      </c>
      <c r="D131" s="1" t="s">
        <v>221</v>
      </c>
      <c r="E131" s="1" t="s">
        <v>221</v>
      </c>
      <c r="F131" s="5" t="s">
        <v>279</v>
      </c>
    </row>
    <row r="132" spans="1:10" x14ac:dyDescent="0.3">
      <c r="A132" s="1">
        <f>ROW(Tabla2[[#This Row],[Taizé]])-1</f>
        <v>131</v>
      </c>
      <c r="B132" s="4" t="s">
        <v>412</v>
      </c>
      <c r="C132" s="1" t="s">
        <v>221</v>
      </c>
      <c r="D132" s="1" t="s">
        <v>221</v>
      </c>
      <c r="E132" s="1" t="s">
        <v>221</v>
      </c>
    </row>
    <row r="133" spans="1:10" x14ac:dyDescent="0.3">
      <c r="A133" s="1">
        <f>ROW(Tabla2[[#This Row],[Taizé]])-1</f>
        <v>132</v>
      </c>
      <c r="B133" s="4" t="s">
        <v>413</v>
      </c>
      <c r="C133" s="1" t="s">
        <v>221</v>
      </c>
      <c r="D133" s="1" t="s">
        <v>221</v>
      </c>
      <c r="E133" s="1" t="s">
        <v>221</v>
      </c>
      <c r="F133" s="5" t="s">
        <v>279</v>
      </c>
      <c r="J133" s="1" t="s">
        <v>268</v>
      </c>
    </row>
    <row r="134" spans="1:10" x14ac:dyDescent="0.3">
      <c r="A134" s="1">
        <f>ROW(Tabla2[[#This Row],[Taizé]])-1</f>
        <v>133</v>
      </c>
      <c r="B134" s="4" t="s">
        <v>414</v>
      </c>
      <c r="C134" s="1" t="s">
        <v>221</v>
      </c>
      <c r="D134" s="1" t="s">
        <v>221</v>
      </c>
      <c r="E134" s="1" t="s">
        <v>221</v>
      </c>
    </row>
    <row r="135" spans="1:10" x14ac:dyDescent="0.3">
      <c r="A135" s="1">
        <f>ROW(Tabla2[[#This Row],[Taizé]])-1</f>
        <v>134</v>
      </c>
      <c r="B135" s="4" t="s">
        <v>415</v>
      </c>
      <c r="C135" s="1" t="s">
        <v>221</v>
      </c>
      <c r="D135" s="1" t="s">
        <v>221</v>
      </c>
      <c r="E135" s="1" t="s">
        <v>221</v>
      </c>
      <c r="F135" s="5" t="s">
        <v>279</v>
      </c>
      <c r="G135" s="6" t="s">
        <v>283</v>
      </c>
      <c r="J135" s="1" t="s">
        <v>268</v>
      </c>
    </row>
    <row r="136" spans="1:10" x14ac:dyDescent="0.3">
      <c r="A136" s="1">
        <f>ROW(Tabla2[[#This Row],[Taizé]])-1</f>
        <v>135</v>
      </c>
      <c r="B136" s="9" t="s">
        <v>416</v>
      </c>
    </row>
    <row r="137" spans="1:10" x14ac:dyDescent="0.3">
      <c r="A137" s="1">
        <f>ROW(Tabla2[[#This Row],[Taizé]])-1</f>
        <v>136</v>
      </c>
      <c r="B137" s="4" t="s">
        <v>417</v>
      </c>
      <c r="C137" s="1" t="s">
        <v>221</v>
      </c>
      <c r="D137" s="1" t="s">
        <v>221</v>
      </c>
      <c r="E137" s="1" t="s">
        <v>221</v>
      </c>
      <c r="F137" s="5" t="s">
        <v>279</v>
      </c>
    </row>
    <row r="138" spans="1:10" x14ac:dyDescent="0.3">
      <c r="A138" s="1">
        <f>ROW(Tabla2[[#This Row],[Taizé]])-1</f>
        <v>137</v>
      </c>
      <c r="B138" s="4" t="s">
        <v>418</v>
      </c>
      <c r="C138" s="1" t="s">
        <v>221</v>
      </c>
      <c r="D138" s="1" t="s">
        <v>221</v>
      </c>
      <c r="E138" s="1" t="s">
        <v>221</v>
      </c>
      <c r="F138" s="5" t="s">
        <v>279</v>
      </c>
      <c r="G138" s="6" t="s">
        <v>283</v>
      </c>
    </row>
    <row r="139" spans="1:10" x14ac:dyDescent="0.3">
      <c r="A139" s="1">
        <f>ROW(Tabla2[[#This Row],[Taizé]])-1</f>
        <v>138</v>
      </c>
      <c r="B139" s="1" t="s">
        <v>419</v>
      </c>
      <c r="C139" s="1" t="s">
        <v>221</v>
      </c>
      <c r="D139" s="1" t="s">
        <v>221</v>
      </c>
      <c r="E139" s="1" t="s">
        <v>221</v>
      </c>
      <c r="I139" s="1" t="s">
        <v>290</v>
      </c>
    </row>
    <row r="140" spans="1:10" x14ac:dyDescent="0.3">
      <c r="A140" s="1">
        <f>ROW(Tabla2[[#This Row],[Taizé]])-1</f>
        <v>139</v>
      </c>
      <c r="B140" s="4" t="s">
        <v>420</v>
      </c>
      <c r="C140" s="1" t="s">
        <v>221</v>
      </c>
      <c r="D140" s="1" t="s">
        <v>221</v>
      </c>
      <c r="E140" s="1" t="s">
        <v>221</v>
      </c>
      <c r="J140" s="1" t="s">
        <v>268</v>
      </c>
    </row>
    <row r="141" spans="1:10" x14ac:dyDescent="0.3">
      <c r="A141" s="1">
        <f>ROW(Tabla2[[#This Row],[Taizé]])-1</f>
        <v>140</v>
      </c>
      <c r="B141" s="4" t="s">
        <v>421</v>
      </c>
      <c r="C141" s="1" t="s">
        <v>221</v>
      </c>
      <c r="D141" s="1" t="s">
        <v>221</v>
      </c>
      <c r="E141" s="1" t="s">
        <v>221</v>
      </c>
    </row>
    <row r="142" spans="1:10" x14ac:dyDescent="0.3">
      <c r="A142" s="1">
        <f>ROW(Tabla2[[#This Row],[Taizé]])-1</f>
        <v>141</v>
      </c>
      <c r="B142" s="4" t="s">
        <v>422</v>
      </c>
      <c r="C142" s="1" t="s">
        <v>221</v>
      </c>
      <c r="D142" s="1" t="s">
        <v>221</v>
      </c>
      <c r="E142" s="1" t="s">
        <v>221</v>
      </c>
      <c r="G142" s="6" t="s">
        <v>283</v>
      </c>
    </row>
    <row r="143" spans="1:10" x14ac:dyDescent="0.3">
      <c r="A143" s="1">
        <f>ROW(Tabla2[[#This Row],[Taizé]])-1</f>
        <v>142</v>
      </c>
      <c r="B143" s="4" t="s">
        <v>423</v>
      </c>
      <c r="C143" s="1" t="s">
        <v>221</v>
      </c>
      <c r="D143" s="1" t="s">
        <v>221</v>
      </c>
      <c r="E143" s="1" t="s">
        <v>221</v>
      </c>
    </row>
    <row r="144" spans="1:10" x14ac:dyDescent="0.3">
      <c r="A144" s="1">
        <f>ROW(Tabla2[[#This Row],[Taizé]])-1</f>
        <v>143</v>
      </c>
      <c r="B144" s="4" t="s">
        <v>424</v>
      </c>
      <c r="C144" s="1" t="s">
        <v>221</v>
      </c>
      <c r="D144" s="1" t="s">
        <v>221</v>
      </c>
      <c r="E144" s="1" t="s">
        <v>221</v>
      </c>
    </row>
    <row r="145" spans="1:10" x14ac:dyDescent="0.3">
      <c r="A145" s="1">
        <f>ROW(Tabla2[[#This Row],[Taizé]])-1</f>
        <v>144</v>
      </c>
      <c r="B145" s="4" t="s">
        <v>425</v>
      </c>
      <c r="I145" s="1" t="s">
        <v>290</v>
      </c>
      <c r="J145" s="1" t="s">
        <v>537</v>
      </c>
    </row>
    <row r="146" spans="1:10" x14ac:dyDescent="0.3">
      <c r="A146" s="1">
        <f>ROW(Tabla2[[#This Row],[Taizé]])-1</f>
        <v>145</v>
      </c>
      <c r="B146" s="9" t="s">
        <v>426</v>
      </c>
      <c r="J146" s="1" t="s">
        <v>537</v>
      </c>
    </row>
    <row r="147" spans="1:10" x14ac:dyDescent="0.3">
      <c r="A147" s="1">
        <f>ROW(Tabla2[[#This Row],[Taizé]])-1</f>
        <v>146</v>
      </c>
      <c r="B147" s="8" t="s">
        <v>427</v>
      </c>
      <c r="D147" s="1" t="s">
        <v>221</v>
      </c>
      <c r="E147" s="1" t="s">
        <v>221</v>
      </c>
      <c r="F147" s="7">
        <v>163</v>
      </c>
      <c r="G147" s="7" t="s">
        <v>285</v>
      </c>
    </row>
    <row r="148" spans="1:10" x14ac:dyDescent="0.3">
      <c r="A148" s="1">
        <f>ROW(Tabla2[[#This Row],[Taizé]])-1</f>
        <v>147</v>
      </c>
      <c r="B148" s="4" t="s">
        <v>428</v>
      </c>
      <c r="C148" s="1" t="s">
        <v>221</v>
      </c>
      <c r="D148" s="1" t="s">
        <v>221</v>
      </c>
      <c r="E148" s="1" t="s">
        <v>221</v>
      </c>
      <c r="F148" s="5" t="s">
        <v>279</v>
      </c>
      <c r="J148" s="1" t="s">
        <v>268</v>
      </c>
    </row>
    <row r="149" spans="1:10" x14ac:dyDescent="0.3">
      <c r="A149" s="1">
        <f>ROW(Tabla2[[#This Row],[Taizé]])-1</f>
        <v>148</v>
      </c>
      <c r="B149" s="4" t="s">
        <v>429</v>
      </c>
      <c r="C149" s="1" t="s">
        <v>221</v>
      </c>
      <c r="D149" s="1" t="s">
        <v>221</v>
      </c>
      <c r="E149" s="1" t="s">
        <v>221</v>
      </c>
    </row>
    <row r="150" spans="1:10" x14ac:dyDescent="0.3">
      <c r="A150" s="1">
        <f>ROW(Tabla2[[#This Row],[Taizé]])-1</f>
        <v>149</v>
      </c>
      <c r="B150" s="4" t="s">
        <v>430</v>
      </c>
      <c r="C150" s="1" t="s">
        <v>221</v>
      </c>
      <c r="D150" s="1" t="s">
        <v>221</v>
      </c>
      <c r="E150" s="1" t="s">
        <v>221</v>
      </c>
      <c r="F150" s="5" t="s">
        <v>279</v>
      </c>
    </row>
    <row r="151" spans="1:10" x14ac:dyDescent="0.3">
      <c r="A151" s="1">
        <f>ROW(Tabla2[[#This Row],[Taizé]])-1</f>
        <v>150</v>
      </c>
      <c r="B151" s="1" t="s">
        <v>431</v>
      </c>
      <c r="C151" s="1" t="s">
        <v>221</v>
      </c>
      <c r="D151" s="1" t="s">
        <v>221</v>
      </c>
      <c r="E151" s="1" t="s">
        <v>221</v>
      </c>
      <c r="F151" s="7">
        <v>103</v>
      </c>
      <c r="G151" s="7" t="s">
        <v>285</v>
      </c>
      <c r="I151" s="1" t="s">
        <v>290</v>
      </c>
    </row>
    <row r="152" spans="1:10" x14ac:dyDescent="0.3">
      <c r="A152" s="1">
        <f>ROW(Tabla2[[#This Row],[Taizé]])-1</f>
        <v>151</v>
      </c>
      <c r="B152" s="1" t="s">
        <v>432</v>
      </c>
      <c r="C152" s="1" t="s">
        <v>221</v>
      </c>
      <c r="D152" s="1" t="s">
        <v>221</v>
      </c>
      <c r="E152" s="1" t="s">
        <v>221</v>
      </c>
      <c r="F152" s="7">
        <v>140</v>
      </c>
      <c r="G152" s="7" t="s">
        <v>285</v>
      </c>
    </row>
    <row r="153" spans="1:10" x14ac:dyDescent="0.3">
      <c r="A153" s="1">
        <f>ROW(Tabla2[[#This Row],[Taizé]])-1</f>
        <v>152</v>
      </c>
      <c r="B153" s="4" t="s">
        <v>433</v>
      </c>
      <c r="C153" s="1" t="s">
        <v>221</v>
      </c>
      <c r="D153" s="1" t="s">
        <v>221</v>
      </c>
      <c r="E153" s="1" t="s">
        <v>221</v>
      </c>
      <c r="J153" s="1" t="s">
        <v>537</v>
      </c>
    </row>
    <row r="154" spans="1:10" x14ac:dyDescent="0.3">
      <c r="A154" s="1">
        <f>ROW(Tabla2[[#This Row],[Taizé]])-1</f>
        <v>153</v>
      </c>
      <c r="B154" s="4" t="s">
        <v>434</v>
      </c>
      <c r="C154" s="1" t="s">
        <v>221</v>
      </c>
      <c r="D154" s="1" t="s">
        <v>221</v>
      </c>
      <c r="E154" s="1" t="s">
        <v>221</v>
      </c>
    </row>
    <row r="155" spans="1:10" x14ac:dyDescent="0.3">
      <c r="A155" s="1">
        <f>ROW(Tabla2[[#This Row],[Taizé]])-1</f>
        <v>154</v>
      </c>
      <c r="B155" s="4" t="s">
        <v>435</v>
      </c>
      <c r="C155" s="1" t="s">
        <v>221</v>
      </c>
      <c r="D155" s="1" t="s">
        <v>221</v>
      </c>
      <c r="E155" s="1" t="s">
        <v>221</v>
      </c>
    </row>
    <row r="156" spans="1:10" x14ac:dyDescent="0.3">
      <c r="A156" s="1">
        <f>ROW(Tabla2[[#This Row],[Taizé]])-1</f>
        <v>155</v>
      </c>
      <c r="B156" s="4" t="s">
        <v>436</v>
      </c>
      <c r="C156" s="1" t="s">
        <v>221</v>
      </c>
      <c r="D156" s="1" t="s">
        <v>221</v>
      </c>
      <c r="E156" s="1" t="s">
        <v>221</v>
      </c>
    </row>
    <row r="157" spans="1:10" x14ac:dyDescent="0.3">
      <c r="A157" s="1">
        <f>ROW(Tabla2[[#This Row],[Taizé]])-1</f>
        <v>156</v>
      </c>
      <c r="B157" s="4" t="s">
        <v>437</v>
      </c>
      <c r="C157" s="1" t="s">
        <v>221</v>
      </c>
      <c r="D157" s="1" t="s">
        <v>221</v>
      </c>
      <c r="E157" s="1" t="s">
        <v>221</v>
      </c>
      <c r="J157" s="1" t="s">
        <v>268</v>
      </c>
    </row>
    <row r="158" spans="1:10" x14ac:dyDescent="0.3">
      <c r="A158" s="1">
        <f>ROW(Tabla2[[#This Row],[Taizé]])-1</f>
        <v>157</v>
      </c>
      <c r="B158" s="4" t="s">
        <v>438</v>
      </c>
      <c r="C158" s="1" t="s">
        <v>221</v>
      </c>
      <c r="D158" s="1" t="s">
        <v>221</v>
      </c>
      <c r="E158" s="1" t="s">
        <v>221</v>
      </c>
    </row>
    <row r="159" spans="1:10" x14ac:dyDescent="0.3">
      <c r="A159" s="1">
        <f>ROW(Tabla2[[#This Row],[Taizé]])-1</f>
        <v>158</v>
      </c>
      <c r="B159" s="4" t="s">
        <v>439</v>
      </c>
      <c r="C159" s="1" t="s">
        <v>221</v>
      </c>
      <c r="D159" s="1" t="s">
        <v>221</v>
      </c>
      <c r="E159" s="1" t="s">
        <v>221</v>
      </c>
    </row>
    <row r="160" spans="1:10" x14ac:dyDescent="0.3">
      <c r="A160" s="1">
        <f>ROW(Tabla2[[#This Row],[Taizé]])-1</f>
        <v>159</v>
      </c>
      <c r="B160" s="4" t="s">
        <v>440</v>
      </c>
      <c r="C160" s="1" t="s">
        <v>221</v>
      </c>
      <c r="D160" s="1" t="s">
        <v>221</v>
      </c>
      <c r="E160" s="1" t="s">
        <v>221</v>
      </c>
    </row>
    <row r="161" spans="1:10" x14ac:dyDescent="0.3">
      <c r="A161" s="1">
        <f>ROW(Tabla2[[#This Row],[Taizé]])-1</f>
        <v>160</v>
      </c>
      <c r="B161" s="1" t="s">
        <v>441</v>
      </c>
      <c r="D161" s="1" t="s">
        <v>221</v>
      </c>
      <c r="E161" s="1" t="s">
        <v>221</v>
      </c>
      <c r="F161" s="7">
        <v>168</v>
      </c>
      <c r="G161" s="7" t="s">
        <v>285</v>
      </c>
      <c r="I161" s="1" t="s">
        <v>290</v>
      </c>
    </row>
    <row r="162" spans="1:10" x14ac:dyDescent="0.3">
      <c r="A162" s="1">
        <f>ROW(Tabla2[[#This Row],[Taizé]])-1</f>
        <v>161</v>
      </c>
      <c r="B162" s="4" t="s">
        <v>442</v>
      </c>
      <c r="C162" s="1" t="s">
        <v>221</v>
      </c>
      <c r="D162" s="1" t="s">
        <v>221</v>
      </c>
      <c r="E162" s="1" t="s">
        <v>221</v>
      </c>
      <c r="J162" s="1" t="s">
        <v>537</v>
      </c>
    </row>
    <row r="163" spans="1:10" x14ac:dyDescent="0.3">
      <c r="A163" s="1">
        <f>ROW(Tabla2[[#This Row],[Taizé]])-1</f>
        <v>162</v>
      </c>
      <c r="B163" s="4" t="s">
        <v>443</v>
      </c>
      <c r="C163" s="1" t="s">
        <v>221</v>
      </c>
      <c r="D163" s="1" t="s">
        <v>221</v>
      </c>
      <c r="E163" s="1" t="s">
        <v>221</v>
      </c>
      <c r="J163" s="1" t="s">
        <v>537</v>
      </c>
    </row>
    <row r="164" spans="1:10" x14ac:dyDescent="0.3">
      <c r="A164" s="1">
        <f>ROW(Tabla2[[#This Row],[Taizé]])-1</f>
        <v>163</v>
      </c>
      <c r="B164" s="4" t="s">
        <v>444</v>
      </c>
      <c r="C164" s="1" t="s">
        <v>221</v>
      </c>
      <c r="D164" s="1" t="s">
        <v>221</v>
      </c>
      <c r="E164" s="1" t="s">
        <v>221</v>
      </c>
      <c r="F164" s="5" t="s">
        <v>279</v>
      </c>
      <c r="G164" s="6" t="s">
        <v>283</v>
      </c>
      <c r="J164" s="1" t="s">
        <v>537</v>
      </c>
    </row>
    <row r="165" spans="1:10" x14ac:dyDescent="0.3">
      <c r="A165" s="1">
        <f>ROW(Tabla2[[#This Row],[Taizé]])-1</f>
        <v>164</v>
      </c>
      <c r="B165" s="4" t="s">
        <v>445</v>
      </c>
      <c r="C165" s="1" t="s">
        <v>221</v>
      </c>
      <c r="D165" s="1" t="s">
        <v>221</v>
      </c>
      <c r="E165" s="1" t="s">
        <v>221</v>
      </c>
      <c r="J165" s="1" t="s">
        <v>268</v>
      </c>
    </row>
    <row r="166" spans="1:10" x14ac:dyDescent="0.3">
      <c r="A166" s="1">
        <f>ROW(Tabla2[[#This Row],[Taizé]])-1</f>
        <v>165</v>
      </c>
      <c r="B166" s="7" t="s">
        <v>446</v>
      </c>
      <c r="F166" s="5" t="s">
        <v>279</v>
      </c>
    </row>
    <row r="167" spans="1:10" x14ac:dyDescent="0.3">
      <c r="A167" s="1">
        <f>ROW(Tabla2[[#This Row],[Taizé]])-1</f>
        <v>166</v>
      </c>
      <c r="B167" s="4" t="s">
        <v>447</v>
      </c>
      <c r="C167" s="1" t="s">
        <v>221</v>
      </c>
      <c r="D167" s="1" t="s">
        <v>221</v>
      </c>
      <c r="E167" s="1" t="s">
        <v>221</v>
      </c>
      <c r="F167" s="7">
        <v>102</v>
      </c>
      <c r="G167" s="7" t="s">
        <v>285</v>
      </c>
      <c r="I167" s="1" t="s">
        <v>290</v>
      </c>
    </row>
    <row r="168" spans="1:10" x14ac:dyDescent="0.3">
      <c r="A168" s="1">
        <f>ROW(Tabla2[[#This Row],[Taizé]])-1</f>
        <v>167</v>
      </c>
      <c r="B168" s="1" t="s">
        <v>448</v>
      </c>
      <c r="C168" s="1" t="s">
        <v>221</v>
      </c>
      <c r="D168" s="1" t="s">
        <v>221</v>
      </c>
      <c r="E168" s="1" t="s">
        <v>221</v>
      </c>
      <c r="F168" s="7">
        <v>107</v>
      </c>
      <c r="G168" s="7" t="s">
        <v>285</v>
      </c>
      <c r="I168" s="1" t="s">
        <v>290</v>
      </c>
    </row>
    <row r="169" spans="1:10" x14ac:dyDescent="0.3">
      <c r="A169" s="1">
        <f>ROW(Tabla2[[#This Row],[Taizé]])-1</f>
        <v>168</v>
      </c>
      <c r="B169" s="4" t="s">
        <v>449</v>
      </c>
      <c r="C169" s="1" t="s">
        <v>221</v>
      </c>
      <c r="D169" s="1" t="s">
        <v>221</v>
      </c>
      <c r="E169" s="1" t="s">
        <v>221</v>
      </c>
      <c r="F169" s="5" t="s">
        <v>279</v>
      </c>
      <c r="G169" s="6" t="s">
        <v>283</v>
      </c>
      <c r="J169" s="1" t="s">
        <v>268</v>
      </c>
    </row>
    <row r="170" spans="1:10" x14ac:dyDescent="0.3">
      <c r="A170" s="1">
        <f>ROW(Tabla2[[#This Row],[Taizé]])-1</f>
        <v>169</v>
      </c>
      <c r="B170" s="4" t="s">
        <v>450</v>
      </c>
      <c r="C170" s="1" t="s">
        <v>221</v>
      </c>
      <c r="D170" s="1" t="s">
        <v>221</v>
      </c>
      <c r="E170" s="1" t="s">
        <v>221</v>
      </c>
    </row>
    <row r="171" spans="1:10" x14ac:dyDescent="0.3">
      <c r="A171" s="1">
        <f>ROW(Tabla2[[#This Row],[Taizé]])-1</f>
        <v>170</v>
      </c>
      <c r="B171" s="4" t="s">
        <v>451</v>
      </c>
      <c r="C171" s="1" t="s">
        <v>221</v>
      </c>
      <c r="D171" s="1" t="s">
        <v>221</v>
      </c>
      <c r="E171" s="1" t="s">
        <v>221</v>
      </c>
    </row>
    <row r="172" spans="1:10" x14ac:dyDescent="0.3">
      <c r="A172" s="1">
        <f>ROW(Tabla2[[#This Row],[Taizé]])-1</f>
        <v>171</v>
      </c>
      <c r="B172" s="4" t="s">
        <v>452</v>
      </c>
      <c r="E172" s="1" t="s">
        <v>221</v>
      </c>
      <c r="I172" s="1" t="s">
        <v>290</v>
      </c>
    </row>
    <row r="173" spans="1:10" x14ac:dyDescent="0.3">
      <c r="A173" s="1">
        <f>ROW(Tabla2[[#This Row],[Taizé]])-1</f>
        <v>172</v>
      </c>
      <c r="B173" s="4" t="s">
        <v>453</v>
      </c>
      <c r="D173" s="1" t="s">
        <v>221</v>
      </c>
      <c r="E173" s="1" t="s">
        <v>221</v>
      </c>
      <c r="G173" s="6" t="s">
        <v>283</v>
      </c>
      <c r="J173" s="1" t="s">
        <v>268</v>
      </c>
    </row>
    <row r="174" spans="1:10" x14ac:dyDescent="0.3">
      <c r="A174" s="1">
        <f>ROW(Tabla2[[#This Row],[Taizé]])-1</f>
        <v>173</v>
      </c>
      <c r="B174" s="4" t="s">
        <v>454</v>
      </c>
      <c r="C174" s="1" t="s">
        <v>221</v>
      </c>
      <c r="D174" s="1" t="s">
        <v>221</v>
      </c>
      <c r="E174" s="1" t="s">
        <v>221</v>
      </c>
      <c r="F174" s="5" t="s">
        <v>279</v>
      </c>
      <c r="J174" s="1" t="s">
        <v>268</v>
      </c>
    </row>
    <row r="175" spans="1:10" x14ac:dyDescent="0.3">
      <c r="A175" s="1">
        <f>ROW(Tabla2[[#This Row],[Taizé]])-1</f>
        <v>174</v>
      </c>
      <c r="B175" s="4" t="s">
        <v>455</v>
      </c>
      <c r="C175" s="1" t="s">
        <v>221</v>
      </c>
      <c r="D175" s="1" t="s">
        <v>221</v>
      </c>
      <c r="E175" s="1" t="s">
        <v>221</v>
      </c>
      <c r="F175" s="5" t="s">
        <v>279</v>
      </c>
      <c r="G175" s="6" t="s">
        <v>283</v>
      </c>
      <c r="J175" s="1" t="s">
        <v>268</v>
      </c>
    </row>
    <row r="176" spans="1:10" x14ac:dyDescent="0.3">
      <c r="A176" s="1">
        <f>ROW(Tabla2[[#This Row],[Taizé]])-1</f>
        <v>175</v>
      </c>
      <c r="B176" s="4" t="s">
        <v>456</v>
      </c>
      <c r="C176" s="1" t="s">
        <v>221</v>
      </c>
      <c r="D176" s="1" t="s">
        <v>221</v>
      </c>
      <c r="E176" s="1" t="s">
        <v>221</v>
      </c>
      <c r="F176" s="5" t="s">
        <v>279</v>
      </c>
      <c r="J176" s="1" t="s">
        <v>268</v>
      </c>
    </row>
    <row r="177" spans="1:10" x14ac:dyDescent="0.3">
      <c r="A177" s="1">
        <f>ROW(Tabla2[[#This Row],[Taizé]])-1</f>
        <v>176</v>
      </c>
      <c r="B177" s="4" t="s">
        <v>457</v>
      </c>
      <c r="C177" s="1" t="s">
        <v>221</v>
      </c>
      <c r="D177" s="1" t="s">
        <v>221</v>
      </c>
      <c r="E177" s="1" t="s">
        <v>221</v>
      </c>
    </row>
    <row r="178" spans="1:10" x14ac:dyDescent="0.3">
      <c r="A178" s="1">
        <f>ROW(Tabla2[[#This Row],[Taizé]])-1</f>
        <v>177</v>
      </c>
      <c r="B178" s="4" t="s">
        <v>458</v>
      </c>
      <c r="C178" s="1" t="s">
        <v>221</v>
      </c>
      <c r="D178" s="1" t="s">
        <v>221</v>
      </c>
      <c r="E178" s="1" t="s">
        <v>221</v>
      </c>
    </row>
    <row r="179" spans="1:10" x14ac:dyDescent="0.3">
      <c r="A179" s="1">
        <f>ROW(Tabla2[[#This Row],[Taizé]])-1</f>
        <v>178</v>
      </c>
      <c r="B179" s="4" t="s">
        <v>459</v>
      </c>
      <c r="C179" s="1" t="s">
        <v>221</v>
      </c>
      <c r="D179" s="1" t="s">
        <v>221</v>
      </c>
      <c r="E179" s="1" t="s">
        <v>221</v>
      </c>
    </row>
    <row r="180" spans="1:10" x14ac:dyDescent="0.3">
      <c r="A180" s="1">
        <f>ROW(Tabla2[[#This Row],[Taizé]])-1</f>
        <v>179</v>
      </c>
      <c r="B180" s="4" t="s">
        <v>460</v>
      </c>
      <c r="C180" s="1" t="s">
        <v>221</v>
      </c>
      <c r="D180" s="1" t="s">
        <v>221</v>
      </c>
      <c r="E180" s="1" t="s">
        <v>221</v>
      </c>
    </row>
    <row r="181" spans="1:10" x14ac:dyDescent="0.3">
      <c r="A181" s="1">
        <f>ROW(Tabla2[[#This Row],[Taizé]])-1</f>
        <v>180</v>
      </c>
      <c r="B181" s="4" t="s">
        <v>461</v>
      </c>
      <c r="C181" s="1" t="s">
        <v>221</v>
      </c>
      <c r="D181" s="1" t="s">
        <v>221</v>
      </c>
      <c r="E181" s="1" t="s">
        <v>221</v>
      </c>
    </row>
    <row r="182" spans="1:10" x14ac:dyDescent="0.3">
      <c r="A182" s="1">
        <f>ROW(Tabla2[[#This Row],[Taizé]])-1</f>
        <v>181</v>
      </c>
      <c r="B182" s="4" t="s">
        <v>462</v>
      </c>
      <c r="C182" s="1" t="s">
        <v>221</v>
      </c>
      <c r="D182" s="1" t="s">
        <v>221</v>
      </c>
      <c r="E182" s="1" t="s">
        <v>221</v>
      </c>
    </row>
    <row r="183" spans="1:10" x14ac:dyDescent="0.3">
      <c r="A183" s="1">
        <f>ROW(Tabla2[[#This Row],[Taizé]])-1</f>
        <v>182</v>
      </c>
      <c r="B183" s="4" t="s">
        <v>463</v>
      </c>
      <c r="C183" s="1" t="s">
        <v>221</v>
      </c>
      <c r="D183" s="1" t="s">
        <v>221</v>
      </c>
      <c r="E183" s="1" t="s">
        <v>221</v>
      </c>
    </row>
    <row r="184" spans="1:10" x14ac:dyDescent="0.3">
      <c r="A184" s="1">
        <f>ROW(Tabla2[[#This Row],[Taizé]])-1</f>
        <v>183</v>
      </c>
      <c r="B184" s="4" t="s">
        <v>464</v>
      </c>
      <c r="C184" s="1" t="s">
        <v>221</v>
      </c>
      <c r="D184" s="1" t="s">
        <v>221</v>
      </c>
      <c r="E184" s="1" t="s">
        <v>221</v>
      </c>
      <c r="F184" s="5" t="s">
        <v>279</v>
      </c>
    </row>
    <row r="185" spans="1:10" x14ac:dyDescent="0.3">
      <c r="A185" s="1">
        <f>ROW(Tabla2[[#This Row],[Taizé]])-1</f>
        <v>184</v>
      </c>
      <c r="B185" s="4" t="s">
        <v>465</v>
      </c>
      <c r="C185" s="1" t="s">
        <v>221</v>
      </c>
      <c r="D185" s="1" t="s">
        <v>221</v>
      </c>
      <c r="E185" s="1" t="s">
        <v>221</v>
      </c>
    </row>
    <row r="186" spans="1:10" x14ac:dyDescent="0.3">
      <c r="A186" s="1">
        <f>ROW(Tabla2[[#This Row],[Taizé]])-1</f>
        <v>185</v>
      </c>
      <c r="B186" s="4" t="s">
        <v>466</v>
      </c>
      <c r="C186" s="1" t="s">
        <v>221</v>
      </c>
      <c r="D186" s="1" t="s">
        <v>221</v>
      </c>
      <c r="E186" s="1" t="s">
        <v>221</v>
      </c>
      <c r="G186" s="6" t="s">
        <v>283</v>
      </c>
      <c r="J186" s="1" t="s">
        <v>268</v>
      </c>
    </row>
    <row r="187" spans="1:10" x14ac:dyDescent="0.3">
      <c r="A187" s="1">
        <f>ROW(Tabla2[[#This Row],[Taizé]])-1</f>
        <v>186</v>
      </c>
      <c r="B187" s="4" t="s">
        <v>467</v>
      </c>
      <c r="C187" s="1" t="s">
        <v>221</v>
      </c>
      <c r="D187" s="1" t="s">
        <v>221</v>
      </c>
      <c r="E187" s="1" t="s">
        <v>221</v>
      </c>
    </row>
    <row r="188" spans="1:10" x14ac:dyDescent="0.3">
      <c r="A188" s="1">
        <f>ROW(Tabla2[[#This Row],[Taizé]])-1</f>
        <v>187</v>
      </c>
      <c r="B188" s="4" t="s">
        <v>468</v>
      </c>
      <c r="C188" s="1" t="s">
        <v>221</v>
      </c>
      <c r="D188" s="1" t="s">
        <v>221</v>
      </c>
      <c r="E188" s="1" t="s">
        <v>221</v>
      </c>
      <c r="J188" s="1" t="s">
        <v>537</v>
      </c>
    </row>
    <row r="189" spans="1:10" x14ac:dyDescent="0.3">
      <c r="A189" s="1">
        <f>ROW(Tabla2[[#This Row],[Taizé]])-1</f>
        <v>188</v>
      </c>
      <c r="B189" s="4" t="s">
        <v>469</v>
      </c>
      <c r="C189" s="1" t="s">
        <v>221</v>
      </c>
      <c r="D189" s="1" t="s">
        <v>221</v>
      </c>
      <c r="E189" s="1" t="s">
        <v>221</v>
      </c>
      <c r="F189" s="5" t="s">
        <v>279</v>
      </c>
    </row>
    <row r="190" spans="1:10" x14ac:dyDescent="0.3">
      <c r="A190" s="1">
        <f>ROW(Tabla2[[#This Row],[Taizé]])-1</f>
        <v>189</v>
      </c>
      <c r="B190" s="4" t="s">
        <v>470</v>
      </c>
      <c r="I190" s="1" t="s">
        <v>290</v>
      </c>
    </row>
    <row r="191" spans="1:10" x14ac:dyDescent="0.3">
      <c r="A191" s="1">
        <f>ROW(Tabla2[[#This Row],[Taizé]])-1</f>
        <v>190</v>
      </c>
      <c r="B191" s="4" t="s">
        <v>471</v>
      </c>
      <c r="C191" s="1" t="s">
        <v>221</v>
      </c>
      <c r="D191" s="1" t="s">
        <v>221</v>
      </c>
      <c r="E191" s="1" t="s">
        <v>221</v>
      </c>
      <c r="F191" s="5" t="s">
        <v>279</v>
      </c>
      <c r="J191" s="1" t="s">
        <v>537</v>
      </c>
    </row>
    <row r="192" spans="1:10" x14ac:dyDescent="0.3">
      <c r="A192" s="1">
        <f>ROW(Tabla2[[#This Row],[Taizé]])-1</f>
        <v>191</v>
      </c>
      <c r="B192" s="8" t="s">
        <v>472</v>
      </c>
      <c r="E192" s="1" t="s">
        <v>221</v>
      </c>
    </row>
  </sheetData>
  <conditionalFormatting sqref="J1:J1048576">
    <cfRule type="containsText" dxfId="2" priority="1" operator="containsText" text="X">
      <formula>NOT(ISERROR(SEARCH("X",J1)))</formula>
    </cfRule>
    <cfRule type="containsText" dxfId="1" priority="2" operator="containsText" text="JJ">
      <formula>NOT(ISERROR(SEARCH("JJ",J1)))</formula>
    </cfRule>
    <cfRule type="containsText" dxfId="0" priority="3" operator="containsText" text="Taizé">
      <formula>NOT(ISERROR(SEARCH("Taizé",J1)))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NSB antiguo</vt:lpstr>
      <vt:lpstr>CantoralDB</vt:lpstr>
      <vt:lpstr>Resumen</vt:lpstr>
      <vt:lpstr>secciones</vt:lpstr>
      <vt:lpstr>carpetas</vt:lpstr>
      <vt:lpstr>Autores</vt:lpstr>
      <vt:lpstr>Categorías</vt:lpstr>
      <vt:lpstr>Taizé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2026-08-01T17:56:42Z</dcterms:modified>
</cp:coreProperties>
</file>